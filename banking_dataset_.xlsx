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Data Analysis\Mini Project\"/>
    </mc:Choice>
  </mc:AlternateContent>
  <xr:revisionPtr revIDLastSave="0" documentId="13_ncr:1_{4A09E952-7289-4D6E-8473-A39E0F7EEC5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Rework" sheetId="2" r:id="rId2"/>
    <sheet name="Pivot Table" sheetId="5" r:id="rId3"/>
    <sheet name="Dashboard" sheetId="7" r:id="rId4"/>
  </sheets>
  <definedNames>
    <definedName name="_xlnm._FilterDatabase" localSheetId="1" hidden="1">Rework!$A$1:$K$801</definedName>
    <definedName name="_xlnm._FilterDatabase" localSheetId="0" hidden="1">Sheet1!$A$1:$J$776</definedName>
  </definedNames>
  <calcPr calcId="191029"/>
  <pivotCaches>
    <pivotCache cacheId="0" r:id="rId5"/>
    <pivotCache cacheId="1" r:id="rId6"/>
    <pivotCache cacheId="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2" l="1"/>
  <c r="O7" i="2"/>
  <c r="O5" i="2"/>
  <c r="O4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2" i="1"/>
  <c r="Q180" i="1"/>
  <c r="Q181" i="1"/>
  <c r="L22" i="1"/>
  <c r="L23" i="1"/>
  <c r="L32" i="1"/>
  <c r="L58" i="1"/>
  <c r="L59" i="1"/>
  <c r="L60" i="1"/>
  <c r="L69" i="1"/>
  <c r="L70" i="1"/>
  <c r="L94" i="1"/>
  <c r="L95" i="1"/>
  <c r="L104" i="1"/>
  <c r="L105" i="1"/>
  <c r="L106" i="1"/>
  <c r="L140" i="1"/>
  <c r="L141" i="1"/>
  <c r="L142" i="1"/>
  <c r="L176" i="1"/>
  <c r="L177" i="1"/>
  <c r="L178" i="1"/>
  <c r="L212" i="1"/>
  <c r="L213" i="1"/>
  <c r="L214" i="1"/>
  <c r="L248" i="1"/>
  <c r="L261" i="1"/>
  <c r="L262" i="1"/>
  <c r="L285" i="1"/>
  <c r="L286" i="1"/>
  <c r="L297" i="1"/>
  <c r="L298" i="1"/>
  <c r="L320" i="1"/>
  <c r="L321" i="1"/>
  <c r="L322" i="1"/>
  <c r="L333" i="1"/>
  <c r="L334" i="1"/>
  <c r="L356" i="1"/>
  <c r="L357" i="1"/>
  <c r="L358" i="1"/>
  <c r="L369" i="1"/>
  <c r="L370" i="1"/>
  <c r="L392" i="1"/>
  <c r="L393" i="1"/>
  <c r="L394" i="1"/>
  <c r="L405" i="1"/>
  <c r="L406" i="1"/>
  <c r="L428" i="1"/>
  <c r="L429" i="1"/>
  <c r="L430" i="1"/>
  <c r="L443" i="1"/>
  <c r="L444" i="1"/>
  <c r="L464" i="1"/>
  <c r="L477" i="1"/>
  <c r="L478" i="1"/>
  <c r="L479" i="1"/>
  <c r="L480" i="1"/>
  <c r="L501" i="1"/>
  <c r="L502" i="1"/>
  <c r="L513" i="1"/>
  <c r="L514" i="1"/>
  <c r="L515" i="1"/>
  <c r="L516" i="1"/>
  <c r="L536" i="1"/>
  <c r="L537" i="1"/>
  <c r="L538" i="1"/>
  <c r="L549" i="1"/>
  <c r="L550" i="1"/>
  <c r="L551" i="1"/>
  <c r="L552" i="1"/>
  <c r="L572" i="1"/>
  <c r="L573" i="1"/>
  <c r="L574" i="1"/>
  <c r="L585" i="1"/>
  <c r="L586" i="1"/>
  <c r="L587" i="1"/>
  <c r="L588" i="1"/>
  <c r="L608" i="1"/>
  <c r="L609" i="1"/>
  <c r="L610" i="1"/>
  <c r="L621" i="1"/>
  <c r="L622" i="1"/>
  <c r="L629" i="1"/>
  <c r="L644" i="1"/>
  <c r="L645" i="1"/>
  <c r="L646" i="1"/>
  <c r="L659" i="1"/>
  <c r="L660" i="1"/>
  <c r="L665" i="1"/>
  <c r="L680" i="1"/>
  <c r="L693" i="1"/>
  <c r="L694" i="1"/>
  <c r="L695" i="1"/>
  <c r="L696" i="1"/>
  <c r="L701" i="1"/>
  <c r="L729" i="1"/>
  <c r="L730" i="1"/>
  <c r="L731" i="1"/>
  <c r="L732" i="1"/>
  <c r="L736" i="1"/>
  <c r="L737" i="1"/>
  <c r="L752" i="1"/>
  <c r="L765" i="1"/>
  <c r="L766" i="1"/>
  <c r="L767" i="1"/>
  <c r="L768" i="1"/>
  <c r="L2" i="1"/>
  <c r="K3" i="1"/>
  <c r="L3" i="1" s="1"/>
  <c r="K4" i="1"/>
  <c r="L4" i="1" s="1"/>
  <c r="K5" i="1"/>
  <c r="K6" i="1"/>
  <c r="K7" i="1"/>
  <c r="K8" i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K18" i="1"/>
  <c r="K19" i="1"/>
  <c r="K20" i="1"/>
  <c r="K21" i="1"/>
  <c r="L21" i="1" s="1"/>
  <c r="K22" i="1"/>
  <c r="K23" i="1"/>
  <c r="K24" i="1"/>
  <c r="L24" i="1" s="1"/>
  <c r="K25" i="1"/>
  <c r="L25" i="1" s="1"/>
  <c r="K26" i="1"/>
  <c r="L26" i="1" s="1"/>
  <c r="K27" i="1"/>
  <c r="L27" i="1" s="1"/>
  <c r="K28" i="1"/>
  <c r="L28" i="1" s="1"/>
  <c r="K29" i="1"/>
  <c r="K30" i="1"/>
  <c r="K31" i="1"/>
  <c r="K32" i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K42" i="1"/>
  <c r="K43" i="1"/>
  <c r="K44" i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K54" i="1"/>
  <c r="K55" i="1"/>
  <c r="K56" i="1"/>
  <c r="K57" i="1"/>
  <c r="L57" i="1" s="1"/>
  <c r="K58" i="1"/>
  <c r="K59" i="1"/>
  <c r="K60" i="1"/>
  <c r="K61" i="1"/>
  <c r="L61" i="1" s="1"/>
  <c r="K62" i="1"/>
  <c r="L62" i="1" s="1"/>
  <c r="K63" i="1"/>
  <c r="L63" i="1" s="1"/>
  <c r="K64" i="1"/>
  <c r="L64" i="1" s="1"/>
  <c r="K65" i="1"/>
  <c r="K66" i="1"/>
  <c r="K67" i="1"/>
  <c r="K68" i="1"/>
  <c r="L68" i="1" s="1"/>
  <c r="K69" i="1"/>
  <c r="K70" i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K78" i="1"/>
  <c r="K79" i="1"/>
  <c r="K80" i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K90" i="1"/>
  <c r="K91" i="1"/>
  <c r="K92" i="1"/>
  <c r="K93" i="1"/>
  <c r="L93" i="1" s="1"/>
  <c r="K94" i="1"/>
  <c r="K95" i="1"/>
  <c r="K96" i="1"/>
  <c r="L96" i="1" s="1"/>
  <c r="K97" i="1"/>
  <c r="L97" i="1" s="1"/>
  <c r="K98" i="1"/>
  <c r="L98" i="1" s="1"/>
  <c r="K99" i="1"/>
  <c r="L99" i="1" s="1"/>
  <c r="K100" i="1"/>
  <c r="L100" i="1" s="1"/>
  <c r="K101" i="1"/>
  <c r="K102" i="1"/>
  <c r="K103" i="1"/>
  <c r="K104" i="1"/>
  <c r="K105" i="1"/>
  <c r="K106" i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K114" i="1"/>
  <c r="K115" i="1"/>
  <c r="K116" i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K126" i="1"/>
  <c r="K127" i="1"/>
  <c r="K128" i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K138" i="1"/>
  <c r="K139" i="1"/>
  <c r="K140" i="1"/>
  <c r="K141" i="1"/>
  <c r="K142" i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K150" i="1"/>
  <c r="K151" i="1"/>
  <c r="K152" i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K162" i="1"/>
  <c r="K163" i="1"/>
  <c r="K164" i="1"/>
  <c r="K165" i="1"/>
  <c r="L165" i="1" s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K174" i="1"/>
  <c r="K175" i="1"/>
  <c r="K176" i="1"/>
  <c r="K177" i="1"/>
  <c r="K178" i="1"/>
  <c r="K179" i="1"/>
  <c r="L179" i="1" s="1"/>
  <c r="K180" i="1"/>
  <c r="L180" i="1" s="1"/>
  <c r="K181" i="1"/>
  <c r="L181" i="1" s="1"/>
  <c r="K182" i="1"/>
  <c r="L182" i="1" s="1"/>
  <c r="K183" i="1"/>
  <c r="L183" i="1" s="1"/>
  <c r="K184" i="1"/>
  <c r="L184" i="1" s="1"/>
  <c r="K185" i="1"/>
  <c r="K186" i="1"/>
  <c r="K187" i="1"/>
  <c r="K188" i="1"/>
  <c r="K189" i="1"/>
  <c r="L189" i="1" s="1"/>
  <c r="K190" i="1"/>
  <c r="L190" i="1" s="1"/>
  <c r="K191" i="1"/>
  <c r="L191" i="1" s="1"/>
  <c r="K192" i="1"/>
  <c r="L192" i="1" s="1"/>
  <c r="K193" i="1"/>
  <c r="L193" i="1" s="1"/>
  <c r="K194" i="1"/>
  <c r="L194" i="1" s="1"/>
  <c r="K195" i="1"/>
  <c r="L195" i="1" s="1"/>
  <c r="K196" i="1"/>
  <c r="L196" i="1" s="1"/>
  <c r="K197" i="1"/>
  <c r="K198" i="1"/>
  <c r="K199" i="1"/>
  <c r="K200" i="1"/>
  <c r="K201" i="1"/>
  <c r="L201" i="1" s="1"/>
  <c r="K202" i="1"/>
  <c r="L202" i="1" s="1"/>
  <c r="K203" i="1"/>
  <c r="L203" i="1" s="1"/>
  <c r="K204" i="1"/>
  <c r="L204" i="1" s="1"/>
  <c r="K205" i="1"/>
  <c r="L205" i="1" s="1"/>
  <c r="K206" i="1"/>
  <c r="L206" i="1" s="1"/>
  <c r="K207" i="1"/>
  <c r="L207" i="1" s="1"/>
  <c r="K208" i="1"/>
  <c r="L208" i="1" s="1"/>
  <c r="K209" i="1"/>
  <c r="K210" i="1"/>
  <c r="K211" i="1"/>
  <c r="K212" i="1"/>
  <c r="K213" i="1"/>
  <c r="K214" i="1"/>
  <c r="K215" i="1"/>
  <c r="L215" i="1" s="1"/>
  <c r="K216" i="1"/>
  <c r="L216" i="1" s="1"/>
  <c r="K217" i="1"/>
  <c r="L217" i="1" s="1"/>
  <c r="K218" i="1"/>
  <c r="L218" i="1" s="1"/>
  <c r="K219" i="1"/>
  <c r="L219" i="1" s="1"/>
  <c r="K220" i="1"/>
  <c r="L220" i="1" s="1"/>
  <c r="K221" i="1"/>
  <c r="K222" i="1"/>
  <c r="K223" i="1"/>
  <c r="K224" i="1"/>
  <c r="K225" i="1"/>
  <c r="L225" i="1" s="1"/>
  <c r="K226" i="1"/>
  <c r="L226" i="1" s="1"/>
  <c r="K227" i="1"/>
  <c r="L227" i="1" s="1"/>
  <c r="K228" i="1"/>
  <c r="L228" i="1" s="1"/>
  <c r="K229" i="1"/>
  <c r="L229" i="1" s="1"/>
  <c r="K230" i="1"/>
  <c r="L230" i="1" s="1"/>
  <c r="K231" i="1"/>
  <c r="L231" i="1" s="1"/>
  <c r="K232" i="1"/>
  <c r="L232" i="1" s="1"/>
  <c r="K233" i="1"/>
  <c r="K234" i="1"/>
  <c r="K235" i="1"/>
  <c r="K236" i="1"/>
  <c r="K237" i="1"/>
  <c r="L237" i="1" s="1"/>
  <c r="K238" i="1"/>
  <c r="L238" i="1" s="1"/>
  <c r="K239" i="1"/>
  <c r="L239" i="1" s="1"/>
  <c r="K240" i="1"/>
  <c r="L240" i="1" s="1"/>
  <c r="K241" i="1"/>
  <c r="L241" i="1" s="1"/>
  <c r="K242" i="1"/>
  <c r="L242" i="1" s="1"/>
  <c r="K243" i="1"/>
  <c r="L243" i="1" s="1"/>
  <c r="K244" i="1"/>
  <c r="L244" i="1" s="1"/>
  <c r="K245" i="1"/>
  <c r="K246" i="1"/>
  <c r="K247" i="1"/>
  <c r="K248" i="1"/>
  <c r="K249" i="1"/>
  <c r="L249" i="1" s="1"/>
  <c r="K250" i="1"/>
  <c r="L250" i="1" s="1"/>
  <c r="K251" i="1"/>
  <c r="L251" i="1" s="1"/>
  <c r="K252" i="1"/>
  <c r="L252" i="1" s="1"/>
  <c r="K253" i="1"/>
  <c r="L253" i="1" s="1"/>
  <c r="K254" i="1"/>
  <c r="L254" i="1" s="1"/>
  <c r="K255" i="1"/>
  <c r="L255" i="1" s="1"/>
  <c r="K256" i="1"/>
  <c r="L256" i="1" s="1"/>
  <c r="K257" i="1"/>
  <c r="K258" i="1"/>
  <c r="K259" i="1"/>
  <c r="K260" i="1"/>
  <c r="K261" i="1"/>
  <c r="K262" i="1"/>
  <c r="K263" i="1"/>
  <c r="L263" i="1" s="1"/>
  <c r="K264" i="1"/>
  <c r="L264" i="1" s="1"/>
  <c r="K265" i="1"/>
  <c r="L265" i="1" s="1"/>
  <c r="K266" i="1"/>
  <c r="L266" i="1" s="1"/>
  <c r="K267" i="1"/>
  <c r="L267" i="1" s="1"/>
  <c r="K268" i="1"/>
  <c r="L268" i="1" s="1"/>
  <c r="K269" i="1"/>
  <c r="K270" i="1"/>
  <c r="K271" i="1"/>
  <c r="K272" i="1"/>
  <c r="K273" i="1"/>
  <c r="L273" i="1" s="1"/>
  <c r="K274" i="1"/>
  <c r="L274" i="1" s="1"/>
  <c r="K275" i="1"/>
  <c r="L275" i="1" s="1"/>
  <c r="K276" i="1"/>
  <c r="L276" i="1" s="1"/>
  <c r="K277" i="1"/>
  <c r="L277" i="1" s="1"/>
  <c r="K278" i="1"/>
  <c r="L278" i="1" s="1"/>
  <c r="K279" i="1"/>
  <c r="L279" i="1" s="1"/>
  <c r="K280" i="1"/>
  <c r="L280" i="1" s="1"/>
  <c r="K281" i="1"/>
  <c r="K282" i="1"/>
  <c r="K283" i="1"/>
  <c r="K284" i="1"/>
  <c r="L284" i="1" s="1"/>
  <c r="K285" i="1"/>
  <c r="K286" i="1"/>
  <c r="K287" i="1"/>
  <c r="L287" i="1" s="1"/>
  <c r="K288" i="1"/>
  <c r="L288" i="1" s="1"/>
  <c r="K289" i="1"/>
  <c r="L289" i="1" s="1"/>
  <c r="K290" i="1"/>
  <c r="L290" i="1" s="1"/>
  <c r="K291" i="1"/>
  <c r="L291" i="1" s="1"/>
  <c r="K292" i="1"/>
  <c r="L292" i="1" s="1"/>
  <c r="K293" i="1"/>
  <c r="K294" i="1"/>
  <c r="K295" i="1"/>
  <c r="K296" i="1"/>
  <c r="K297" i="1"/>
  <c r="K298" i="1"/>
  <c r="K299" i="1"/>
  <c r="L299" i="1" s="1"/>
  <c r="K300" i="1"/>
  <c r="L300" i="1" s="1"/>
  <c r="K301" i="1"/>
  <c r="L301" i="1" s="1"/>
  <c r="K302" i="1"/>
  <c r="L302" i="1" s="1"/>
  <c r="K303" i="1"/>
  <c r="L303" i="1" s="1"/>
  <c r="K304" i="1"/>
  <c r="L304" i="1" s="1"/>
  <c r="K305" i="1"/>
  <c r="K306" i="1"/>
  <c r="K307" i="1"/>
  <c r="K308" i="1"/>
  <c r="K309" i="1"/>
  <c r="L309" i="1" s="1"/>
  <c r="K310" i="1"/>
  <c r="L310" i="1" s="1"/>
  <c r="K311" i="1"/>
  <c r="L311" i="1" s="1"/>
  <c r="K312" i="1"/>
  <c r="L312" i="1" s="1"/>
  <c r="K313" i="1"/>
  <c r="L313" i="1" s="1"/>
  <c r="K314" i="1"/>
  <c r="L314" i="1" s="1"/>
  <c r="K315" i="1"/>
  <c r="L315" i="1" s="1"/>
  <c r="K316" i="1"/>
  <c r="L316" i="1" s="1"/>
  <c r="K317" i="1"/>
  <c r="K318" i="1"/>
  <c r="K319" i="1"/>
  <c r="K320" i="1"/>
  <c r="K321" i="1"/>
  <c r="K322" i="1"/>
  <c r="K323" i="1"/>
  <c r="L323" i="1" s="1"/>
  <c r="K324" i="1"/>
  <c r="L324" i="1" s="1"/>
  <c r="K325" i="1"/>
  <c r="L325" i="1" s="1"/>
  <c r="K326" i="1"/>
  <c r="L326" i="1" s="1"/>
  <c r="K327" i="1"/>
  <c r="L327" i="1" s="1"/>
  <c r="K328" i="1"/>
  <c r="L328" i="1" s="1"/>
  <c r="K329" i="1"/>
  <c r="K330" i="1"/>
  <c r="K331" i="1"/>
  <c r="K332" i="1"/>
  <c r="K333" i="1"/>
  <c r="K334" i="1"/>
  <c r="K335" i="1"/>
  <c r="L335" i="1" s="1"/>
  <c r="K336" i="1"/>
  <c r="L336" i="1" s="1"/>
  <c r="K337" i="1"/>
  <c r="L337" i="1" s="1"/>
  <c r="K338" i="1"/>
  <c r="L338" i="1" s="1"/>
  <c r="K339" i="1"/>
  <c r="L339" i="1" s="1"/>
  <c r="K340" i="1"/>
  <c r="L340" i="1" s="1"/>
  <c r="K341" i="1"/>
  <c r="K342" i="1"/>
  <c r="K343" i="1"/>
  <c r="K344" i="1"/>
  <c r="K345" i="1"/>
  <c r="L345" i="1" s="1"/>
  <c r="K346" i="1"/>
  <c r="L346" i="1" s="1"/>
  <c r="K347" i="1"/>
  <c r="L347" i="1" s="1"/>
  <c r="K348" i="1"/>
  <c r="L348" i="1" s="1"/>
  <c r="K349" i="1"/>
  <c r="L349" i="1" s="1"/>
  <c r="K350" i="1"/>
  <c r="L350" i="1" s="1"/>
  <c r="K351" i="1"/>
  <c r="L351" i="1" s="1"/>
  <c r="K352" i="1"/>
  <c r="L352" i="1" s="1"/>
  <c r="K353" i="1"/>
  <c r="K354" i="1"/>
  <c r="K355" i="1"/>
  <c r="K356" i="1"/>
  <c r="K357" i="1"/>
  <c r="K358" i="1"/>
  <c r="K359" i="1"/>
  <c r="L359" i="1" s="1"/>
  <c r="K360" i="1"/>
  <c r="L360" i="1" s="1"/>
  <c r="K361" i="1"/>
  <c r="L361" i="1" s="1"/>
  <c r="K362" i="1"/>
  <c r="L362" i="1" s="1"/>
  <c r="K363" i="1"/>
  <c r="L363" i="1" s="1"/>
  <c r="K364" i="1"/>
  <c r="L364" i="1" s="1"/>
  <c r="K365" i="1"/>
  <c r="K366" i="1"/>
  <c r="K367" i="1"/>
  <c r="K368" i="1"/>
  <c r="K369" i="1"/>
  <c r="K370" i="1"/>
  <c r="K371" i="1"/>
  <c r="L371" i="1" s="1"/>
  <c r="K372" i="1"/>
  <c r="L372" i="1" s="1"/>
  <c r="K373" i="1"/>
  <c r="L373" i="1" s="1"/>
  <c r="K374" i="1"/>
  <c r="L374" i="1" s="1"/>
  <c r="K375" i="1"/>
  <c r="L375" i="1" s="1"/>
  <c r="K376" i="1"/>
  <c r="L376" i="1" s="1"/>
  <c r="K377" i="1"/>
  <c r="K378" i="1"/>
  <c r="K379" i="1"/>
  <c r="K380" i="1"/>
  <c r="K381" i="1"/>
  <c r="L381" i="1" s="1"/>
  <c r="K382" i="1"/>
  <c r="L382" i="1" s="1"/>
  <c r="K383" i="1"/>
  <c r="L383" i="1" s="1"/>
  <c r="K384" i="1"/>
  <c r="L384" i="1" s="1"/>
  <c r="K385" i="1"/>
  <c r="L385" i="1" s="1"/>
  <c r="K386" i="1"/>
  <c r="L386" i="1" s="1"/>
  <c r="K387" i="1"/>
  <c r="L387" i="1" s="1"/>
  <c r="K388" i="1"/>
  <c r="L388" i="1" s="1"/>
  <c r="K389" i="1"/>
  <c r="K390" i="1"/>
  <c r="K391" i="1"/>
  <c r="K392" i="1"/>
  <c r="K393" i="1"/>
  <c r="K394" i="1"/>
  <c r="K395" i="1"/>
  <c r="L395" i="1" s="1"/>
  <c r="K396" i="1"/>
  <c r="L396" i="1" s="1"/>
  <c r="K397" i="1"/>
  <c r="L397" i="1" s="1"/>
  <c r="K398" i="1"/>
  <c r="L398" i="1" s="1"/>
  <c r="K399" i="1"/>
  <c r="L399" i="1" s="1"/>
  <c r="K400" i="1"/>
  <c r="L400" i="1" s="1"/>
  <c r="K401" i="1"/>
  <c r="K402" i="1"/>
  <c r="K403" i="1"/>
  <c r="K404" i="1"/>
  <c r="K405" i="1"/>
  <c r="K406" i="1"/>
  <c r="K407" i="1"/>
  <c r="L407" i="1" s="1"/>
  <c r="K408" i="1"/>
  <c r="L408" i="1" s="1"/>
  <c r="K409" i="1"/>
  <c r="L409" i="1" s="1"/>
  <c r="K410" i="1"/>
  <c r="L410" i="1" s="1"/>
  <c r="K411" i="1"/>
  <c r="L411" i="1" s="1"/>
  <c r="K412" i="1"/>
  <c r="L412" i="1" s="1"/>
  <c r="K413" i="1"/>
  <c r="K414" i="1"/>
  <c r="K415" i="1"/>
  <c r="K416" i="1"/>
  <c r="K417" i="1"/>
  <c r="L417" i="1" s="1"/>
  <c r="K418" i="1"/>
  <c r="L418" i="1" s="1"/>
  <c r="K419" i="1"/>
  <c r="L419" i="1" s="1"/>
  <c r="K420" i="1"/>
  <c r="L420" i="1" s="1"/>
  <c r="K421" i="1"/>
  <c r="L421" i="1" s="1"/>
  <c r="K422" i="1"/>
  <c r="L422" i="1" s="1"/>
  <c r="K423" i="1"/>
  <c r="L423" i="1" s="1"/>
  <c r="K424" i="1"/>
  <c r="L424" i="1" s="1"/>
  <c r="K425" i="1"/>
  <c r="K426" i="1"/>
  <c r="K427" i="1"/>
  <c r="K428" i="1"/>
  <c r="K429" i="1"/>
  <c r="K430" i="1"/>
  <c r="K431" i="1"/>
  <c r="L431" i="1" s="1"/>
  <c r="K432" i="1"/>
  <c r="L432" i="1" s="1"/>
  <c r="K433" i="1"/>
  <c r="L433" i="1" s="1"/>
  <c r="K434" i="1"/>
  <c r="L434" i="1" s="1"/>
  <c r="K435" i="1"/>
  <c r="L435" i="1" s="1"/>
  <c r="K436" i="1"/>
  <c r="L436" i="1" s="1"/>
  <c r="K437" i="1"/>
  <c r="K438" i="1"/>
  <c r="K439" i="1"/>
  <c r="K440" i="1"/>
  <c r="K441" i="1"/>
  <c r="L441" i="1" s="1"/>
  <c r="K442" i="1"/>
  <c r="L442" i="1" s="1"/>
  <c r="K443" i="1"/>
  <c r="K444" i="1"/>
  <c r="K445" i="1"/>
  <c r="L445" i="1" s="1"/>
  <c r="K446" i="1"/>
  <c r="L446" i="1" s="1"/>
  <c r="K447" i="1"/>
  <c r="L447" i="1" s="1"/>
  <c r="K448" i="1"/>
  <c r="L448" i="1" s="1"/>
  <c r="K449" i="1"/>
  <c r="K450" i="1"/>
  <c r="K451" i="1"/>
  <c r="K452" i="1"/>
  <c r="K453" i="1"/>
  <c r="L453" i="1" s="1"/>
  <c r="K454" i="1"/>
  <c r="L454" i="1" s="1"/>
  <c r="K455" i="1"/>
  <c r="L455" i="1" s="1"/>
  <c r="K456" i="1"/>
  <c r="L456" i="1" s="1"/>
  <c r="K457" i="1"/>
  <c r="L457" i="1" s="1"/>
  <c r="K458" i="1"/>
  <c r="L458" i="1" s="1"/>
  <c r="K459" i="1"/>
  <c r="L459" i="1" s="1"/>
  <c r="K460" i="1"/>
  <c r="L460" i="1" s="1"/>
  <c r="K461" i="1"/>
  <c r="K462" i="1"/>
  <c r="K463" i="1"/>
  <c r="K464" i="1"/>
  <c r="K465" i="1"/>
  <c r="L465" i="1" s="1"/>
  <c r="K466" i="1"/>
  <c r="L466" i="1" s="1"/>
  <c r="K467" i="1"/>
  <c r="L467" i="1" s="1"/>
  <c r="K468" i="1"/>
  <c r="L468" i="1" s="1"/>
  <c r="K469" i="1"/>
  <c r="L469" i="1" s="1"/>
  <c r="K470" i="1"/>
  <c r="L470" i="1" s="1"/>
  <c r="K471" i="1"/>
  <c r="L471" i="1" s="1"/>
  <c r="K472" i="1"/>
  <c r="L472" i="1" s="1"/>
  <c r="K473" i="1"/>
  <c r="K474" i="1"/>
  <c r="K475" i="1"/>
  <c r="K476" i="1"/>
  <c r="K477" i="1"/>
  <c r="K478" i="1"/>
  <c r="K479" i="1"/>
  <c r="K480" i="1"/>
  <c r="K481" i="1"/>
  <c r="L481" i="1" s="1"/>
  <c r="K482" i="1"/>
  <c r="L482" i="1" s="1"/>
  <c r="K483" i="1"/>
  <c r="L483" i="1" s="1"/>
  <c r="K484" i="1"/>
  <c r="L484" i="1" s="1"/>
  <c r="K485" i="1"/>
  <c r="K486" i="1"/>
  <c r="K487" i="1"/>
  <c r="K488" i="1"/>
  <c r="K489" i="1"/>
  <c r="L489" i="1" s="1"/>
  <c r="K490" i="1"/>
  <c r="L490" i="1" s="1"/>
  <c r="K491" i="1"/>
  <c r="L491" i="1" s="1"/>
  <c r="K492" i="1"/>
  <c r="L492" i="1" s="1"/>
  <c r="K493" i="1"/>
  <c r="L493" i="1" s="1"/>
  <c r="K494" i="1"/>
  <c r="L494" i="1" s="1"/>
  <c r="K495" i="1"/>
  <c r="L495" i="1" s="1"/>
  <c r="K496" i="1"/>
  <c r="L496" i="1" s="1"/>
  <c r="K497" i="1"/>
  <c r="K498" i="1"/>
  <c r="K499" i="1"/>
  <c r="K500" i="1"/>
  <c r="L500" i="1" s="1"/>
  <c r="K501" i="1"/>
  <c r="K502" i="1"/>
  <c r="K503" i="1"/>
  <c r="L503" i="1" s="1"/>
  <c r="K504" i="1"/>
  <c r="L504" i="1" s="1"/>
  <c r="K505" i="1"/>
  <c r="L505" i="1" s="1"/>
  <c r="K506" i="1"/>
  <c r="L506" i="1" s="1"/>
  <c r="K507" i="1"/>
  <c r="L507" i="1" s="1"/>
  <c r="K508" i="1"/>
  <c r="L508" i="1" s="1"/>
  <c r="K509" i="1"/>
  <c r="K510" i="1"/>
  <c r="K511" i="1"/>
  <c r="K512" i="1"/>
  <c r="K513" i="1"/>
  <c r="K514" i="1"/>
  <c r="K515" i="1"/>
  <c r="K516" i="1"/>
  <c r="K517" i="1"/>
  <c r="L517" i="1" s="1"/>
  <c r="K518" i="1"/>
  <c r="L518" i="1" s="1"/>
  <c r="K519" i="1"/>
  <c r="L519" i="1" s="1"/>
  <c r="K520" i="1"/>
  <c r="L520" i="1" s="1"/>
  <c r="K521" i="1"/>
  <c r="K522" i="1"/>
  <c r="K523" i="1"/>
  <c r="K524" i="1"/>
  <c r="K525" i="1"/>
  <c r="L525" i="1" s="1"/>
  <c r="K526" i="1"/>
  <c r="L526" i="1" s="1"/>
  <c r="K527" i="1"/>
  <c r="L527" i="1" s="1"/>
  <c r="K528" i="1"/>
  <c r="L528" i="1" s="1"/>
  <c r="K529" i="1"/>
  <c r="L529" i="1" s="1"/>
  <c r="K530" i="1"/>
  <c r="L530" i="1" s="1"/>
  <c r="K531" i="1"/>
  <c r="L531" i="1" s="1"/>
  <c r="K532" i="1"/>
  <c r="L532" i="1" s="1"/>
  <c r="K533" i="1"/>
  <c r="K534" i="1"/>
  <c r="K535" i="1"/>
  <c r="K536" i="1"/>
  <c r="K537" i="1"/>
  <c r="K538" i="1"/>
  <c r="K539" i="1"/>
  <c r="L539" i="1" s="1"/>
  <c r="K540" i="1"/>
  <c r="L540" i="1" s="1"/>
  <c r="K541" i="1"/>
  <c r="L541" i="1" s="1"/>
  <c r="K542" i="1"/>
  <c r="L542" i="1" s="1"/>
  <c r="K543" i="1"/>
  <c r="L543" i="1" s="1"/>
  <c r="K544" i="1"/>
  <c r="L544" i="1" s="1"/>
  <c r="K545" i="1"/>
  <c r="K546" i="1"/>
  <c r="K547" i="1"/>
  <c r="K548" i="1"/>
  <c r="K549" i="1"/>
  <c r="K550" i="1"/>
  <c r="K551" i="1"/>
  <c r="K552" i="1"/>
  <c r="K553" i="1"/>
  <c r="L553" i="1" s="1"/>
  <c r="K554" i="1"/>
  <c r="L554" i="1" s="1"/>
  <c r="K555" i="1"/>
  <c r="L555" i="1" s="1"/>
  <c r="K556" i="1"/>
  <c r="L556" i="1" s="1"/>
  <c r="K557" i="1"/>
  <c r="K558" i="1"/>
  <c r="K559" i="1"/>
  <c r="K560" i="1"/>
  <c r="K561" i="1"/>
  <c r="L561" i="1" s="1"/>
  <c r="K562" i="1"/>
  <c r="L562" i="1" s="1"/>
  <c r="K563" i="1"/>
  <c r="L563" i="1" s="1"/>
  <c r="K564" i="1"/>
  <c r="L564" i="1" s="1"/>
  <c r="K565" i="1"/>
  <c r="L565" i="1" s="1"/>
  <c r="K566" i="1"/>
  <c r="L566" i="1" s="1"/>
  <c r="K567" i="1"/>
  <c r="L567" i="1" s="1"/>
  <c r="K568" i="1"/>
  <c r="L568" i="1" s="1"/>
  <c r="K569" i="1"/>
  <c r="K570" i="1"/>
  <c r="K571" i="1"/>
  <c r="K572" i="1"/>
  <c r="K573" i="1"/>
  <c r="K574" i="1"/>
  <c r="K575" i="1"/>
  <c r="L575" i="1" s="1"/>
  <c r="K576" i="1"/>
  <c r="L576" i="1" s="1"/>
  <c r="K577" i="1"/>
  <c r="L577" i="1" s="1"/>
  <c r="K578" i="1"/>
  <c r="L578" i="1" s="1"/>
  <c r="K579" i="1"/>
  <c r="L579" i="1" s="1"/>
  <c r="K580" i="1"/>
  <c r="L580" i="1" s="1"/>
  <c r="K581" i="1"/>
  <c r="K582" i="1"/>
  <c r="K583" i="1"/>
  <c r="K584" i="1"/>
  <c r="K585" i="1"/>
  <c r="K586" i="1"/>
  <c r="K587" i="1"/>
  <c r="K588" i="1"/>
  <c r="K589" i="1"/>
  <c r="L589" i="1" s="1"/>
  <c r="K590" i="1"/>
  <c r="L590" i="1" s="1"/>
  <c r="K591" i="1"/>
  <c r="L591" i="1" s="1"/>
  <c r="K592" i="1"/>
  <c r="L592" i="1" s="1"/>
  <c r="K593" i="1"/>
  <c r="K594" i="1"/>
  <c r="K595" i="1"/>
  <c r="K596" i="1"/>
  <c r="K597" i="1"/>
  <c r="L597" i="1" s="1"/>
  <c r="K598" i="1"/>
  <c r="L598" i="1" s="1"/>
  <c r="K599" i="1"/>
  <c r="L599" i="1" s="1"/>
  <c r="K600" i="1"/>
  <c r="L600" i="1" s="1"/>
  <c r="K601" i="1"/>
  <c r="L601" i="1" s="1"/>
  <c r="K602" i="1"/>
  <c r="L602" i="1" s="1"/>
  <c r="K603" i="1"/>
  <c r="L603" i="1" s="1"/>
  <c r="K604" i="1"/>
  <c r="L604" i="1" s="1"/>
  <c r="K605" i="1"/>
  <c r="K606" i="1"/>
  <c r="K607" i="1"/>
  <c r="K608" i="1"/>
  <c r="K609" i="1"/>
  <c r="K610" i="1"/>
  <c r="K611" i="1"/>
  <c r="L611" i="1" s="1"/>
  <c r="K612" i="1"/>
  <c r="L612" i="1" s="1"/>
  <c r="K613" i="1"/>
  <c r="L613" i="1" s="1"/>
  <c r="K614" i="1"/>
  <c r="L614" i="1" s="1"/>
  <c r="K615" i="1"/>
  <c r="L615" i="1" s="1"/>
  <c r="K616" i="1"/>
  <c r="L616" i="1" s="1"/>
  <c r="K617" i="1"/>
  <c r="K618" i="1"/>
  <c r="K619" i="1"/>
  <c r="K620" i="1"/>
  <c r="K621" i="1"/>
  <c r="K622" i="1"/>
  <c r="K623" i="1"/>
  <c r="L623" i="1" s="1"/>
  <c r="K624" i="1"/>
  <c r="L624" i="1" s="1"/>
  <c r="K625" i="1"/>
  <c r="L625" i="1" s="1"/>
  <c r="K626" i="1"/>
  <c r="L626" i="1" s="1"/>
  <c r="K627" i="1"/>
  <c r="L627" i="1" s="1"/>
  <c r="K628" i="1"/>
  <c r="L628" i="1" s="1"/>
  <c r="K629" i="1"/>
  <c r="K630" i="1"/>
  <c r="K631" i="1"/>
  <c r="K632" i="1"/>
  <c r="K633" i="1"/>
  <c r="L633" i="1" s="1"/>
  <c r="K634" i="1"/>
  <c r="L634" i="1" s="1"/>
  <c r="K635" i="1"/>
  <c r="L635" i="1" s="1"/>
  <c r="K636" i="1"/>
  <c r="L636" i="1" s="1"/>
  <c r="K637" i="1"/>
  <c r="L637" i="1" s="1"/>
  <c r="K638" i="1"/>
  <c r="L638" i="1" s="1"/>
  <c r="K639" i="1"/>
  <c r="L639" i="1" s="1"/>
  <c r="K640" i="1"/>
  <c r="L640" i="1" s="1"/>
  <c r="K641" i="1"/>
  <c r="K642" i="1"/>
  <c r="K643" i="1"/>
  <c r="K644" i="1"/>
  <c r="K645" i="1"/>
  <c r="K646" i="1"/>
  <c r="K647" i="1"/>
  <c r="L647" i="1" s="1"/>
  <c r="K648" i="1"/>
  <c r="L648" i="1" s="1"/>
  <c r="K649" i="1"/>
  <c r="L649" i="1" s="1"/>
  <c r="K650" i="1"/>
  <c r="L650" i="1" s="1"/>
  <c r="K651" i="1"/>
  <c r="L651" i="1" s="1"/>
  <c r="K652" i="1"/>
  <c r="L652" i="1" s="1"/>
  <c r="K653" i="1"/>
  <c r="K654" i="1"/>
  <c r="K655" i="1"/>
  <c r="K656" i="1"/>
  <c r="K657" i="1"/>
  <c r="L657" i="1" s="1"/>
  <c r="K658" i="1"/>
  <c r="L658" i="1" s="1"/>
  <c r="K659" i="1"/>
  <c r="K660" i="1"/>
  <c r="K661" i="1"/>
  <c r="L661" i="1" s="1"/>
  <c r="K662" i="1"/>
  <c r="L662" i="1" s="1"/>
  <c r="K663" i="1"/>
  <c r="L663" i="1" s="1"/>
  <c r="K664" i="1"/>
  <c r="L664" i="1" s="1"/>
  <c r="K665" i="1"/>
  <c r="K666" i="1"/>
  <c r="K667" i="1"/>
  <c r="K668" i="1"/>
  <c r="K669" i="1"/>
  <c r="L669" i="1" s="1"/>
  <c r="K670" i="1"/>
  <c r="L670" i="1" s="1"/>
  <c r="K671" i="1"/>
  <c r="L671" i="1" s="1"/>
  <c r="K672" i="1"/>
  <c r="L672" i="1" s="1"/>
  <c r="K673" i="1"/>
  <c r="L673" i="1" s="1"/>
  <c r="K674" i="1"/>
  <c r="L674" i="1" s="1"/>
  <c r="K675" i="1"/>
  <c r="L675" i="1" s="1"/>
  <c r="K676" i="1"/>
  <c r="L676" i="1" s="1"/>
  <c r="K677" i="1"/>
  <c r="K678" i="1"/>
  <c r="K679" i="1"/>
  <c r="K680" i="1"/>
  <c r="K681" i="1"/>
  <c r="L681" i="1" s="1"/>
  <c r="K682" i="1"/>
  <c r="L682" i="1" s="1"/>
  <c r="K683" i="1"/>
  <c r="L683" i="1" s="1"/>
  <c r="K684" i="1"/>
  <c r="L684" i="1" s="1"/>
  <c r="K685" i="1"/>
  <c r="L685" i="1" s="1"/>
  <c r="K686" i="1"/>
  <c r="L686" i="1" s="1"/>
  <c r="K687" i="1"/>
  <c r="L687" i="1" s="1"/>
  <c r="K688" i="1"/>
  <c r="L688" i="1" s="1"/>
  <c r="K689" i="1"/>
  <c r="K690" i="1"/>
  <c r="K691" i="1"/>
  <c r="K692" i="1"/>
  <c r="K693" i="1"/>
  <c r="K694" i="1"/>
  <c r="K695" i="1"/>
  <c r="K696" i="1"/>
  <c r="K697" i="1"/>
  <c r="L697" i="1" s="1"/>
  <c r="K698" i="1"/>
  <c r="L698" i="1" s="1"/>
  <c r="K699" i="1"/>
  <c r="L699" i="1" s="1"/>
  <c r="K700" i="1"/>
  <c r="L700" i="1" s="1"/>
  <c r="K701" i="1"/>
  <c r="K702" i="1"/>
  <c r="K703" i="1"/>
  <c r="K704" i="1"/>
  <c r="K705" i="1"/>
  <c r="L705" i="1" s="1"/>
  <c r="K706" i="1"/>
  <c r="L706" i="1" s="1"/>
  <c r="K707" i="1"/>
  <c r="L707" i="1" s="1"/>
  <c r="K708" i="1"/>
  <c r="L708" i="1" s="1"/>
  <c r="K709" i="1"/>
  <c r="L709" i="1" s="1"/>
  <c r="K710" i="1"/>
  <c r="L710" i="1" s="1"/>
  <c r="K711" i="1"/>
  <c r="L711" i="1" s="1"/>
  <c r="K712" i="1"/>
  <c r="L712" i="1" s="1"/>
  <c r="K713" i="1"/>
  <c r="K714" i="1"/>
  <c r="K715" i="1"/>
  <c r="K716" i="1"/>
  <c r="L716" i="1" s="1"/>
  <c r="K717" i="1"/>
  <c r="L717" i="1" s="1"/>
  <c r="K718" i="1"/>
  <c r="L718" i="1" s="1"/>
  <c r="K719" i="1"/>
  <c r="L719" i="1" s="1"/>
  <c r="K720" i="1"/>
  <c r="L720" i="1" s="1"/>
  <c r="K721" i="1"/>
  <c r="L721" i="1" s="1"/>
  <c r="K722" i="1"/>
  <c r="L722" i="1" s="1"/>
  <c r="K723" i="1"/>
  <c r="L723" i="1" s="1"/>
  <c r="K724" i="1"/>
  <c r="L724" i="1" s="1"/>
  <c r="K725" i="1"/>
  <c r="K726" i="1"/>
  <c r="K727" i="1"/>
  <c r="K728" i="1"/>
  <c r="K729" i="1"/>
  <c r="K730" i="1"/>
  <c r="K731" i="1"/>
  <c r="K732" i="1"/>
  <c r="K733" i="1"/>
  <c r="L733" i="1" s="1"/>
  <c r="K734" i="1"/>
  <c r="L734" i="1" s="1"/>
  <c r="K735" i="1"/>
  <c r="L735" i="1" s="1"/>
  <c r="K736" i="1"/>
  <c r="K737" i="1"/>
  <c r="K738" i="1"/>
  <c r="K739" i="1"/>
  <c r="K740" i="1"/>
  <c r="K741" i="1"/>
  <c r="L741" i="1" s="1"/>
  <c r="K742" i="1"/>
  <c r="L742" i="1" s="1"/>
  <c r="K743" i="1"/>
  <c r="L743" i="1" s="1"/>
  <c r="K744" i="1"/>
  <c r="L744" i="1" s="1"/>
  <c r="K745" i="1"/>
  <c r="L745" i="1" s="1"/>
  <c r="K746" i="1"/>
  <c r="L746" i="1" s="1"/>
  <c r="K747" i="1"/>
  <c r="L747" i="1" s="1"/>
  <c r="K748" i="1"/>
  <c r="L748" i="1" s="1"/>
  <c r="K749" i="1"/>
  <c r="K750" i="1"/>
  <c r="K751" i="1"/>
  <c r="K752" i="1"/>
  <c r="K753" i="1"/>
  <c r="L753" i="1" s="1"/>
  <c r="K754" i="1"/>
  <c r="L754" i="1" s="1"/>
  <c r="K755" i="1"/>
  <c r="L755" i="1" s="1"/>
  <c r="K756" i="1"/>
  <c r="L756" i="1" s="1"/>
  <c r="K757" i="1"/>
  <c r="L757" i="1" s="1"/>
  <c r="K758" i="1"/>
  <c r="L758" i="1" s="1"/>
  <c r="K759" i="1"/>
  <c r="L759" i="1" s="1"/>
  <c r="K760" i="1"/>
  <c r="L760" i="1" s="1"/>
  <c r="K761" i="1"/>
  <c r="K762" i="1"/>
  <c r="K763" i="1"/>
  <c r="K764" i="1"/>
  <c r="K765" i="1"/>
  <c r="K766" i="1"/>
  <c r="K767" i="1"/>
  <c r="K768" i="1"/>
  <c r="K769" i="1"/>
  <c r="L769" i="1" s="1"/>
  <c r="K770" i="1"/>
  <c r="L770" i="1" s="1"/>
  <c r="K771" i="1"/>
  <c r="L771" i="1" s="1"/>
  <c r="K772" i="1"/>
  <c r="L772" i="1" s="1"/>
  <c r="K773" i="1"/>
  <c r="K774" i="1"/>
  <c r="K775" i="1"/>
  <c r="K776" i="1"/>
  <c r="K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2" i="1"/>
  <c r="M3" i="1"/>
  <c r="M4" i="1"/>
  <c r="M5" i="1"/>
  <c r="M6" i="1"/>
  <c r="L6" i="1" s="1"/>
  <c r="M7" i="1"/>
  <c r="L7" i="1" s="1"/>
  <c r="M8" i="1"/>
  <c r="M9" i="1"/>
  <c r="M10" i="1"/>
  <c r="M11" i="1"/>
  <c r="M12" i="1"/>
  <c r="M13" i="1"/>
  <c r="M14" i="1"/>
  <c r="M15" i="1"/>
  <c r="M16" i="1"/>
  <c r="M17" i="1"/>
  <c r="M18" i="1"/>
  <c r="L18" i="1" s="1"/>
  <c r="M19" i="1"/>
  <c r="L19" i="1" s="1"/>
  <c r="M20" i="1"/>
  <c r="M21" i="1"/>
  <c r="M22" i="1"/>
  <c r="M23" i="1"/>
  <c r="M24" i="1"/>
  <c r="M25" i="1"/>
  <c r="M26" i="1"/>
  <c r="M27" i="1"/>
  <c r="M28" i="1"/>
  <c r="M29" i="1"/>
  <c r="M30" i="1"/>
  <c r="L30" i="1" s="1"/>
  <c r="M31" i="1"/>
  <c r="L31" i="1" s="1"/>
  <c r="M32" i="1"/>
  <c r="M33" i="1"/>
  <c r="M34" i="1"/>
  <c r="M35" i="1"/>
  <c r="M36" i="1"/>
  <c r="M37" i="1"/>
  <c r="M38" i="1"/>
  <c r="M39" i="1"/>
  <c r="M40" i="1"/>
  <c r="M41" i="1"/>
  <c r="M42" i="1"/>
  <c r="L42" i="1" s="1"/>
  <c r="M43" i="1"/>
  <c r="L43" i="1" s="1"/>
  <c r="M44" i="1"/>
  <c r="M45" i="1"/>
  <c r="M46" i="1"/>
  <c r="M47" i="1"/>
  <c r="M48" i="1"/>
  <c r="M49" i="1"/>
  <c r="M50" i="1"/>
  <c r="M51" i="1"/>
  <c r="M52" i="1"/>
  <c r="M53" i="1"/>
  <c r="L53" i="1" s="1"/>
  <c r="M54" i="1"/>
  <c r="L54" i="1" s="1"/>
  <c r="M55" i="1"/>
  <c r="L55" i="1" s="1"/>
  <c r="M56" i="1"/>
  <c r="M57" i="1"/>
  <c r="M58" i="1"/>
  <c r="M59" i="1"/>
  <c r="M60" i="1"/>
  <c r="M61" i="1"/>
  <c r="M62" i="1"/>
  <c r="M63" i="1"/>
  <c r="M64" i="1"/>
  <c r="M65" i="1"/>
  <c r="M66" i="1"/>
  <c r="L66" i="1" s="1"/>
  <c r="M67" i="1"/>
  <c r="M68" i="1"/>
  <c r="M69" i="1"/>
  <c r="M70" i="1"/>
  <c r="M71" i="1"/>
  <c r="M72" i="1"/>
  <c r="M73" i="1"/>
  <c r="M74" i="1"/>
  <c r="M75" i="1"/>
  <c r="M76" i="1"/>
  <c r="M77" i="1"/>
  <c r="M78" i="1"/>
  <c r="L78" i="1" s="1"/>
  <c r="M79" i="1"/>
  <c r="L79" i="1" s="1"/>
  <c r="M80" i="1"/>
  <c r="M81" i="1"/>
  <c r="M82" i="1"/>
  <c r="M83" i="1"/>
  <c r="M84" i="1"/>
  <c r="M85" i="1"/>
  <c r="M86" i="1"/>
  <c r="M87" i="1"/>
  <c r="M88" i="1"/>
  <c r="M89" i="1"/>
  <c r="L89" i="1" s="1"/>
  <c r="M90" i="1"/>
  <c r="L90" i="1" s="1"/>
  <c r="M91" i="1"/>
  <c r="L91" i="1" s="1"/>
  <c r="M92" i="1"/>
  <c r="M93" i="1"/>
  <c r="M94" i="1"/>
  <c r="M95" i="1"/>
  <c r="M96" i="1"/>
  <c r="M97" i="1"/>
  <c r="M98" i="1"/>
  <c r="M99" i="1"/>
  <c r="M100" i="1"/>
  <c r="M101" i="1"/>
  <c r="M102" i="1"/>
  <c r="M103" i="1"/>
  <c r="L103" i="1" s="1"/>
  <c r="M104" i="1"/>
  <c r="M105" i="1"/>
  <c r="M106" i="1"/>
  <c r="M107" i="1"/>
  <c r="M108" i="1"/>
  <c r="M109" i="1"/>
  <c r="M110" i="1"/>
  <c r="M111" i="1"/>
  <c r="M112" i="1"/>
  <c r="M113" i="1"/>
  <c r="M114" i="1"/>
  <c r="L114" i="1" s="1"/>
  <c r="M115" i="1"/>
  <c r="L115" i="1" s="1"/>
  <c r="M116" i="1"/>
  <c r="M117" i="1"/>
  <c r="M118" i="1"/>
  <c r="M119" i="1"/>
  <c r="M120" i="1"/>
  <c r="M121" i="1"/>
  <c r="M122" i="1"/>
  <c r="M123" i="1"/>
  <c r="M124" i="1"/>
  <c r="M125" i="1"/>
  <c r="L125" i="1" s="1"/>
  <c r="M126" i="1"/>
  <c r="L126" i="1" s="1"/>
  <c r="M127" i="1"/>
  <c r="L127" i="1" s="1"/>
  <c r="M128" i="1"/>
  <c r="M129" i="1"/>
  <c r="M130" i="1"/>
  <c r="M131" i="1"/>
  <c r="M132" i="1"/>
  <c r="M133" i="1"/>
  <c r="M134" i="1"/>
  <c r="M135" i="1"/>
  <c r="M136" i="1"/>
  <c r="M137" i="1"/>
  <c r="M138" i="1"/>
  <c r="L138" i="1" s="1"/>
  <c r="M139" i="1"/>
  <c r="L139" i="1" s="1"/>
  <c r="M140" i="1"/>
  <c r="M141" i="1"/>
  <c r="M142" i="1"/>
  <c r="M143" i="1"/>
  <c r="M144" i="1"/>
  <c r="M145" i="1"/>
  <c r="M146" i="1"/>
  <c r="M147" i="1"/>
  <c r="M148" i="1"/>
  <c r="M149" i="1"/>
  <c r="M150" i="1"/>
  <c r="L150" i="1" s="1"/>
  <c r="M151" i="1"/>
  <c r="L151" i="1" s="1"/>
  <c r="M152" i="1"/>
  <c r="M153" i="1"/>
  <c r="M154" i="1"/>
  <c r="M155" i="1"/>
  <c r="M156" i="1"/>
  <c r="M157" i="1"/>
  <c r="M158" i="1"/>
  <c r="M159" i="1"/>
  <c r="M160" i="1"/>
  <c r="M161" i="1"/>
  <c r="M162" i="1"/>
  <c r="M163" i="1"/>
  <c r="L163" i="1" s="1"/>
  <c r="M164" i="1"/>
  <c r="M165" i="1"/>
  <c r="M166" i="1"/>
  <c r="M167" i="1"/>
  <c r="M168" i="1"/>
  <c r="M169" i="1"/>
  <c r="M170" i="1"/>
  <c r="M171" i="1"/>
  <c r="M172" i="1"/>
  <c r="M173" i="1"/>
  <c r="M174" i="1"/>
  <c r="L174" i="1" s="1"/>
  <c r="M175" i="1"/>
  <c r="L175" i="1" s="1"/>
  <c r="M176" i="1"/>
  <c r="M177" i="1"/>
  <c r="M178" i="1"/>
  <c r="M179" i="1"/>
  <c r="M180" i="1"/>
  <c r="M181" i="1"/>
  <c r="M182" i="1"/>
  <c r="M183" i="1"/>
  <c r="M184" i="1"/>
  <c r="M185" i="1"/>
  <c r="M186" i="1"/>
  <c r="L186" i="1" s="1"/>
  <c r="M187" i="1"/>
  <c r="L187" i="1" s="1"/>
  <c r="M188" i="1"/>
  <c r="M189" i="1"/>
  <c r="M190" i="1"/>
  <c r="M191" i="1"/>
  <c r="M192" i="1"/>
  <c r="M193" i="1"/>
  <c r="M194" i="1"/>
  <c r="M195" i="1"/>
  <c r="M196" i="1"/>
  <c r="M197" i="1"/>
  <c r="L197" i="1" s="1"/>
  <c r="M198" i="1"/>
  <c r="L198" i="1" s="1"/>
  <c r="M199" i="1"/>
  <c r="L199" i="1" s="1"/>
  <c r="M200" i="1"/>
  <c r="M201" i="1"/>
  <c r="M202" i="1"/>
  <c r="M203" i="1"/>
  <c r="M204" i="1"/>
  <c r="M205" i="1"/>
  <c r="M206" i="1"/>
  <c r="M207" i="1"/>
  <c r="M208" i="1"/>
  <c r="M209" i="1"/>
  <c r="M210" i="1"/>
  <c r="L210" i="1" s="1"/>
  <c r="M211" i="1"/>
  <c r="L211" i="1" s="1"/>
  <c r="M212" i="1"/>
  <c r="M213" i="1"/>
  <c r="M214" i="1"/>
  <c r="M215" i="1"/>
  <c r="M216" i="1"/>
  <c r="M217" i="1"/>
  <c r="M218" i="1"/>
  <c r="M219" i="1"/>
  <c r="M220" i="1"/>
  <c r="M221" i="1"/>
  <c r="M222" i="1"/>
  <c r="L222" i="1" s="1"/>
  <c r="M223" i="1"/>
  <c r="L223" i="1" s="1"/>
  <c r="M224" i="1"/>
  <c r="M225" i="1"/>
  <c r="M226" i="1"/>
  <c r="M227" i="1"/>
  <c r="M228" i="1"/>
  <c r="M229" i="1"/>
  <c r="M230" i="1"/>
  <c r="M231" i="1"/>
  <c r="M232" i="1"/>
  <c r="M233" i="1"/>
  <c r="L233" i="1" s="1"/>
  <c r="M234" i="1"/>
  <c r="L234" i="1" s="1"/>
  <c r="M235" i="1"/>
  <c r="L235" i="1" s="1"/>
  <c r="M236" i="1"/>
  <c r="M237" i="1"/>
  <c r="M238" i="1"/>
  <c r="M239" i="1"/>
  <c r="M240" i="1"/>
  <c r="M241" i="1"/>
  <c r="M242" i="1"/>
  <c r="M243" i="1"/>
  <c r="M244" i="1"/>
  <c r="M245" i="1"/>
  <c r="M246" i="1"/>
  <c r="L246" i="1" s="1"/>
  <c r="M247" i="1"/>
  <c r="L247" i="1" s="1"/>
  <c r="M248" i="1"/>
  <c r="M249" i="1"/>
  <c r="M250" i="1"/>
  <c r="M251" i="1"/>
  <c r="M252" i="1"/>
  <c r="M253" i="1"/>
  <c r="M254" i="1"/>
  <c r="M255" i="1"/>
  <c r="M256" i="1"/>
  <c r="M257" i="1"/>
  <c r="M258" i="1"/>
  <c r="L258" i="1" s="1"/>
  <c r="M259" i="1"/>
  <c r="L259" i="1" s="1"/>
  <c r="M260" i="1"/>
  <c r="M261" i="1"/>
  <c r="M262" i="1"/>
  <c r="M263" i="1"/>
  <c r="M264" i="1"/>
  <c r="M265" i="1"/>
  <c r="M266" i="1"/>
  <c r="M267" i="1"/>
  <c r="M268" i="1"/>
  <c r="M269" i="1"/>
  <c r="L269" i="1" s="1"/>
  <c r="M270" i="1"/>
  <c r="L270" i="1" s="1"/>
  <c r="M271" i="1"/>
  <c r="L271" i="1" s="1"/>
  <c r="M272" i="1"/>
  <c r="M273" i="1"/>
  <c r="M274" i="1"/>
  <c r="M275" i="1"/>
  <c r="M276" i="1"/>
  <c r="M277" i="1"/>
  <c r="M278" i="1"/>
  <c r="M279" i="1"/>
  <c r="M280" i="1"/>
  <c r="M281" i="1"/>
  <c r="M282" i="1"/>
  <c r="L282" i="1" s="1"/>
  <c r="M283" i="1"/>
  <c r="M284" i="1"/>
  <c r="M285" i="1"/>
  <c r="M286" i="1"/>
  <c r="M287" i="1"/>
  <c r="M288" i="1"/>
  <c r="M289" i="1"/>
  <c r="M290" i="1"/>
  <c r="M291" i="1"/>
  <c r="M292" i="1"/>
  <c r="M293" i="1"/>
  <c r="M294" i="1"/>
  <c r="L294" i="1" s="1"/>
  <c r="M295" i="1"/>
  <c r="L295" i="1" s="1"/>
  <c r="M296" i="1"/>
  <c r="M297" i="1"/>
  <c r="M298" i="1"/>
  <c r="M299" i="1"/>
  <c r="M300" i="1"/>
  <c r="M301" i="1"/>
  <c r="M302" i="1"/>
  <c r="M303" i="1"/>
  <c r="M304" i="1"/>
  <c r="M305" i="1"/>
  <c r="L305" i="1" s="1"/>
  <c r="M306" i="1"/>
  <c r="L306" i="1" s="1"/>
  <c r="M307" i="1"/>
  <c r="L307" i="1" s="1"/>
  <c r="M308" i="1"/>
  <c r="M309" i="1"/>
  <c r="M310" i="1"/>
  <c r="M311" i="1"/>
  <c r="M312" i="1"/>
  <c r="M313" i="1"/>
  <c r="M314" i="1"/>
  <c r="M315" i="1"/>
  <c r="M316" i="1"/>
  <c r="M317" i="1"/>
  <c r="M318" i="1"/>
  <c r="M319" i="1"/>
  <c r="L319" i="1" s="1"/>
  <c r="M320" i="1"/>
  <c r="M321" i="1"/>
  <c r="M322" i="1"/>
  <c r="M323" i="1"/>
  <c r="M324" i="1"/>
  <c r="M325" i="1"/>
  <c r="M326" i="1"/>
  <c r="M327" i="1"/>
  <c r="M328" i="1"/>
  <c r="M329" i="1"/>
  <c r="M330" i="1"/>
  <c r="L330" i="1" s="1"/>
  <c r="M331" i="1"/>
  <c r="L331" i="1" s="1"/>
  <c r="M332" i="1"/>
  <c r="M333" i="1"/>
  <c r="M334" i="1"/>
  <c r="M335" i="1"/>
  <c r="M336" i="1"/>
  <c r="M337" i="1"/>
  <c r="M338" i="1"/>
  <c r="M339" i="1"/>
  <c r="M340" i="1"/>
  <c r="M341" i="1"/>
  <c r="L341" i="1" s="1"/>
  <c r="M342" i="1"/>
  <c r="L342" i="1" s="1"/>
  <c r="M343" i="1"/>
  <c r="L343" i="1" s="1"/>
  <c r="M344" i="1"/>
  <c r="M345" i="1"/>
  <c r="M346" i="1"/>
  <c r="M347" i="1"/>
  <c r="M348" i="1"/>
  <c r="M349" i="1"/>
  <c r="M350" i="1"/>
  <c r="M351" i="1"/>
  <c r="M352" i="1"/>
  <c r="M353" i="1"/>
  <c r="M354" i="1"/>
  <c r="L354" i="1" s="1"/>
  <c r="M355" i="1"/>
  <c r="L355" i="1" s="1"/>
  <c r="M356" i="1"/>
  <c r="M357" i="1"/>
  <c r="M358" i="1"/>
  <c r="M359" i="1"/>
  <c r="M360" i="1"/>
  <c r="M361" i="1"/>
  <c r="M362" i="1"/>
  <c r="M363" i="1"/>
  <c r="M364" i="1"/>
  <c r="M365" i="1"/>
  <c r="M366" i="1"/>
  <c r="L366" i="1" s="1"/>
  <c r="M367" i="1"/>
  <c r="L367" i="1" s="1"/>
  <c r="M368" i="1"/>
  <c r="M369" i="1"/>
  <c r="M370" i="1"/>
  <c r="M371" i="1"/>
  <c r="M372" i="1"/>
  <c r="M373" i="1"/>
  <c r="M374" i="1"/>
  <c r="M375" i="1"/>
  <c r="M376" i="1"/>
  <c r="M377" i="1"/>
  <c r="M378" i="1"/>
  <c r="M379" i="1"/>
  <c r="L379" i="1" s="1"/>
  <c r="M380" i="1"/>
  <c r="M381" i="1"/>
  <c r="M382" i="1"/>
  <c r="M383" i="1"/>
  <c r="M384" i="1"/>
  <c r="M385" i="1"/>
  <c r="M386" i="1"/>
  <c r="M387" i="1"/>
  <c r="M388" i="1"/>
  <c r="M389" i="1"/>
  <c r="M390" i="1"/>
  <c r="L390" i="1" s="1"/>
  <c r="M391" i="1"/>
  <c r="L391" i="1" s="1"/>
  <c r="M392" i="1"/>
  <c r="M393" i="1"/>
  <c r="M394" i="1"/>
  <c r="M395" i="1"/>
  <c r="M396" i="1"/>
  <c r="M397" i="1"/>
  <c r="M398" i="1"/>
  <c r="M399" i="1"/>
  <c r="M400" i="1"/>
  <c r="M401" i="1"/>
  <c r="M402" i="1"/>
  <c r="L402" i="1" s="1"/>
  <c r="M403" i="1"/>
  <c r="L403" i="1" s="1"/>
  <c r="M404" i="1"/>
  <c r="M405" i="1"/>
  <c r="M406" i="1"/>
  <c r="M407" i="1"/>
  <c r="M408" i="1"/>
  <c r="M409" i="1"/>
  <c r="M410" i="1"/>
  <c r="M411" i="1"/>
  <c r="M412" i="1"/>
  <c r="M413" i="1"/>
  <c r="L413" i="1" s="1"/>
  <c r="M414" i="1"/>
  <c r="L414" i="1" s="1"/>
  <c r="M415" i="1"/>
  <c r="L415" i="1" s="1"/>
  <c r="M416" i="1"/>
  <c r="M417" i="1"/>
  <c r="M418" i="1"/>
  <c r="M419" i="1"/>
  <c r="M420" i="1"/>
  <c r="M421" i="1"/>
  <c r="M422" i="1"/>
  <c r="M423" i="1"/>
  <c r="M424" i="1"/>
  <c r="M425" i="1"/>
  <c r="M426" i="1"/>
  <c r="L426" i="1" s="1"/>
  <c r="M427" i="1"/>
  <c r="L427" i="1" s="1"/>
  <c r="M428" i="1"/>
  <c r="M429" i="1"/>
  <c r="M430" i="1"/>
  <c r="M431" i="1"/>
  <c r="M432" i="1"/>
  <c r="M433" i="1"/>
  <c r="M434" i="1"/>
  <c r="M435" i="1"/>
  <c r="M436" i="1"/>
  <c r="M437" i="1"/>
  <c r="M438" i="1"/>
  <c r="L438" i="1" s="1"/>
  <c r="M439" i="1"/>
  <c r="L439" i="1" s="1"/>
  <c r="M440" i="1"/>
  <c r="M441" i="1"/>
  <c r="M442" i="1"/>
  <c r="M443" i="1"/>
  <c r="M444" i="1"/>
  <c r="M445" i="1"/>
  <c r="M446" i="1"/>
  <c r="M447" i="1"/>
  <c r="M448" i="1"/>
  <c r="M449" i="1"/>
  <c r="L449" i="1" s="1"/>
  <c r="M450" i="1"/>
  <c r="L450" i="1" s="1"/>
  <c r="M451" i="1"/>
  <c r="L451" i="1" s="1"/>
  <c r="M452" i="1"/>
  <c r="M453" i="1"/>
  <c r="M454" i="1"/>
  <c r="M455" i="1"/>
  <c r="M456" i="1"/>
  <c r="M457" i="1"/>
  <c r="M458" i="1"/>
  <c r="M459" i="1"/>
  <c r="M460" i="1"/>
  <c r="M461" i="1"/>
  <c r="M462" i="1"/>
  <c r="L462" i="1" s="1"/>
  <c r="M463" i="1"/>
  <c r="L463" i="1" s="1"/>
  <c r="M464" i="1"/>
  <c r="M465" i="1"/>
  <c r="M466" i="1"/>
  <c r="M467" i="1"/>
  <c r="M468" i="1"/>
  <c r="M469" i="1"/>
  <c r="M470" i="1"/>
  <c r="M471" i="1"/>
  <c r="M472" i="1"/>
  <c r="M473" i="1"/>
  <c r="M474" i="1"/>
  <c r="L474" i="1" s="1"/>
  <c r="M475" i="1"/>
  <c r="L475" i="1" s="1"/>
  <c r="M476" i="1"/>
  <c r="M477" i="1"/>
  <c r="M478" i="1"/>
  <c r="M479" i="1"/>
  <c r="M480" i="1"/>
  <c r="M481" i="1"/>
  <c r="M482" i="1"/>
  <c r="M483" i="1"/>
  <c r="M484" i="1"/>
  <c r="M485" i="1"/>
  <c r="L485" i="1" s="1"/>
  <c r="M486" i="1"/>
  <c r="L486" i="1" s="1"/>
  <c r="M487" i="1"/>
  <c r="L487" i="1" s="1"/>
  <c r="M488" i="1"/>
  <c r="M489" i="1"/>
  <c r="M490" i="1"/>
  <c r="M491" i="1"/>
  <c r="M492" i="1"/>
  <c r="M493" i="1"/>
  <c r="M494" i="1"/>
  <c r="M495" i="1"/>
  <c r="M496" i="1"/>
  <c r="M497" i="1"/>
  <c r="M498" i="1"/>
  <c r="L498" i="1" s="1"/>
  <c r="M499" i="1"/>
  <c r="M500" i="1"/>
  <c r="M501" i="1"/>
  <c r="M502" i="1"/>
  <c r="M503" i="1"/>
  <c r="M504" i="1"/>
  <c r="M505" i="1"/>
  <c r="M506" i="1"/>
  <c r="M507" i="1"/>
  <c r="M508" i="1"/>
  <c r="M509" i="1"/>
  <c r="M510" i="1"/>
  <c r="L510" i="1" s="1"/>
  <c r="M511" i="1"/>
  <c r="L511" i="1" s="1"/>
  <c r="M512" i="1"/>
  <c r="M513" i="1"/>
  <c r="M514" i="1"/>
  <c r="M515" i="1"/>
  <c r="M516" i="1"/>
  <c r="M517" i="1"/>
  <c r="M518" i="1"/>
  <c r="M519" i="1"/>
  <c r="M520" i="1"/>
  <c r="M521" i="1"/>
  <c r="L521" i="1" s="1"/>
  <c r="M522" i="1"/>
  <c r="L522" i="1" s="1"/>
  <c r="M523" i="1"/>
  <c r="L523" i="1" s="1"/>
  <c r="M524" i="1"/>
  <c r="M525" i="1"/>
  <c r="M526" i="1"/>
  <c r="M527" i="1"/>
  <c r="M528" i="1"/>
  <c r="M529" i="1"/>
  <c r="M530" i="1"/>
  <c r="M531" i="1"/>
  <c r="M532" i="1"/>
  <c r="M533" i="1"/>
  <c r="M534" i="1"/>
  <c r="M535" i="1"/>
  <c r="L535" i="1" s="1"/>
  <c r="M536" i="1"/>
  <c r="M537" i="1"/>
  <c r="M538" i="1"/>
  <c r="M539" i="1"/>
  <c r="M540" i="1"/>
  <c r="M541" i="1"/>
  <c r="M542" i="1"/>
  <c r="M543" i="1"/>
  <c r="M544" i="1"/>
  <c r="M545" i="1"/>
  <c r="M546" i="1"/>
  <c r="L546" i="1" s="1"/>
  <c r="M547" i="1"/>
  <c r="L547" i="1" s="1"/>
  <c r="M548" i="1"/>
  <c r="M549" i="1"/>
  <c r="M550" i="1"/>
  <c r="M551" i="1"/>
  <c r="M552" i="1"/>
  <c r="M553" i="1"/>
  <c r="M554" i="1"/>
  <c r="M555" i="1"/>
  <c r="M556" i="1"/>
  <c r="M557" i="1"/>
  <c r="L557" i="1" s="1"/>
  <c r="M558" i="1"/>
  <c r="L558" i="1" s="1"/>
  <c r="M559" i="1"/>
  <c r="L559" i="1" s="1"/>
  <c r="M560" i="1"/>
  <c r="M561" i="1"/>
  <c r="M562" i="1"/>
  <c r="M563" i="1"/>
  <c r="M564" i="1"/>
  <c r="M565" i="1"/>
  <c r="M566" i="1"/>
  <c r="M567" i="1"/>
  <c r="M568" i="1"/>
  <c r="M569" i="1"/>
  <c r="M570" i="1"/>
  <c r="L570" i="1" s="1"/>
  <c r="M571" i="1"/>
  <c r="L571" i="1" s="1"/>
  <c r="M572" i="1"/>
  <c r="M573" i="1"/>
  <c r="M574" i="1"/>
  <c r="M575" i="1"/>
  <c r="M576" i="1"/>
  <c r="M577" i="1"/>
  <c r="M578" i="1"/>
  <c r="M579" i="1"/>
  <c r="M580" i="1"/>
  <c r="M581" i="1"/>
  <c r="M582" i="1"/>
  <c r="L582" i="1" s="1"/>
  <c r="M583" i="1"/>
  <c r="L583" i="1" s="1"/>
  <c r="M584" i="1"/>
  <c r="M585" i="1"/>
  <c r="M586" i="1"/>
  <c r="M587" i="1"/>
  <c r="M588" i="1"/>
  <c r="M589" i="1"/>
  <c r="M590" i="1"/>
  <c r="M591" i="1"/>
  <c r="M592" i="1"/>
  <c r="M593" i="1"/>
  <c r="M594" i="1"/>
  <c r="M595" i="1"/>
  <c r="L595" i="1" s="1"/>
  <c r="M596" i="1"/>
  <c r="M597" i="1"/>
  <c r="M598" i="1"/>
  <c r="M599" i="1"/>
  <c r="M600" i="1"/>
  <c r="M601" i="1"/>
  <c r="M602" i="1"/>
  <c r="M603" i="1"/>
  <c r="M604" i="1"/>
  <c r="M605" i="1"/>
  <c r="M606" i="1"/>
  <c r="L606" i="1" s="1"/>
  <c r="M607" i="1"/>
  <c r="L607" i="1" s="1"/>
  <c r="M608" i="1"/>
  <c r="M609" i="1"/>
  <c r="M610" i="1"/>
  <c r="M611" i="1"/>
  <c r="M612" i="1"/>
  <c r="M613" i="1"/>
  <c r="M614" i="1"/>
  <c r="M615" i="1"/>
  <c r="M616" i="1"/>
  <c r="M617" i="1"/>
  <c r="M618" i="1"/>
  <c r="L618" i="1" s="1"/>
  <c r="M619" i="1"/>
  <c r="L619" i="1" s="1"/>
  <c r="M620" i="1"/>
  <c r="M621" i="1"/>
  <c r="M622" i="1"/>
  <c r="M623" i="1"/>
  <c r="M624" i="1"/>
  <c r="M625" i="1"/>
  <c r="M626" i="1"/>
  <c r="M627" i="1"/>
  <c r="M628" i="1"/>
  <c r="M629" i="1"/>
  <c r="M630" i="1"/>
  <c r="L630" i="1" s="1"/>
  <c r="M631" i="1"/>
  <c r="L631" i="1" s="1"/>
  <c r="M632" i="1"/>
  <c r="M633" i="1"/>
  <c r="M634" i="1"/>
  <c r="M635" i="1"/>
  <c r="M636" i="1"/>
  <c r="M637" i="1"/>
  <c r="M638" i="1"/>
  <c r="M639" i="1"/>
  <c r="M640" i="1"/>
  <c r="M641" i="1"/>
  <c r="M642" i="1"/>
  <c r="L642" i="1" s="1"/>
  <c r="M643" i="1"/>
  <c r="L643" i="1" s="1"/>
  <c r="M644" i="1"/>
  <c r="M645" i="1"/>
  <c r="M646" i="1"/>
  <c r="M647" i="1"/>
  <c r="M648" i="1"/>
  <c r="M649" i="1"/>
  <c r="M650" i="1"/>
  <c r="M651" i="1"/>
  <c r="M652" i="1"/>
  <c r="M653" i="1"/>
  <c r="M654" i="1"/>
  <c r="L654" i="1" s="1"/>
  <c r="M655" i="1"/>
  <c r="L655" i="1" s="1"/>
  <c r="M656" i="1"/>
  <c r="M657" i="1"/>
  <c r="M658" i="1"/>
  <c r="M659" i="1"/>
  <c r="M660" i="1"/>
  <c r="M661" i="1"/>
  <c r="M662" i="1"/>
  <c r="M663" i="1"/>
  <c r="M664" i="1"/>
  <c r="M665" i="1"/>
  <c r="M666" i="1"/>
  <c r="L666" i="1" s="1"/>
  <c r="M667" i="1"/>
  <c r="L667" i="1" s="1"/>
  <c r="M668" i="1"/>
  <c r="M669" i="1"/>
  <c r="M670" i="1"/>
  <c r="M671" i="1"/>
  <c r="M672" i="1"/>
  <c r="M673" i="1"/>
  <c r="M674" i="1"/>
  <c r="M675" i="1"/>
  <c r="M676" i="1"/>
  <c r="M677" i="1"/>
  <c r="M678" i="1"/>
  <c r="L678" i="1" s="1"/>
  <c r="M679" i="1"/>
  <c r="L679" i="1" s="1"/>
  <c r="M680" i="1"/>
  <c r="M681" i="1"/>
  <c r="M682" i="1"/>
  <c r="M683" i="1"/>
  <c r="M684" i="1"/>
  <c r="M685" i="1"/>
  <c r="M686" i="1"/>
  <c r="M687" i="1"/>
  <c r="M688" i="1"/>
  <c r="M689" i="1"/>
  <c r="M690" i="1"/>
  <c r="L690" i="1" s="1"/>
  <c r="M691" i="1"/>
  <c r="L691" i="1" s="1"/>
  <c r="M692" i="1"/>
  <c r="M693" i="1"/>
  <c r="M694" i="1"/>
  <c r="M695" i="1"/>
  <c r="M696" i="1"/>
  <c r="M697" i="1"/>
  <c r="M698" i="1"/>
  <c r="M699" i="1"/>
  <c r="M700" i="1"/>
  <c r="M701" i="1"/>
  <c r="M702" i="1"/>
  <c r="L702" i="1" s="1"/>
  <c r="M703" i="1"/>
  <c r="L703" i="1" s="1"/>
  <c r="M704" i="1"/>
  <c r="M705" i="1"/>
  <c r="M706" i="1"/>
  <c r="M707" i="1"/>
  <c r="M708" i="1"/>
  <c r="M709" i="1"/>
  <c r="M710" i="1"/>
  <c r="M711" i="1"/>
  <c r="M712" i="1"/>
  <c r="M713" i="1"/>
  <c r="M714" i="1"/>
  <c r="L714" i="1" s="1"/>
  <c r="M715" i="1"/>
  <c r="M716" i="1"/>
  <c r="M717" i="1"/>
  <c r="M718" i="1"/>
  <c r="M719" i="1"/>
  <c r="M720" i="1"/>
  <c r="M721" i="1"/>
  <c r="M722" i="1"/>
  <c r="M723" i="1"/>
  <c r="M724" i="1"/>
  <c r="M725" i="1"/>
  <c r="M726" i="1"/>
  <c r="L726" i="1" s="1"/>
  <c r="M727" i="1"/>
  <c r="L727" i="1" s="1"/>
  <c r="M728" i="1"/>
  <c r="M729" i="1"/>
  <c r="M730" i="1"/>
  <c r="M731" i="1"/>
  <c r="M732" i="1"/>
  <c r="M733" i="1"/>
  <c r="M734" i="1"/>
  <c r="M735" i="1"/>
  <c r="M736" i="1"/>
  <c r="M737" i="1"/>
  <c r="M738" i="1"/>
  <c r="L738" i="1" s="1"/>
  <c r="M739" i="1"/>
  <c r="L739" i="1" s="1"/>
  <c r="M740" i="1"/>
  <c r="M741" i="1"/>
  <c r="M742" i="1"/>
  <c r="M743" i="1"/>
  <c r="M744" i="1"/>
  <c r="M745" i="1"/>
  <c r="M746" i="1"/>
  <c r="M747" i="1"/>
  <c r="M748" i="1"/>
  <c r="M749" i="1"/>
  <c r="M750" i="1"/>
  <c r="L750" i="1" s="1"/>
  <c r="M751" i="1"/>
  <c r="L751" i="1" s="1"/>
  <c r="M752" i="1"/>
  <c r="M753" i="1"/>
  <c r="M754" i="1"/>
  <c r="M755" i="1"/>
  <c r="M756" i="1"/>
  <c r="M757" i="1"/>
  <c r="M758" i="1"/>
  <c r="M759" i="1"/>
  <c r="M760" i="1"/>
  <c r="M761" i="1"/>
  <c r="M762" i="1"/>
  <c r="L762" i="1" s="1"/>
  <c r="M763" i="1"/>
  <c r="L763" i="1" s="1"/>
  <c r="M764" i="1"/>
  <c r="M765" i="1"/>
  <c r="M766" i="1"/>
  <c r="M767" i="1"/>
  <c r="M768" i="1"/>
  <c r="M769" i="1"/>
  <c r="M770" i="1"/>
  <c r="M771" i="1"/>
  <c r="M772" i="1"/>
  <c r="M773" i="1"/>
  <c r="M774" i="1"/>
  <c r="L774" i="1" s="1"/>
  <c r="M775" i="1"/>
  <c r="L775" i="1" s="1"/>
  <c r="M776" i="1"/>
  <c r="M2" i="1"/>
  <c r="L283" i="1" l="1"/>
  <c r="L67" i="1"/>
  <c r="L594" i="1"/>
  <c r="L534" i="1"/>
  <c r="L378" i="1"/>
  <c r="L318" i="1"/>
  <c r="L162" i="1"/>
  <c r="L102" i="1"/>
  <c r="L715" i="1"/>
  <c r="L499" i="1"/>
  <c r="L776" i="1"/>
  <c r="L764" i="1"/>
  <c r="L740" i="1"/>
  <c r="L728" i="1"/>
  <c r="L704" i="1"/>
  <c r="L692" i="1"/>
  <c r="L668" i="1"/>
  <c r="L656" i="1"/>
  <c r="L632" i="1"/>
  <c r="L620" i="1"/>
  <c r="L596" i="1"/>
  <c r="L584" i="1"/>
  <c r="L560" i="1"/>
  <c r="L548" i="1"/>
  <c r="L524" i="1"/>
  <c r="L512" i="1"/>
  <c r="L488" i="1"/>
  <c r="L476" i="1"/>
  <c r="L452" i="1"/>
  <c r="L440" i="1"/>
  <c r="L416" i="1"/>
  <c r="L404" i="1"/>
  <c r="L380" i="1"/>
  <c r="L368" i="1"/>
  <c r="L344" i="1"/>
  <c r="L332" i="1"/>
  <c r="L308" i="1"/>
  <c r="L296" i="1"/>
  <c r="L593" i="1"/>
  <c r="L377" i="1"/>
  <c r="L161" i="1"/>
  <c r="L272" i="1"/>
  <c r="L260" i="1"/>
  <c r="L236" i="1"/>
  <c r="L224" i="1"/>
  <c r="L200" i="1"/>
  <c r="L188" i="1"/>
  <c r="L164" i="1"/>
  <c r="L152" i="1"/>
  <c r="L128" i="1"/>
  <c r="L116" i="1"/>
  <c r="L92" i="1"/>
  <c r="L80" i="1"/>
  <c r="L56" i="1"/>
  <c r="L44" i="1"/>
  <c r="L20" i="1"/>
  <c r="L8" i="1"/>
  <c r="L773" i="1"/>
  <c r="L761" i="1"/>
  <c r="L749" i="1"/>
  <c r="L725" i="1"/>
  <c r="L713" i="1"/>
  <c r="L689" i="1"/>
  <c r="L677" i="1"/>
  <c r="L653" i="1"/>
  <c r="L641" i="1"/>
  <c r="L617" i="1"/>
  <c r="L605" i="1"/>
  <c r="L581" i="1"/>
  <c r="L569" i="1"/>
  <c r="L545" i="1"/>
  <c r="L533" i="1"/>
  <c r="L509" i="1"/>
  <c r="L497" i="1"/>
  <c r="L473" i="1"/>
  <c r="L461" i="1"/>
  <c r="L437" i="1"/>
  <c r="L425" i="1"/>
  <c r="L401" i="1"/>
  <c r="L389" i="1"/>
  <c r="L365" i="1"/>
  <c r="L353" i="1"/>
  <c r="L329" i="1"/>
  <c r="L317" i="1"/>
  <c r="L293" i="1"/>
  <c r="L281" i="1"/>
  <c r="L257" i="1"/>
  <c r="L245" i="1"/>
  <c r="L221" i="1"/>
  <c r="L209" i="1"/>
  <c r="L185" i="1"/>
  <c r="L173" i="1"/>
  <c r="L149" i="1"/>
  <c r="L137" i="1"/>
  <c r="L113" i="1"/>
  <c r="L101" i="1"/>
  <c r="L77" i="1"/>
  <c r="L65" i="1"/>
  <c r="L41" i="1"/>
  <c r="L29" i="1"/>
  <c r="L17" i="1"/>
  <c r="L5" i="1"/>
</calcChain>
</file>

<file path=xl/sharedStrings.xml><?xml version="1.0" encoding="utf-8"?>
<sst xmlns="http://schemas.openxmlformats.org/spreadsheetml/2006/main" count="9423" uniqueCount="1344">
  <si>
    <t>Transaction ID</t>
  </si>
  <si>
    <t>Customer ID</t>
  </si>
  <si>
    <t>Date</t>
  </si>
  <si>
    <t>Transaction Type</t>
  </si>
  <si>
    <t>Category</t>
  </si>
  <si>
    <t>Merchant Name</t>
  </si>
  <si>
    <t>Sales</t>
  </si>
  <si>
    <t>Revenue</t>
  </si>
  <si>
    <t>Profit</t>
  </si>
  <si>
    <t>Sales Projection</t>
  </si>
  <si>
    <t>TXN200001</t>
  </si>
  <si>
    <t>TXN200002</t>
  </si>
  <si>
    <t>TXN200003</t>
  </si>
  <si>
    <t>TXN200004</t>
  </si>
  <si>
    <t>TXN200005</t>
  </si>
  <si>
    <t>TXN200006</t>
  </si>
  <si>
    <t>TXN200007</t>
  </si>
  <si>
    <t>TXN200008</t>
  </si>
  <si>
    <t>TXN200009</t>
  </si>
  <si>
    <t>TXN200010</t>
  </si>
  <si>
    <t>TXN200011</t>
  </si>
  <si>
    <t>TXN200012</t>
  </si>
  <si>
    <t>TXN200013</t>
  </si>
  <si>
    <t>TXN200014</t>
  </si>
  <si>
    <t>TXN200015</t>
  </si>
  <si>
    <t>TXN200016</t>
  </si>
  <si>
    <t>TXN200017</t>
  </si>
  <si>
    <t>TXN200018</t>
  </si>
  <si>
    <t>TXN200019</t>
  </si>
  <si>
    <t>TXN200020</t>
  </si>
  <si>
    <t>TXN200021</t>
  </si>
  <si>
    <t>TXN200022</t>
  </si>
  <si>
    <t>TXN200023</t>
  </si>
  <si>
    <t>TXN200024</t>
  </si>
  <si>
    <t>TXN200025</t>
  </si>
  <si>
    <t>TXN200026</t>
  </si>
  <si>
    <t>TXN200027</t>
  </si>
  <si>
    <t>TXN200028</t>
  </si>
  <si>
    <t>TXN200029</t>
  </si>
  <si>
    <t>TXN200030</t>
  </si>
  <si>
    <t>TXN200031</t>
  </si>
  <si>
    <t>TXN200032</t>
  </si>
  <si>
    <t>TXN200033</t>
  </si>
  <si>
    <t>TXN200034</t>
  </si>
  <si>
    <t>TXN200035</t>
  </si>
  <si>
    <t>TXN200036</t>
  </si>
  <si>
    <t>TXN200037</t>
  </si>
  <si>
    <t>TXN200038</t>
  </si>
  <si>
    <t>TXN200039</t>
  </si>
  <si>
    <t>TXN200040</t>
  </si>
  <si>
    <t>TXN200041</t>
  </si>
  <si>
    <t>TXN200042</t>
  </si>
  <si>
    <t>TXN200043</t>
  </si>
  <si>
    <t>TXN200044</t>
  </si>
  <si>
    <t>TXN200045</t>
  </si>
  <si>
    <t>TXN200046</t>
  </si>
  <si>
    <t>TXN200047</t>
  </si>
  <si>
    <t>TXN200048</t>
  </si>
  <si>
    <t>TXN200049</t>
  </si>
  <si>
    <t>TXN200050</t>
  </si>
  <si>
    <t>TXN200051</t>
  </si>
  <si>
    <t>TXN200052</t>
  </si>
  <si>
    <t>TXN200053</t>
  </si>
  <si>
    <t>TXN200054</t>
  </si>
  <si>
    <t>TXN200055</t>
  </si>
  <si>
    <t>TXN200056</t>
  </si>
  <si>
    <t>TXN200057</t>
  </si>
  <si>
    <t>TXN200058</t>
  </si>
  <si>
    <t>TXN200059</t>
  </si>
  <si>
    <t>TXN200060</t>
  </si>
  <si>
    <t>TXN200061</t>
  </si>
  <si>
    <t>TXN200062</t>
  </si>
  <si>
    <t>TXN200063</t>
  </si>
  <si>
    <t>TXN200064</t>
  </si>
  <si>
    <t>TXN200065</t>
  </si>
  <si>
    <t>TXN200066</t>
  </si>
  <si>
    <t>TXN200067</t>
  </si>
  <si>
    <t>TXN200068</t>
  </si>
  <si>
    <t>TXN200069</t>
  </si>
  <si>
    <t>TXN200070</t>
  </si>
  <si>
    <t>TXN200071</t>
  </si>
  <si>
    <t>TXN200072</t>
  </si>
  <si>
    <t>TXN200073</t>
  </si>
  <si>
    <t>TXN200074</t>
  </si>
  <si>
    <t>TXN200075</t>
  </si>
  <si>
    <t>TXN200076</t>
  </si>
  <si>
    <t>TXN200077</t>
  </si>
  <si>
    <t>TXN200078</t>
  </si>
  <si>
    <t>TXN200079</t>
  </si>
  <si>
    <t>TXN200080</t>
  </si>
  <si>
    <t>TXN200081</t>
  </si>
  <si>
    <t>TXN200082</t>
  </si>
  <si>
    <t>TXN200083</t>
  </si>
  <si>
    <t>TXN200084</t>
  </si>
  <si>
    <t>TXN200085</t>
  </si>
  <si>
    <t>TXN200086</t>
  </si>
  <si>
    <t>TXN200087</t>
  </si>
  <si>
    <t>TXN200088</t>
  </si>
  <si>
    <t>TXN200089</t>
  </si>
  <si>
    <t>TXN200090</t>
  </si>
  <si>
    <t>TXN200091</t>
  </si>
  <si>
    <t>TXN200092</t>
  </si>
  <si>
    <t>TXN200093</t>
  </si>
  <si>
    <t>TXN200094</t>
  </si>
  <si>
    <t>TXN200095</t>
  </si>
  <si>
    <t>TXN200096</t>
  </si>
  <si>
    <t>TXN200097</t>
  </si>
  <si>
    <t>TXN200098</t>
  </si>
  <si>
    <t>TXN200099</t>
  </si>
  <si>
    <t>TXN200100</t>
  </si>
  <si>
    <t>TXN200101</t>
  </si>
  <si>
    <t>TXN200102</t>
  </si>
  <si>
    <t>TXN200103</t>
  </si>
  <si>
    <t>TXN200104</t>
  </si>
  <si>
    <t>TXN200105</t>
  </si>
  <si>
    <t>TXN200106</t>
  </si>
  <si>
    <t>TXN200107</t>
  </si>
  <si>
    <t>TXN200108</t>
  </si>
  <si>
    <t>TXN200109</t>
  </si>
  <si>
    <t>TXN200110</t>
  </si>
  <si>
    <t>TXN200111</t>
  </si>
  <si>
    <t>TXN200112</t>
  </si>
  <si>
    <t>TXN200113</t>
  </si>
  <si>
    <t>TXN200114</t>
  </si>
  <si>
    <t>TXN200115</t>
  </si>
  <si>
    <t>TXN200116</t>
  </si>
  <si>
    <t>TXN200117</t>
  </si>
  <si>
    <t>TXN200118</t>
  </si>
  <si>
    <t>TXN200119</t>
  </si>
  <si>
    <t>TXN200120</t>
  </si>
  <si>
    <t>TXN200121</t>
  </si>
  <si>
    <t>TXN200122</t>
  </si>
  <si>
    <t>TXN200123</t>
  </si>
  <si>
    <t>TXN200124</t>
  </si>
  <si>
    <t>TXN200125</t>
  </si>
  <si>
    <t>TXN200126</t>
  </si>
  <si>
    <t>TXN200127</t>
  </si>
  <si>
    <t>TXN200128</t>
  </si>
  <si>
    <t>TXN200129</t>
  </si>
  <si>
    <t>TXN200130</t>
  </si>
  <si>
    <t>TXN200131</t>
  </si>
  <si>
    <t>TXN200132</t>
  </si>
  <si>
    <t>TXN200133</t>
  </si>
  <si>
    <t>TXN200134</t>
  </si>
  <si>
    <t>TXN200135</t>
  </si>
  <si>
    <t>TXN200136</t>
  </si>
  <si>
    <t>TXN200137</t>
  </si>
  <si>
    <t>TXN200138</t>
  </si>
  <si>
    <t>TXN200139</t>
  </si>
  <si>
    <t>TXN200140</t>
  </si>
  <si>
    <t>TXN200141</t>
  </si>
  <si>
    <t>TXN200142</t>
  </si>
  <si>
    <t>TXN200143</t>
  </si>
  <si>
    <t>TXN200144</t>
  </si>
  <si>
    <t>TXN200145</t>
  </si>
  <si>
    <t>TXN200146</t>
  </si>
  <si>
    <t>TXN200147</t>
  </si>
  <si>
    <t>TXN200148</t>
  </si>
  <si>
    <t>TXN200149</t>
  </si>
  <si>
    <t>TXN200150</t>
  </si>
  <si>
    <t>TXN200151</t>
  </si>
  <si>
    <t>TXN200152</t>
  </si>
  <si>
    <t>TXN200153</t>
  </si>
  <si>
    <t>TXN200154</t>
  </si>
  <si>
    <t>TXN200155</t>
  </si>
  <si>
    <t>TXN200156</t>
  </si>
  <si>
    <t>TXN200157</t>
  </si>
  <si>
    <t>TXN200158</t>
  </si>
  <si>
    <t>TXN200159</t>
  </si>
  <si>
    <t>TXN200160</t>
  </si>
  <si>
    <t>TXN200161</t>
  </si>
  <si>
    <t>TXN200162</t>
  </si>
  <si>
    <t>TXN200163</t>
  </si>
  <si>
    <t>TXN200164</t>
  </si>
  <si>
    <t>TXN200165</t>
  </si>
  <si>
    <t>TXN200166</t>
  </si>
  <si>
    <t>TXN200167</t>
  </si>
  <si>
    <t>TXN200168</t>
  </si>
  <si>
    <t>TXN200169</t>
  </si>
  <si>
    <t>TXN200170</t>
  </si>
  <si>
    <t>TXN200171</t>
  </si>
  <si>
    <t>TXN200172</t>
  </si>
  <si>
    <t>TXN200173</t>
  </si>
  <si>
    <t>TXN200174</t>
  </si>
  <si>
    <t>TXN200175</t>
  </si>
  <si>
    <t>TXN200176</t>
  </si>
  <si>
    <t>TXN200177</t>
  </si>
  <si>
    <t>TXN200178</t>
  </si>
  <si>
    <t>TXN200179</t>
  </si>
  <si>
    <t>TXN200180</t>
  </si>
  <si>
    <t>TXN200181</t>
  </si>
  <si>
    <t>TXN200182</t>
  </si>
  <si>
    <t>TXN200183</t>
  </si>
  <si>
    <t>TXN200184</t>
  </si>
  <si>
    <t>TXN200185</t>
  </si>
  <si>
    <t>TXN200186</t>
  </si>
  <si>
    <t>TXN200187</t>
  </si>
  <si>
    <t>TXN200188</t>
  </si>
  <si>
    <t>TXN200189</t>
  </si>
  <si>
    <t>TXN200190</t>
  </si>
  <si>
    <t>TXN200191</t>
  </si>
  <si>
    <t>TXN200192</t>
  </si>
  <si>
    <t>TXN200193</t>
  </si>
  <si>
    <t>TXN200194</t>
  </si>
  <si>
    <t>TXN200195</t>
  </si>
  <si>
    <t>TXN200196</t>
  </si>
  <si>
    <t>TXN200197</t>
  </si>
  <si>
    <t>TXN200198</t>
  </si>
  <si>
    <t>TXN200199</t>
  </si>
  <si>
    <t>TXN200200</t>
  </si>
  <si>
    <t>TXN200201</t>
  </si>
  <si>
    <t>TXN200202</t>
  </si>
  <si>
    <t>TXN200203</t>
  </si>
  <si>
    <t>TXN200204</t>
  </si>
  <si>
    <t>TXN200205</t>
  </si>
  <si>
    <t>TXN200206</t>
  </si>
  <si>
    <t>TXN200207</t>
  </si>
  <si>
    <t>TXN200208</t>
  </si>
  <si>
    <t>TXN200209</t>
  </si>
  <si>
    <t>TXN200210</t>
  </si>
  <si>
    <t>TXN200211</t>
  </si>
  <si>
    <t>TXN200212</t>
  </si>
  <si>
    <t>TXN200213</t>
  </si>
  <si>
    <t>TXN200214</t>
  </si>
  <si>
    <t>TXN200215</t>
  </si>
  <si>
    <t>TXN200216</t>
  </si>
  <si>
    <t>TXN200217</t>
  </si>
  <si>
    <t>TXN200218</t>
  </si>
  <si>
    <t>TXN200219</t>
  </si>
  <si>
    <t>TXN200220</t>
  </si>
  <si>
    <t>TXN200221</t>
  </si>
  <si>
    <t>TXN200222</t>
  </si>
  <si>
    <t>TXN200223</t>
  </si>
  <si>
    <t>TXN200224</t>
  </si>
  <si>
    <t>TXN200225</t>
  </si>
  <si>
    <t>TXN200226</t>
  </si>
  <si>
    <t>TXN200227</t>
  </si>
  <si>
    <t>TXN200228</t>
  </si>
  <si>
    <t>TXN200229</t>
  </si>
  <si>
    <t>TXN200230</t>
  </si>
  <si>
    <t>TXN200231</t>
  </si>
  <si>
    <t>TXN200232</t>
  </si>
  <si>
    <t>TXN200233</t>
  </si>
  <si>
    <t>TXN200234</t>
  </si>
  <si>
    <t>TXN200235</t>
  </si>
  <si>
    <t>TXN200236</t>
  </si>
  <si>
    <t>TXN200237</t>
  </si>
  <si>
    <t>TXN200238</t>
  </si>
  <si>
    <t>TXN200239</t>
  </si>
  <si>
    <t>TXN200240</t>
  </si>
  <si>
    <t>TXN200241</t>
  </si>
  <si>
    <t>TXN200242</t>
  </si>
  <si>
    <t>TXN200243</t>
  </si>
  <si>
    <t>TXN200244</t>
  </si>
  <si>
    <t>TXN200245</t>
  </si>
  <si>
    <t>TXN200246</t>
  </si>
  <si>
    <t>TXN200247</t>
  </si>
  <si>
    <t>TXN200248</t>
  </si>
  <si>
    <t>TXN200249</t>
  </si>
  <si>
    <t>TXN200250</t>
  </si>
  <si>
    <t>TXN200251</t>
  </si>
  <si>
    <t>TXN200252</t>
  </si>
  <si>
    <t>TXN200253</t>
  </si>
  <si>
    <t>TXN200254</t>
  </si>
  <si>
    <t>TXN200255</t>
  </si>
  <si>
    <t>TXN200256</t>
  </si>
  <si>
    <t>TXN200257</t>
  </si>
  <si>
    <t>TXN200258</t>
  </si>
  <si>
    <t>TXN200259</t>
  </si>
  <si>
    <t>TXN200260</t>
  </si>
  <si>
    <t>TXN200261</t>
  </si>
  <si>
    <t>TXN200262</t>
  </si>
  <si>
    <t>TXN200263</t>
  </si>
  <si>
    <t>TXN200264</t>
  </si>
  <si>
    <t>TXN200265</t>
  </si>
  <si>
    <t>TXN200266</t>
  </si>
  <si>
    <t>TXN200267</t>
  </si>
  <si>
    <t>TXN200268</t>
  </si>
  <si>
    <t>TXN200269</t>
  </si>
  <si>
    <t>TXN200270</t>
  </si>
  <si>
    <t>TXN200271</t>
  </si>
  <si>
    <t>TXN200272</t>
  </si>
  <si>
    <t>TXN200273</t>
  </si>
  <si>
    <t>TXN200274</t>
  </si>
  <si>
    <t>TXN200275</t>
  </si>
  <si>
    <t>TXN200276</t>
  </si>
  <si>
    <t>TXN200277</t>
  </si>
  <si>
    <t>TXN200278</t>
  </si>
  <si>
    <t>TXN200279</t>
  </si>
  <si>
    <t>TXN200280</t>
  </si>
  <si>
    <t>TXN200281</t>
  </si>
  <si>
    <t>TXN200282</t>
  </si>
  <si>
    <t>TXN200283</t>
  </si>
  <si>
    <t>TXN200284</t>
  </si>
  <si>
    <t>TXN200285</t>
  </si>
  <si>
    <t>TXN200286</t>
  </si>
  <si>
    <t>TXN200287</t>
  </si>
  <si>
    <t>TXN200288</t>
  </si>
  <si>
    <t>TXN200289</t>
  </si>
  <si>
    <t>TXN200290</t>
  </si>
  <si>
    <t>TXN200291</t>
  </si>
  <si>
    <t>TXN200292</t>
  </si>
  <si>
    <t>TXN200293</t>
  </si>
  <si>
    <t>TXN200294</t>
  </si>
  <si>
    <t>TXN200295</t>
  </si>
  <si>
    <t>TXN200296</t>
  </si>
  <si>
    <t>TXN200297</t>
  </si>
  <si>
    <t>TXN200298</t>
  </si>
  <si>
    <t>TXN200299</t>
  </si>
  <si>
    <t>TXN200300</t>
  </si>
  <si>
    <t>TXN200301</t>
  </si>
  <si>
    <t>TXN200302</t>
  </si>
  <si>
    <t>TXN200303</t>
  </si>
  <si>
    <t>TXN200304</t>
  </si>
  <si>
    <t>TXN200305</t>
  </si>
  <si>
    <t>TXN200306</t>
  </si>
  <si>
    <t>TXN200307</t>
  </si>
  <si>
    <t>TXN200308</t>
  </si>
  <si>
    <t>TXN200309</t>
  </si>
  <si>
    <t>TXN200310</t>
  </si>
  <si>
    <t>TXN200311</t>
  </si>
  <si>
    <t>TXN200312</t>
  </si>
  <si>
    <t>TXN200313</t>
  </si>
  <si>
    <t>TXN200314</t>
  </si>
  <si>
    <t>TXN200315</t>
  </si>
  <si>
    <t>TXN200316</t>
  </si>
  <si>
    <t>TXN200317</t>
  </si>
  <si>
    <t>TXN200318</t>
  </si>
  <si>
    <t>TXN200319</t>
  </si>
  <si>
    <t>TXN200320</t>
  </si>
  <si>
    <t>TXN200321</t>
  </si>
  <si>
    <t>TXN200322</t>
  </si>
  <si>
    <t>TXN200323</t>
  </si>
  <si>
    <t>TXN200324</t>
  </si>
  <si>
    <t>TXN200325</t>
  </si>
  <si>
    <t>TXN200326</t>
  </si>
  <si>
    <t>TXN200327</t>
  </si>
  <si>
    <t>TXN200328</t>
  </si>
  <si>
    <t>TXN200329</t>
  </si>
  <si>
    <t>TXN200330</t>
  </si>
  <si>
    <t>TXN200331</t>
  </si>
  <si>
    <t>TXN200332</t>
  </si>
  <si>
    <t>TXN200333</t>
  </si>
  <si>
    <t>TXN200334</t>
  </si>
  <si>
    <t>TXN200335</t>
  </si>
  <si>
    <t>TXN200336</t>
  </si>
  <si>
    <t>TXN200337</t>
  </si>
  <si>
    <t>TXN200338</t>
  </si>
  <si>
    <t>TXN200339</t>
  </si>
  <si>
    <t>TXN200340</t>
  </si>
  <si>
    <t>TXN200341</t>
  </si>
  <si>
    <t>TXN200342</t>
  </si>
  <si>
    <t>TXN200343</t>
  </si>
  <si>
    <t>TXN200344</t>
  </si>
  <si>
    <t>TXN200345</t>
  </si>
  <si>
    <t>TXN200346</t>
  </si>
  <si>
    <t>TXN200347</t>
  </si>
  <si>
    <t>TXN200348</t>
  </si>
  <si>
    <t>TXN200349</t>
  </si>
  <si>
    <t>TXN200350</t>
  </si>
  <si>
    <t>TXN200351</t>
  </si>
  <si>
    <t>TXN200352</t>
  </si>
  <si>
    <t>TXN200353</t>
  </si>
  <si>
    <t>TXN200354</t>
  </si>
  <si>
    <t>TXN200355</t>
  </si>
  <si>
    <t>TXN200356</t>
  </si>
  <si>
    <t>TXN200357</t>
  </si>
  <si>
    <t>TXN200358</t>
  </si>
  <si>
    <t>TXN200359</t>
  </si>
  <si>
    <t>TXN200360</t>
  </si>
  <si>
    <t>TXN200361</t>
  </si>
  <si>
    <t>TXN200362</t>
  </si>
  <si>
    <t>TXN200363</t>
  </si>
  <si>
    <t>TXN200364</t>
  </si>
  <si>
    <t>TXN200365</t>
  </si>
  <si>
    <t>TXN200366</t>
  </si>
  <si>
    <t>TXN200367</t>
  </si>
  <si>
    <t>TXN200368</t>
  </si>
  <si>
    <t>TXN200369</t>
  </si>
  <si>
    <t>TXN200370</t>
  </si>
  <si>
    <t>TXN200371</t>
  </si>
  <si>
    <t>TXN200372</t>
  </si>
  <si>
    <t>TXN200373</t>
  </si>
  <si>
    <t>TXN200374</t>
  </si>
  <si>
    <t>TXN200375</t>
  </si>
  <si>
    <t>TXN200376</t>
  </si>
  <si>
    <t>TXN200377</t>
  </si>
  <si>
    <t>TXN200378</t>
  </si>
  <si>
    <t>TXN200379</t>
  </si>
  <si>
    <t>TXN200380</t>
  </si>
  <si>
    <t>TXN200381</t>
  </si>
  <si>
    <t>TXN200382</t>
  </si>
  <si>
    <t>TXN200383</t>
  </si>
  <si>
    <t>TXN200384</t>
  </si>
  <si>
    <t>TXN200385</t>
  </si>
  <si>
    <t>TXN200386</t>
  </si>
  <si>
    <t>TXN200387</t>
  </si>
  <si>
    <t>TXN200388</t>
  </si>
  <si>
    <t>TXN200389</t>
  </si>
  <si>
    <t>TXN200390</t>
  </si>
  <si>
    <t>TXN200391</t>
  </si>
  <si>
    <t>TXN200392</t>
  </si>
  <si>
    <t>TXN200393</t>
  </si>
  <si>
    <t>TXN200394</t>
  </si>
  <si>
    <t>TXN200395</t>
  </si>
  <si>
    <t>TXN200396</t>
  </si>
  <si>
    <t>TXN200397</t>
  </si>
  <si>
    <t>TXN200398</t>
  </si>
  <si>
    <t>TXN200399</t>
  </si>
  <si>
    <t>TXN200400</t>
  </si>
  <si>
    <t>TXN200401</t>
  </si>
  <si>
    <t>TXN200402</t>
  </si>
  <si>
    <t>TXN200403</t>
  </si>
  <si>
    <t>TXN200404</t>
  </si>
  <si>
    <t>TXN200405</t>
  </si>
  <si>
    <t>TXN200406</t>
  </si>
  <si>
    <t>TXN200407</t>
  </si>
  <si>
    <t>TXN200408</t>
  </si>
  <si>
    <t>TXN200409</t>
  </si>
  <si>
    <t>TXN200410</t>
  </si>
  <si>
    <t>TXN200411</t>
  </si>
  <si>
    <t>TXN200412</t>
  </si>
  <si>
    <t>TXN200413</t>
  </si>
  <si>
    <t>TXN200414</t>
  </si>
  <si>
    <t>TXN200415</t>
  </si>
  <si>
    <t>TXN200416</t>
  </si>
  <si>
    <t>TXN200417</t>
  </si>
  <si>
    <t>TXN200418</t>
  </si>
  <si>
    <t>TXN200419</t>
  </si>
  <si>
    <t>TXN200420</t>
  </si>
  <si>
    <t>TXN200421</t>
  </si>
  <si>
    <t>TXN200422</t>
  </si>
  <si>
    <t>TXN200423</t>
  </si>
  <si>
    <t>TXN200424</t>
  </si>
  <si>
    <t>TXN200425</t>
  </si>
  <si>
    <t>TXN200426</t>
  </si>
  <si>
    <t>TXN200427</t>
  </si>
  <si>
    <t>TXN200428</t>
  </si>
  <si>
    <t>TXN200429</t>
  </si>
  <si>
    <t>TXN200430</t>
  </si>
  <si>
    <t>TXN200431</t>
  </si>
  <si>
    <t>TXN200432</t>
  </si>
  <si>
    <t>TXN200433</t>
  </si>
  <si>
    <t>TXN200434</t>
  </si>
  <si>
    <t>TXN200435</t>
  </si>
  <si>
    <t>TXN200436</t>
  </si>
  <si>
    <t>TXN200437</t>
  </si>
  <si>
    <t>TXN200438</t>
  </si>
  <si>
    <t>TXN200439</t>
  </si>
  <si>
    <t>TXN200440</t>
  </si>
  <si>
    <t>TXN200441</t>
  </si>
  <si>
    <t>TXN200442</t>
  </si>
  <si>
    <t>TXN200443</t>
  </si>
  <si>
    <t>TXN200444</t>
  </si>
  <si>
    <t>TXN200445</t>
  </si>
  <si>
    <t>TXN200446</t>
  </si>
  <si>
    <t>TXN200447</t>
  </si>
  <si>
    <t>TXN200448</t>
  </si>
  <si>
    <t>TXN200449</t>
  </si>
  <si>
    <t>TXN200450</t>
  </si>
  <si>
    <t>TXN200451</t>
  </si>
  <si>
    <t>TXN200452</t>
  </si>
  <si>
    <t>TXN200453</t>
  </si>
  <si>
    <t>TXN200454</t>
  </si>
  <si>
    <t>TXN200455</t>
  </si>
  <si>
    <t>TXN200456</t>
  </si>
  <si>
    <t>TXN200457</t>
  </si>
  <si>
    <t>TXN200458</t>
  </si>
  <si>
    <t>TXN200459</t>
  </si>
  <si>
    <t>TXN200460</t>
  </si>
  <si>
    <t>TXN200461</t>
  </si>
  <si>
    <t>TXN200462</t>
  </si>
  <si>
    <t>TXN200463</t>
  </si>
  <si>
    <t>TXN200464</t>
  </si>
  <si>
    <t>TXN200465</t>
  </si>
  <si>
    <t>TXN200466</t>
  </si>
  <si>
    <t>TXN200467</t>
  </si>
  <si>
    <t>TXN200468</t>
  </si>
  <si>
    <t>TXN200469</t>
  </si>
  <si>
    <t>TXN200470</t>
  </si>
  <si>
    <t>TXN200471</t>
  </si>
  <si>
    <t>TXN200472</t>
  </si>
  <si>
    <t>TXN200473</t>
  </si>
  <si>
    <t>TXN200474</t>
  </si>
  <si>
    <t>TXN200475</t>
  </si>
  <si>
    <t>TXN200476</t>
  </si>
  <si>
    <t>TXN200477</t>
  </si>
  <si>
    <t>TXN200478</t>
  </si>
  <si>
    <t>TXN200479</t>
  </si>
  <si>
    <t>TXN200480</t>
  </si>
  <si>
    <t>TXN200481</t>
  </si>
  <si>
    <t>TXN200482</t>
  </si>
  <si>
    <t>TXN200483</t>
  </si>
  <si>
    <t>TXN200484</t>
  </si>
  <si>
    <t>TXN200485</t>
  </si>
  <si>
    <t>TXN200486</t>
  </si>
  <si>
    <t>TXN200487</t>
  </si>
  <si>
    <t>TXN200488</t>
  </si>
  <si>
    <t>TXN200489</t>
  </si>
  <si>
    <t>TXN200490</t>
  </si>
  <si>
    <t>TXN200491</t>
  </si>
  <si>
    <t>TXN200492</t>
  </si>
  <si>
    <t>TXN200493</t>
  </si>
  <si>
    <t>TXN200494</t>
  </si>
  <si>
    <t>TXN200495</t>
  </si>
  <si>
    <t>TXN200496</t>
  </si>
  <si>
    <t>TXN200497</t>
  </si>
  <si>
    <t>TXN200498</t>
  </si>
  <si>
    <t>TXN200499</t>
  </si>
  <si>
    <t>TXN200500</t>
  </si>
  <si>
    <t>TXN200501</t>
  </si>
  <si>
    <t>TXN200502</t>
  </si>
  <si>
    <t>TXN200503</t>
  </si>
  <si>
    <t>TXN200504</t>
  </si>
  <si>
    <t>TXN200505</t>
  </si>
  <si>
    <t>TXN200506</t>
  </si>
  <si>
    <t>TXN200507</t>
  </si>
  <si>
    <t>TXN200508</t>
  </si>
  <si>
    <t>TXN200509</t>
  </si>
  <si>
    <t>TXN200510</t>
  </si>
  <si>
    <t>TXN200511</t>
  </si>
  <si>
    <t>TXN200512</t>
  </si>
  <si>
    <t>TXN200513</t>
  </si>
  <si>
    <t>TXN200514</t>
  </si>
  <si>
    <t>TXN200515</t>
  </si>
  <si>
    <t>TXN200516</t>
  </si>
  <si>
    <t>TXN200517</t>
  </si>
  <si>
    <t>TXN200518</t>
  </si>
  <si>
    <t>TXN200519</t>
  </si>
  <si>
    <t>TXN200520</t>
  </si>
  <si>
    <t>TXN200521</t>
  </si>
  <si>
    <t>TXN200522</t>
  </si>
  <si>
    <t>TXN200523</t>
  </si>
  <si>
    <t>TXN200524</t>
  </si>
  <si>
    <t>TXN200525</t>
  </si>
  <si>
    <t>TXN200526</t>
  </si>
  <si>
    <t>TXN200527</t>
  </si>
  <si>
    <t>TXN200528</t>
  </si>
  <si>
    <t>TXN200529</t>
  </si>
  <si>
    <t>TXN200530</t>
  </si>
  <si>
    <t>TXN200531</t>
  </si>
  <si>
    <t>TXN200532</t>
  </si>
  <si>
    <t>TXN200533</t>
  </si>
  <si>
    <t>TXN200534</t>
  </si>
  <si>
    <t>TXN200535</t>
  </si>
  <si>
    <t>TXN200536</t>
  </si>
  <si>
    <t>TXN200537</t>
  </si>
  <si>
    <t>TXN200538</t>
  </si>
  <si>
    <t>TXN200539</t>
  </si>
  <si>
    <t>TXN200540</t>
  </si>
  <si>
    <t>TXN200541</t>
  </si>
  <si>
    <t>TXN200542</t>
  </si>
  <si>
    <t>TXN200543</t>
  </si>
  <si>
    <t>TXN200544</t>
  </si>
  <si>
    <t>TXN200545</t>
  </si>
  <si>
    <t>TXN200546</t>
  </si>
  <si>
    <t>TXN200547</t>
  </si>
  <si>
    <t>TXN200548</t>
  </si>
  <si>
    <t>TXN200549</t>
  </si>
  <si>
    <t>TXN200550</t>
  </si>
  <si>
    <t>TXN200551</t>
  </si>
  <si>
    <t>TXN200552</t>
  </si>
  <si>
    <t>TXN200553</t>
  </si>
  <si>
    <t>TXN200554</t>
  </si>
  <si>
    <t>TXN200555</t>
  </si>
  <si>
    <t>TXN200556</t>
  </si>
  <si>
    <t>TXN200557</t>
  </si>
  <si>
    <t>TXN200558</t>
  </si>
  <si>
    <t>TXN200559</t>
  </si>
  <si>
    <t>TXN200560</t>
  </si>
  <si>
    <t>TXN200561</t>
  </si>
  <si>
    <t>TXN200562</t>
  </si>
  <si>
    <t>TXN200563</t>
  </si>
  <si>
    <t>TXN200564</t>
  </si>
  <si>
    <t>TXN200565</t>
  </si>
  <si>
    <t>TXN200566</t>
  </si>
  <si>
    <t>TXN200567</t>
  </si>
  <si>
    <t>TXN200568</t>
  </si>
  <si>
    <t>TXN200569</t>
  </si>
  <si>
    <t>TXN200570</t>
  </si>
  <si>
    <t>TXN200571</t>
  </si>
  <si>
    <t>TXN200572</t>
  </si>
  <si>
    <t>TXN200573</t>
  </si>
  <si>
    <t>TXN200574</t>
  </si>
  <si>
    <t>TXN200575</t>
  </si>
  <si>
    <t>TXN200576</t>
  </si>
  <si>
    <t>TXN200577</t>
  </si>
  <si>
    <t>TXN200578</t>
  </si>
  <si>
    <t>TXN200579</t>
  </si>
  <si>
    <t>TXN200580</t>
  </si>
  <si>
    <t>TXN200581</t>
  </si>
  <si>
    <t>TXN200582</t>
  </si>
  <si>
    <t>TXN200583</t>
  </si>
  <si>
    <t>TXN200584</t>
  </si>
  <si>
    <t>TXN200585</t>
  </si>
  <si>
    <t>TXN200586</t>
  </si>
  <si>
    <t>TXN200587</t>
  </si>
  <si>
    <t>TXN200588</t>
  </si>
  <si>
    <t>TXN200589</t>
  </si>
  <si>
    <t>TXN200590</t>
  </si>
  <si>
    <t>TXN200591</t>
  </si>
  <si>
    <t>TXN200592</t>
  </si>
  <si>
    <t>TXN200593</t>
  </si>
  <si>
    <t>TXN200594</t>
  </si>
  <si>
    <t>TXN200595</t>
  </si>
  <si>
    <t>TXN200596</t>
  </si>
  <si>
    <t>TXN200597</t>
  </si>
  <si>
    <t>TXN200598</t>
  </si>
  <si>
    <t>TXN200599</t>
  </si>
  <si>
    <t>TXN200600</t>
  </si>
  <si>
    <t>TXN200601</t>
  </si>
  <si>
    <t>TXN200602</t>
  </si>
  <si>
    <t>TXN200603</t>
  </si>
  <si>
    <t>TXN200604</t>
  </si>
  <si>
    <t>TXN200605</t>
  </si>
  <si>
    <t>TXN200606</t>
  </si>
  <si>
    <t>TXN200607</t>
  </si>
  <si>
    <t>TXN200608</t>
  </si>
  <si>
    <t>TXN200609</t>
  </si>
  <si>
    <t>TXN200610</t>
  </si>
  <si>
    <t>TXN200611</t>
  </si>
  <si>
    <t>TXN200612</t>
  </si>
  <si>
    <t>TXN200613</t>
  </si>
  <si>
    <t>TXN200614</t>
  </si>
  <si>
    <t>TXN200615</t>
  </si>
  <si>
    <t>TXN200616</t>
  </si>
  <si>
    <t>TXN200617</t>
  </si>
  <si>
    <t>TXN200618</t>
  </si>
  <si>
    <t>TXN200619</t>
  </si>
  <si>
    <t>TXN200620</t>
  </si>
  <si>
    <t>TXN200621</t>
  </si>
  <si>
    <t>TXN200622</t>
  </si>
  <si>
    <t>TXN200623</t>
  </si>
  <si>
    <t>TXN200624</t>
  </si>
  <si>
    <t>TXN200625</t>
  </si>
  <si>
    <t>TXN200626</t>
  </si>
  <si>
    <t>TXN200627</t>
  </si>
  <si>
    <t>TXN200628</t>
  </si>
  <si>
    <t>TXN200629</t>
  </si>
  <si>
    <t>TXN200630</t>
  </si>
  <si>
    <t>TXN200631</t>
  </si>
  <si>
    <t>TXN200632</t>
  </si>
  <si>
    <t>TXN200633</t>
  </si>
  <si>
    <t>TXN200634</t>
  </si>
  <si>
    <t>TXN200635</t>
  </si>
  <si>
    <t>TXN200636</t>
  </si>
  <si>
    <t>TXN200637</t>
  </si>
  <si>
    <t>TXN200638</t>
  </si>
  <si>
    <t>TXN200639</t>
  </si>
  <si>
    <t>TXN200640</t>
  </si>
  <si>
    <t>TXN200641</t>
  </si>
  <si>
    <t>TXN200642</t>
  </si>
  <si>
    <t>TXN200643</t>
  </si>
  <si>
    <t>TXN200644</t>
  </si>
  <si>
    <t>TXN200645</t>
  </si>
  <si>
    <t>TXN200646</t>
  </si>
  <si>
    <t>TXN200647</t>
  </si>
  <si>
    <t>TXN200648</t>
  </si>
  <si>
    <t>TXN200649</t>
  </si>
  <si>
    <t>TXN200650</t>
  </si>
  <si>
    <t>TXN200651</t>
  </si>
  <si>
    <t>TXN200652</t>
  </si>
  <si>
    <t>TXN200653</t>
  </si>
  <si>
    <t>TXN200654</t>
  </si>
  <si>
    <t>TXN200655</t>
  </si>
  <si>
    <t>TXN200656</t>
  </si>
  <si>
    <t>TXN200657</t>
  </si>
  <si>
    <t>TXN200658</t>
  </si>
  <si>
    <t>TXN200659</t>
  </si>
  <si>
    <t>TXN200660</t>
  </si>
  <si>
    <t>TXN200661</t>
  </si>
  <si>
    <t>TXN200662</t>
  </si>
  <si>
    <t>TXN200663</t>
  </si>
  <si>
    <t>TXN200664</t>
  </si>
  <si>
    <t>TXN200665</t>
  </si>
  <si>
    <t>TXN200666</t>
  </si>
  <si>
    <t>TXN200667</t>
  </si>
  <si>
    <t>TXN200668</t>
  </si>
  <si>
    <t>TXN200669</t>
  </si>
  <si>
    <t>TXN200670</t>
  </si>
  <si>
    <t>TXN200671</t>
  </si>
  <si>
    <t>TXN200672</t>
  </si>
  <si>
    <t>TXN200673</t>
  </si>
  <si>
    <t>TXN200674</t>
  </si>
  <si>
    <t>TXN200675</t>
  </si>
  <si>
    <t>TXN200676</t>
  </si>
  <si>
    <t>TXN200677</t>
  </si>
  <si>
    <t>TXN200678</t>
  </si>
  <si>
    <t>TXN200679</t>
  </si>
  <si>
    <t>TXN200680</t>
  </si>
  <si>
    <t>TXN200681</t>
  </si>
  <si>
    <t>TXN200682</t>
  </si>
  <si>
    <t>TXN200683</t>
  </si>
  <si>
    <t>TXN200684</t>
  </si>
  <si>
    <t>TXN200685</t>
  </si>
  <si>
    <t>TXN200686</t>
  </si>
  <si>
    <t>TXN200687</t>
  </si>
  <si>
    <t>TXN200688</t>
  </si>
  <si>
    <t>TXN200689</t>
  </si>
  <si>
    <t>TXN200690</t>
  </si>
  <si>
    <t>TXN200691</t>
  </si>
  <si>
    <t>TXN200692</t>
  </si>
  <si>
    <t>TXN200693</t>
  </si>
  <si>
    <t>TXN200694</t>
  </si>
  <si>
    <t>TXN200695</t>
  </si>
  <si>
    <t>TXN200696</t>
  </si>
  <si>
    <t>TXN200697</t>
  </si>
  <si>
    <t>TXN200698</t>
  </si>
  <si>
    <t>TXN200699</t>
  </si>
  <si>
    <t>TXN200700</t>
  </si>
  <si>
    <t>TXN200701</t>
  </si>
  <si>
    <t>TXN200702</t>
  </si>
  <si>
    <t>TXN200703</t>
  </si>
  <si>
    <t>TXN200704</t>
  </si>
  <si>
    <t>TXN200705</t>
  </si>
  <si>
    <t>TXN200706</t>
  </si>
  <si>
    <t>TXN200707</t>
  </si>
  <si>
    <t>TXN200708</t>
  </si>
  <si>
    <t>TXN200709</t>
  </si>
  <si>
    <t>TXN200710</t>
  </si>
  <si>
    <t>TXN200711</t>
  </si>
  <si>
    <t>TXN200712</t>
  </si>
  <si>
    <t>TXN200713</t>
  </si>
  <si>
    <t>TXN200714</t>
  </si>
  <si>
    <t>TXN200715</t>
  </si>
  <si>
    <t>TXN200716</t>
  </si>
  <si>
    <t>TXN200717</t>
  </si>
  <si>
    <t>TXN200718</t>
  </si>
  <si>
    <t>TXN200719</t>
  </si>
  <si>
    <t>TXN200720</t>
  </si>
  <si>
    <t>TXN200721</t>
  </si>
  <si>
    <t>TXN200722</t>
  </si>
  <si>
    <t>TXN200723</t>
  </si>
  <si>
    <t>TXN200724</t>
  </si>
  <si>
    <t>TXN200725</t>
  </si>
  <si>
    <t>TXN200726</t>
  </si>
  <si>
    <t>TXN200727</t>
  </si>
  <si>
    <t>TXN200728</t>
  </si>
  <si>
    <t>TXN200729</t>
  </si>
  <si>
    <t>TXN200730</t>
  </si>
  <si>
    <t>TXN200731</t>
  </si>
  <si>
    <t>TXN200732</t>
  </si>
  <si>
    <t>TXN200733</t>
  </si>
  <si>
    <t>TXN200734</t>
  </si>
  <si>
    <t>TXN200735</t>
  </si>
  <si>
    <t>TXN200736</t>
  </si>
  <si>
    <t>TXN200737</t>
  </si>
  <si>
    <t>TXN200738</t>
  </si>
  <si>
    <t>TXN200739</t>
  </si>
  <si>
    <t>TXN200740</t>
  </si>
  <si>
    <t>TXN200741</t>
  </si>
  <si>
    <t>TXN200742</t>
  </si>
  <si>
    <t>TXN200743</t>
  </si>
  <si>
    <t>TXN200744</t>
  </si>
  <si>
    <t>TXN200745</t>
  </si>
  <si>
    <t>TXN200746</t>
  </si>
  <si>
    <t>TXN200747</t>
  </si>
  <si>
    <t>TXN200748</t>
  </si>
  <si>
    <t>TXN200749</t>
  </si>
  <si>
    <t>TXN200750</t>
  </si>
  <si>
    <t>TXN200751</t>
  </si>
  <si>
    <t>TXN200752</t>
  </si>
  <si>
    <t>TXN200753</t>
  </si>
  <si>
    <t>TXN200754</t>
  </si>
  <si>
    <t>TXN200755</t>
  </si>
  <si>
    <t>TXN200756</t>
  </si>
  <si>
    <t>TXN200757</t>
  </si>
  <si>
    <t>TXN200758</t>
  </si>
  <si>
    <t>TXN200759</t>
  </si>
  <si>
    <t>TXN200760</t>
  </si>
  <si>
    <t>TXN200761</t>
  </si>
  <si>
    <t>TXN200762</t>
  </si>
  <si>
    <t>TXN200763</t>
  </si>
  <si>
    <t>TXN200764</t>
  </si>
  <si>
    <t>TXN200765</t>
  </si>
  <si>
    <t>TXN200766</t>
  </si>
  <si>
    <t>TXN200767</t>
  </si>
  <si>
    <t>TXN200768</t>
  </si>
  <si>
    <t>TXN200769</t>
  </si>
  <si>
    <t>TXN200770</t>
  </si>
  <si>
    <t>TXN200771</t>
  </si>
  <si>
    <t>TXN200772</t>
  </si>
  <si>
    <t>TXN200773</t>
  </si>
  <si>
    <t>TXN200774</t>
  </si>
  <si>
    <t>TXN200775</t>
  </si>
  <si>
    <t>CUST649</t>
  </si>
  <si>
    <t>CUST555</t>
  </si>
  <si>
    <t>CUST562</t>
  </si>
  <si>
    <t>CUST569</t>
  </si>
  <si>
    <t>CUST589</t>
  </si>
  <si>
    <t>CUST539</t>
  </si>
  <si>
    <t>CUST502</t>
  </si>
  <si>
    <t>CUST618</t>
  </si>
  <si>
    <t>CUST584</t>
  </si>
  <si>
    <t>CUST572</t>
  </si>
  <si>
    <t>CUST570</t>
  </si>
  <si>
    <t>CUST514</t>
  </si>
  <si>
    <t>CUST552</t>
  </si>
  <si>
    <t>CUST578</t>
  </si>
  <si>
    <t>CUST613</t>
  </si>
  <si>
    <t>CUST515</t>
  </si>
  <si>
    <t>CUST568</t>
  </si>
  <si>
    <t>CUST550</t>
  </si>
  <si>
    <t>CUST504</t>
  </si>
  <si>
    <t>CUST524</t>
  </si>
  <si>
    <t>CUST543</t>
  </si>
  <si>
    <t>CUST549</t>
  </si>
  <si>
    <t>CUST595</t>
  </si>
  <si>
    <t>CUST512</t>
  </si>
  <si>
    <t>CUST548</t>
  </si>
  <si>
    <t>CUST626</t>
  </si>
  <si>
    <t>CUST517</t>
  </si>
  <si>
    <t>CUST520</t>
  </si>
  <si>
    <t>CUST523</t>
  </si>
  <si>
    <t>CUST541</t>
  </si>
  <si>
    <t>CUST583</t>
  </si>
  <si>
    <t>CUST538</t>
  </si>
  <si>
    <t>CUST609</t>
  </si>
  <si>
    <t>CUST579</t>
  </si>
  <si>
    <t>CUST636</t>
  </si>
  <si>
    <t>CUST535</t>
  </si>
  <si>
    <t>CUST607</t>
  </si>
  <si>
    <t>CUST612</t>
  </si>
  <si>
    <t>CUST521</t>
  </si>
  <si>
    <t>CUST603</t>
  </si>
  <si>
    <t>CUST635</t>
  </si>
  <si>
    <t>CUST544</t>
  </si>
  <si>
    <t>CUST634</t>
  </si>
  <si>
    <t>CUST564</t>
  </si>
  <si>
    <t>CUST614</t>
  </si>
  <si>
    <t>CUST602</t>
  </si>
  <si>
    <t>CUST529</t>
  </si>
  <si>
    <t>CUST547</t>
  </si>
  <si>
    <t>CUST623</t>
  </si>
  <si>
    <t>CUST587</t>
  </si>
  <si>
    <t>CUST546</t>
  </si>
  <si>
    <t>CUST528</t>
  </si>
  <si>
    <t>CUST574</t>
  </si>
  <si>
    <t>CUST606</t>
  </si>
  <si>
    <t>CUST516</t>
  </si>
  <si>
    <t>CUST619</t>
  </si>
  <si>
    <t>CUST601</t>
  </si>
  <si>
    <t>CUST551</t>
  </si>
  <si>
    <t>CUST519</t>
  </si>
  <si>
    <t>CUST641</t>
  </si>
  <si>
    <t>CUST625</t>
  </si>
  <si>
    <t>CUST588</t>
  </si>
  <si>
    <t>CUST537</t>
  </si>
  <si>
    <t>CUST624</t>
  </si>
  <si>
    <t>CUST617</t>
  </si>
  <si>
    <t>CUST531</t>
  </si>
  <si>
    <t>CUST536</t>
  </si>
  <si>
    <t>CUST633</t>
  </si>
  <si>
    <t>CUST604</t>
  </si>
  <si>
    <t>CUST615</t>
  </si>
  <si>
    <t>CUST563</t>
  </si>
  <si>
    <t>CUST513</t>
  </si>
  <si>
    <t>CUST643</t>
  </si>
  <si>
    <t>CUST632</t>
  </si>
  <si>
    <t>CUST559</t>
  </si>
  <si>
    <t>CUST510</t>
  </si>
  <si>
    <t>CUST631</t>
  </si>
  <si>
    <t>CUST527</t>
  </si>
  <si>
    <t>CUST647</t>
  </si>
  <si>
    <t>CUST627</t>
  </si>
  <si>
    <t>CUST540</t>
  </si>
  <si>
    <t>CUST592</t>
  </si>
  <si>
    <t>CUST573</t>
  </si>
  <si>
    <t>CUST622</t>
  </si>
  <si>
    <t>CUST598</t>
  </si>
  <si>
    <t>CUST530</t>
  </si>
  <si>
    <t>CUST565</t>
  </si>
  <si>
    <t>CUST597</t>
  </si>
  <si>
    <t>CUST575</t>
  </si>
  <si>
    <t>CUST522</t>
  </si>
  <si>
    <t>CUST505</t>
  </si>
  <si>
    <t>CUST599</t>
  </si>
  <si>
    <t>CUST596</t>
  </si>
  <si>
    <t>CUST560</t>
  </si>
  <si>
    <t>CUST586</t>
  </si>
  <si>
    <t>CUST545</t>
  </si>
  <si>
    <t>CUST600</t>
  </si>
  <si>
    <t>CUST605</t>
  </si>
  <si>
    <t>CUST577</t>
  </si>
  <si>
    <t>CUST646</t>
  </si>
  <si>
    <t>CUST507</t>
  </si>
  <si>
    <t>CUST503</t>
  </si>
  <si>
    <t>CUST576</t>
  </si>
  <si>
    <t>CUST571</t>
  </si>
  <si>
    <t>CUST518</t>
  </si>
  <si>
    <t>CUST526</t>
  </si>
  <si>
    <t>CUST533</t>
  </si>
  <si>
    <t>CUST642</t>
  </si>
  <si>
    <t>CUST534</t>
  </si>
  <si>
    <t>CUST501</t>
  </si>
  <si>
    <t>CUST567</t>
  </si>
  <si>
    <t>CUST608</t>
  </si>
  <si>
    <t>CUST561</t>
  </si>
  <si>
    <t>CUST639</t>
  </si>
  <si>
    <t>CUST585</t>
  </si>
  <si>
    <t>CUST508</t>
  </si>
  <si>
    <t>CUST557</t>
  </si>
  <si>
    <t>CUST593</t>
  </si>
  <si>
    <t>CUST594</t>
  </si>
  <si>
    <t>CUST630</t>
  </si>
  <si>
    <t>CUST532</t>
  </si>
  <si>
    <t>CUST611</t>
  </si>
  <si>
    <t>CUST638</t>
  </si>
  <si>
    <t>CUST640</t>
  </si>
  <si>
    <t>CUST616</t>
  </si>
  <si>
    <t>CUST506</t>
  </si>
  <si>
    <t>CUST628</t>
  </si>
  <si>
    <t>CUST645</t>
  </si>
  <si>
    <t>CUST650</t>
  </si>
  <si>
    <t>CUST566</t>
  </si>
  <si>
    <t>CUST648</t>
  </si>
  <si>
    <t>CUST581</t>
  </si>
  <si>
    <t>CUST542</t>
  </si>
  <si>
    <t>CUST590</t>
  </si>
  <si>
    <t>CUST580</t>
  </si>
  <si>
    <t>CUST610</t>
  </si>
  <si>
    <t>CUST556</t>
  </si>
  <si>
    <t>CUST554</t>
  </si>
  <si>
    <t>CUST558</t>
  </si>
  <si>
    <t>CUST644</t>
  </si>
  <si>
    <t>CUST525</t>
  </si>
  <si>
    <t>CUST509</t>
  </si>
  <si>
    <t>CUST582</t>
  </si>
  <si>
    <t>CUST621</t>
  </si>
  <si>
    <t>CUST511</t>
  </si>
  <si>
    <t>CUST553</t>
  </si>
  <si>
    <t>CUST629</t>
  </si>
  <si>
    <t>CUST637</t>
  </si>
  <si>
    <t>CUST591</t>
  </si>
  <si>
    <t>CUST620</t>
  </si>
  <si>
    <t>2025-10-04</t>
  </si>
  <si>
    <t>2025-08-13</t>
  </si>
  <si>
    <t>2025-07-26</t>
  </si>
  <si>
    <t>2025-07-14</t>
  </si>
  <si>
    <t>2025-07-09</t>
  </si>
  <si>
    <t>2025-07-05</t>
  </si>
  <si>
    <t>2025-02-03</t>
  </si>
  <si>
    <t>2025-03-13</t>
  </si>
  <si>
    <t>2025-06-22</t>
  </si>
  <si>
    <t>2025-03-20</t>
  </si>
  <si>
    <t>2025-04-01</t>
  </si>
  <si>
    <t>2025-04-11</t>
  </si>
  <si>
    <t>2025-09-22</t>
  </si>
  <si>
    <t>2025-12-18</t>
  </si>
  <si>
    <t>2025-05-04</t>
  </si>
  <si>
    <t>2025-01-27</t>
  </si>
  <si>
    <t>CORRUPT_DATE_FLAG</t>
  </si>
  <si>
    <t>2025-03-04</t>
  </si>
  <si>
    <t>2025-01-20</t>
  </si>
  <si>
    <t>2025-09-18</t>
  </si>
  <si>
    <t>2025-07-18</t>
  </si>
  <si>
    <t>2025-04-13</t>
  </si>
  <si>
    <t>2025-08-23</t>
  </si>
  <si>
    <t>2025-07-16</t>
  </si>
  <si>
    <t>2025-12-05</t>
  </si>
  <si>
    <t>2025-09-07</t>
  </si>
  <si>
    <t>2025-11-17</t>
  </si>
  <si>
    <t>2025-11-15</t>
  </si>
  <si>
    <t>2025-04-30</t>
  </si>
  <si>
    <t>2025-03-23</t>
  </si>
  <si>
    <t>2025-09-04</t>
  </si>
  <si>
    <t>17/05/2025</t>
  </si>
  <si>
    <t>2025-10-25</t>
  </si>
  <si>
    <t>2025-03-22</t>
  </si>
  <si>
    <t>2025-10-23</t>
  </si>
  <si>
    <t>2025-03-07</t>
  </si>
  <si>
    <t>2025-03-30</t>
  </si>
  <si>
    <t>2025-03-19</t>
  </si>
  <si>
    <t>2025-08-04</t>
  </si>
  <si>
    <t>2025-02-05</t>
  </si>
  <si>
    <t>2025-05-27</t>
  </si>
  <si>
    <t>2025-11-01</t>
  </si>
  <si>
    <t>2025-01-13</t>
  </si>
  <si>
    <t>2025-05-20</t>
  </si>
  <si>
    <t>2025-06-25</t>
  </si>
  <si>
    <t>2025-02-07</t>
  </si>
  <si>
    <t>2025-04-07</t>
  </si>
  <si>
    <t>2025-09-29</t>
  </si>
  <si>
    <t>2025-09-14</t>
  </si>
  <si>
    <t>2025-05-11</t>
  </si>
  <si>
    <t>2025-11-24</t>
  </si>
  <si>
    <t>2025-10-13</t>
  </si>
  <si>
    <t>2025-05-21</t>
  </si>
  <si>
    <t>2025-05-26</t>
  </si>
  <si>
    <t>2025-06-18</t>
  </si>
  <si>
    <t>2025-08-06</t>
  </si>
  <si>
    <t>2025-10-06</t>
  </si>
  <si>
    <t>2025-09-26</t>
  </si>
  <si>
    <t>2025-06-21</t>
  </si>
  <si>
    <t>2025-04-02</t>
  </si>
  <si>
    <t>2025-01-09</t>
  </si>
  <si>
    <t>2025-05-22</t>
  </si>
  <si>
    <t>2025-12-11</t>
  </si>
  <si>
    <t>2025-10-15</t>
  </si>
  <si>
    <t>2025-06-16</t>
  </si>
  <si>
    <t>2025-09-05</t>
  </si>
  <si>
    <t>24/04/2025</t>
  </si>
  <si>
    <t>2025-01-18</t>
  </si>
  <si>
    <t>2025-03-11</t>
  </si>
  <si>
    <t>2025-06-01</t>
  </si>
  <si>
    <t>2025-07-08</t>
  </si>
  <si>
    <t>2025-09-15</t>
  </si>
  <si>
    <t>2025-09-10</t>
  </si>
  <si>
    <t>2025-03-24</t>
  </si>
  <si>
    <t>2025-10-26</t>
  </si>
  <si>
    <t>2025-08-17</t>
  </si>
  <si>
    <t>2025-05-06</t>
  </si>
  <si>
    <t>2025-01-19</t>
  </si>
  <si>
    <t>2025-07-01</t>
  </si>
  <si>
    <t>2025-02-15</t>
  </si>
  <si>
    <t>2025-06-28</t>
  </si>
  <si>
    <t>2025-02-12</t>
  </si>
  <si>
    <t>2025-02-27</t>
  </si>
  <si>
    <t>2025-04-28</t>
  </si>
  <si>
    <t>2025-07-20</t>
  </si>
  <si>
    <t>26/01/2025</t>
  </si>
  <si>
    <t>2025-08-15</t>
  </si>
  <si>
    <t>2025-05-09</t>
  </si>
  <si>
    <t>28/08/2025</t>
  </si>
  <si>
    <t>2025-03-02</t>
  </si>
  <si>
    <t>2025-08-09</t>
  </si>
  <si>
    <t>2025-12-06</t>
  </si>
  <si>
    <t>21/01/2025</t>
  </si>
  <si>
    <t>2025-10-31</t>
  </si>
  <si>
    <t>2025-02-17</t>
  </si>
  <si>
    <t>2025-11-13</t>
  </si>
  <si>
    <t>2025-08-29</t>
  </si>
  <si>
    <t>2025-10-20</t>
  </si>
  <si>
    <t>2025-06-19</t>
  </si>
  <si>
    <t>2025-06-05</t>
  </si>
  <si>
    <t>2025-09-06</t>
  </si>
  <si>
    <t>2025-05-03</t>
  </si>
  <si>
    <t>2025-07-04</t>
  </si>
  <si>
    <t>2025-11-21</t>
  </si>
  <si>
    <t>2025-06-26</t>
  </si>
  <si>
    <t>2025-08-11</t>
  </si>
  <si>
    <t>2025-07-13</t>
  </si>
  <si>
    <t>2025-07-30</t>
  </si>
  <si>
    <t>2025-12-03</t>
  </si>
  <si>
    <t>2025-09-30</t>
  </si>
  <si>
    <t>2025-04-08</t>
  </si>
  <si>
    <t>2025-05-13</t>
  </si>
  <si>
    <t>2025-05-15</t>
  </si>
  <si>
    <t>2025-05-24</t>
  </si>
  <si>
    <t>2025-03-21</t>
  </si>
  <si>
    <t>2025-12-29</t>
  </si>
  <si>
    <t>05/03/2025</t>
  </si>
  <si>
    <t>2025-02-28</t>
  </si>
  <si>
    <t>07/03/2025</t>
  </si>
  <si>
    <t>13/08/2025</t>
  </si>
  <si>
    <t>2025-07-07</t>
  </si>
  <si>
    <t>2025-07-15</t>
  </si>
  <si>
    <t>2025-02-04</t>
  </si>
  <si>
    <t>2025-03-08</t>
  </si>
  <si>
    <t>2025-03-05</t>
  </si>
  <si>
    <t>2025-04-22</t>
  </si>
  <si>
    <t>2025-05-08</t>
  </si>
  <si>
    <t>2025-06-10</t>
  </si>
  <si>
    <t>2025-01-22</t>
  </si>
  <si>
    <t>06/07/2025</t>
  </si>
  <si>
    <t>2025-01-11</t>
  </si>
  <si>
    <t>2025-11-06</t>
  </si>
  <si>
    <t>2025-07-06</t>
  </si>
  <si>
    <t>2025-12-19</t>
  </si>
  <si>
    <t>16/01/2025</t>
  </si>
  <si>
    <t>2025-07-28</t>
  </si>
  <si>
    <t>2025-06-13</t>
  </si>
  <si>
    <t>2025-10-14</t>
  </si>
  <si>
    <t>29/07/2025</t>
  </si>
  <si>
    <t>2025-11-05</t>
  </si>
  <si>
    <t>2025-03-17</t>
  </si>
  <si>
    <t>2025-12-04</t>
  </si>
  <si>
    <t>2025-03-31</t>
  </si>
  <si>
    <t>2025-10-28</t>
  </si>
  <si>
    <t>2025-02-08</t>
  </si>
  <si>
    <t>2025-11-19</t>
  </si>
  <si>
    <t>2025-11-26</t>
  </si>
  <si>
    <t>24/12/2025</t>
  </si>
  <si>
    <t>2025-05-25</t>
  </si>
  <si>
    <t>2025-05-30</t>
  </si>
  <si>
    <t>2025-04-12</t>
  </si>
  <si>
    <t>2025-02-14</t>
  </si>
  <si>
    <t>2025-02-23</t>
  </si>
  <si>
    <t>2025-06-08</t>
  </si>
  <si>
    <t>2025-01-02</t>
  </si>
  <si>
    <t>2025-01-17</t>
  </si>
  <si>
    <t>2025-02-01</t>
  </si>
  <si>
    <t>2025-07-31</t>
  </si>
  <si>
    <t>2025-02-19</t>
  </si>
  <si>
    <t>2025-07-11</t>
  </si>
  <si>
    <t>2025-01-15</t>
  </si>
  <si>
    <t>2025-05-12</t>
  </si>
  <si>
    <t>2025-11-10</t>
  </si>
  <si>
    <t>12/05/2025</t>
  </si>
  <si>
    <t>2025-12-17</t>
  </si>
  <si>
    <t>2025-03-16</t>
  </si>
  <si>
    <t>2025-03-09</t>
  </si>
  <si>
    <t>2025-07-25</t>
  </si>
  <si>
    <t>2025-02-13</t>
  </si>
  <si>
    <t>2025-01-07</t>
  </si>
  <si>
    <t>2025-04-10</t>
  </si>
  <si>
    <t>2025-08-27</t>
  </si>
  <si>
    <t>2025-07-17</t>
  </si>
  <si>
    <t>14/06/2025</t>
  </si>
  <si>
    <t>2025-11-18</t>
  </si>
  <si>
    <t>2025-10-19</t>
  </si>
  <si>
    <t>2025-07-21</t>
  </si>
  <si>
    <t>2025-09-13</t>
  </si>
  <si>
    <t>2025-03-26</t>
  </si>
  <si>
    <t>2025-12-08</t>
  </si>
  <si>
    <t>2025-11-27</t>
  </si>
  <si>
    <t>2025-12-20</t>
  </si>
  <si>
    <t>2025-07-22</t>
  </si>
  <si>
    <t>2025-08-12</t>
  </si>
  <si>
    <t>2025-03-12</t>
  </si>
  <si>
    <t>2025-08-22</t>
  </si>
  <si>
    <t>2025-10-29</t>
  </si>
  <si>
    <t>2025-01-25</t>
  </si>
  <si>
    <t>2025-12-21</t>
  </si>
  <si>
    <t>2025-07-12</t>
  </si>
  <si>
    <t>2025-08-10</t>
  </si>
  <si>
    <t>02/02/2025</t>
  </si>
  <si>
    <t>2025-03-14</t>
  </si>
  <si>
    <t>2025-11-12</t>
  </si>
  <si>
    <t>26/12/2025</t>
  </si>
  <si>
    <t>2025-08-01</t>
  </si>
  <si>
    <t>2025-09-19</t>
  </si>
  <si>
    <t>2025-09-21</t>
  </si>
  <si>
    <t>2025-06-23</t>
  </si>
  <si>
    <t>2025-12-25</t>
  </si>
  <si>
    <t>2025-01-30</t>
  </si>
  <si>
    <t>2025-09-23</t>
  </si>
  <si>
    <t>2025-08-28</t>
  </si>
  <si>
    <t>2025-11-22</t>
  </si>
  <si>
    <t>2025-08-26</t>
  </si>
  <si>
    <t>2025-02-02</t>
  </si>
  <si>
    <t>2025-10-21</t>
  </si>
  <si>
    <t>28/10/2025</t>
  </si>
  <si>
    <t>2025-06-04</t>
  </si>
  <si>
    <t>2025-08-08</t>
  </si>
  <si>
    <t>26/03/2025</t>
  </si>
  <si>
    <t>2025-10-03</t>
  </si>
  <si>
    <t>2025-09-08</t>
  </si>
  <si>
    <t>15/02/2025</t>
  </si>
  <si>
    <t>13/06/2025</t>
  </si>
  <si>
    <t>2025-04-20</t>
  </si>
  <si>
    <t>2025-04-15</t>
  </si>
  <si>
    <t>2025-10-01</t>
  </si>
  <si>
    <t>10/07/2025</t>
  </si>
  <si>
    <t>2025-08-31</t>
  </si>
  <si>
    <t>2025-12-31</t>
  </si>
  <si>
    <t>2025-10-05</t>
  </si>
  <si>
    <t>2025-09-25</t>
  </si>
  <si>
    <t>2025-06-29</t>
  </si>
  <si>
    <t>2025-12-07</t>
  </si>
  <si>
    <t>2025-06-07</t>
  </si>
  <si>
    <t>30/01/2025</t>
  </si>
  <si>
    <t>2025-05-31</t>
  </si>
  <si>
    <t>2025-12-14</t>
  </si>
  <si>
    <t>2025-02-22</t>
  </si>
  <si>
    <t>2025-03-06</t>
  </si>
  <si>
    <t>2025-12-22</t>
  </si>
  <si>
    <t>2025-02-06</t>
  </si>
  <si>
    <t>2025-10-16</t>
  </si>
  <si>
    <t>2025-01-26</t>
  </si>
  <si>
    <t>2025-06-30</t>
  </si>
  <si>
    <t>2025-04-19</t>
  </si>
  <si>
    <t>2025-01-24</t>
  </si>
  <si>
    <t>2025-12-16</t>
  </si>
  <si>
    <t>2025-11-20</t>
  </si>
  <si>
    <t>2025-10-24</t>
  </si>
  <si>
    <t>2025-02-11</t>
  </si>
  <si>
    <t>2025-06-17</t>
  </si>
  <si>
    <t>2025-06-20</t>
  </si>
  <si>
    <t>2025-08-18</t>
  </si>
  <si>
    <t>2025-11-09</t>
  </si>
  <si>
    <t>2025-10-30</t>
  </si>
  <si>
    <t>2025-09-27</t>
  </si>
  <si>
    <t>2025-01-16</t>
  </si>
  <si>
    <t>2025-12-26</t>
  </si>
  <si>
    <t>2025-04-21</t>
  </si>
  <si>
    <t>2025-05-05</t>
  </si>
  <si>
    <t>2025-08-03</t>
  </si>
  <si>
    <t>2025-11-08</t>
  </si>
  <si>
    <t>02/04/2025</t>
  </si>
  <si>
    <t>08/11/2025</t>
  </si>
  <si>
    <t>24/02/2025</t>
  </si>
  <si>
    <t>2025-06-15</t>
  </si>
  <si>
    <t>2025-03-10</t>
  </si>
  <si>
    <t>09/03/2025</t>
  </si>
  <si>
    <t>2025-09-24</t>
  </si>
  <si>
    <t>2025-01-06</t>
  </si>
  <si>
    <t>2025-01-04</t>
  </si>
  <si>
    <t>28/11/2025</t>
  </si>
  <si>
    <t>2025-08-16</t>
  </si>
  <si>
    <t>2025-11-16</t>
  </si>
  <si>
    <t>29/11/2025</t>
  </si>
  <si>
    <t>2025-11-04</t>
  </si>
  <si>
    <t>2026-01-01</t>
  </si>
  <si>
    <t>2025-09-20</t>
  </si>
  <si>
    <t>2025-10-12</t>
  </si>
  <si>
    <t>17/06/2025</t>
  </si>
  <si>
    <t>2025-11-28</t>
  </si>
  <si>
    <t>2025-07-02</t>
  </si>
  <si>
    <t>21/12/2025</t>
  </si>
  <si>
    <t>2025-06-03</t>
  </si>
  <si>
    <t>2025-06-14</t>
  </si>
  <si>
    <t>2025-04-24</t>
  </si>
  <si>
    <t>2025-04-17</t>
  </si>
  <si>
    <t>2025-01-29</t>
  </si>
  <si>
    <t>2025-04-06</t>
  </si>
  <si>
    <t>2025-01-05</t>
  </si>
  <si>
    <t>2025-09-12</t>
  </si>
  <si>
    <t>21/04/2025</t>
  </si>
  <si>
    <t>2025-12-28</t>
  </si>
  <si>
    <t>2025-04-23</t>
  </si>
  <si>
    <t>2025-02-18</t>
  </si>
  <si>
    <t>2025-06-09</t>
  </si>
  <si>
    <t>2025-06-12</t>
  </si>
  <si>
    <t>2025-02-26</t>
  </si>
  <si>
    <t>2025-05-02</t>
  </si>
  <si>
    <t>2025-04-26</t>
  </si>
  <si>
    <t>2025-10-18</t>
  </si>
  <si>
    <t>2025-08-05</t>
  </si>
  <si>
    <t>2025-01-01</t>
  </si>
  <si>
    <t>2025-11-02</t>
  </si>
  <si>
    <t>2025-01-14</t>
  </si>
  <si>
    <t>2025-07-23</t>
  </si>
  <si>
    <t>2025-11-29</t>
  </si>
  <si>
    <t>2025-03-29</t>
  </si>
  <si>
    <t>2025-12-09</t>
  </si>
  <si>
    <t>2025-09-11</t>
  </si>
  <si>
    <t>2025-05-18</t>
  </si>
  <si>
    <t>2025-04-03</t>
  </si>
  <si>
    <t>2025-01-21</t>
  </si>
  <si>
    <t>2025-08-07</t>
  </si>
  <si>
    <t>14/01/2025</t>
  </si>
  <si>
    <t>2025-01-28</t>
  </si>
  <si>
    <t>2025-11-11</t>
  </si>
  <si>
    <t>2025-05-17</t>
  </si>
  <si>
    <t>2025-10-17</t>
  </si>
  <si>
    <t>2025-12-23</t>
  </si>
  <si>
    <t>2025-11-23</t>
  </si>
  <si>
    <t>2025-04-09</t>
  </si>
  <si>
    <t>2025-12-13</t>
  </si>
  <si>
    <t>03/08/2025</t>
  </si>
  <si>
    <t>2025-11-03</t>
  </si>
  <si>
    <t>2025-12-24</t>
  </si>
  <si>
    <t>2025-12-12</t>
  </si>
  <si>
    <t>27/11/2025</t>
  </si>
  <si>
    <t>2025-01-10</t>
  </si>
  <si>
    <t>2025-10-11</t>
  </si>
  <si>
    <t>2025-07-03</t>
  </si>
  <si>
    <t>2025-05-19</t>
  </si>
  <si>
    <t>30/05/2025</t>
  </si>
  <si>
    <t>2025-10-09</t>
  </si>
  <si>
    <t>2025-02-25</t>
  </si>
  <si>
    <t>2025-05-01</t>
  </si>
  <si>
    <t>2025-04-14</t>
  </si>
  <si>
    <t>2025-05-23</t>
  </si>
  <si>
    <t>2025-08-02</t>
  </si>
  <si>
    <t>2025-03-03</t>
  </si>
  <si>
    <t>2025-10-08</t>
  </si>
  <si>
    <t>04/03/2025</t>
  </si>
  <si>
    <t>2025-12-02</t>
  </si>
  <si>
    <t>2025-08-30</t>
  </si>
  <si>
    <t>2025-06-02</t>
  </si>
  <si>
    <t>2025-11-14</t>
  </si>
  <si>
    <t>09/02/2025</t>
  </si>
  <si>
    <t>2025-07-29</t>
  </si>
  <si>
    <t>13/05/2025</t>
  </si>
  <si>
    <t>2025-02-21</t>
  </si>
  <si>
    <t>19/07/2025</t>
  </si>
  <si>
    <t>19/04/2025</t>
  </si>
  <si>
    <t>2025-01-08</t>
  </si>
  <si>
    <t>16/05/2025</t>
  </si>
  <si>
    <t>05/06/2025</t>
  </si>
  <si>
    <t>2025-05-28</t>
  </si>
  <si>
    <t>2025-04-25</t>
  </si>
  <si>
    <t>22/11/2025</t>
  </si>
  <si>
    <t>2025-03-18</t>
  </si>
  <si>
    <t>2025-08-21</t>
  </si>
  <si>
    <t>2025-10-27</t>
  </si>
  <si>
    <t>2025-02-20</t>
  </si>
  <si>
    <t>2025-04-29</t>
  </si>
  <si>
    <t>2025-10-22</t>
  </si>
  <si>
    <t>Withdrawal</t>
  </si>
  <si>
    <t>Deposit</t>
  </si>
  <si>
    <t>Utilities</t>
  </si>
  <si>
    <t>Online Shopping</t>
  </si>
  <si>
    <t>Groceries</t>
  </si>
  <si>
    <t>Salary</t>
  </si>
  <si>
    <t>Dining Out</t>
  </si>
  <si>
    <t>Transfer</t>
  </si>
  <si>
    <t>Entertainment</t>
  </si>
  <si>
    <t>State Hydro Grid</t>
  </si>
  <si>
    <t>Amazon Digital Supply</t>
  </si>
  <si>
    <t>SuperMart Marketplace</t>
  </si>
  <si>
    <t>Global Industries LLC</t>
  </si>
  <si>
    <t>Whole Foods Store</t>
  </si>
  <si>
    <t>McDonalds Corp Express</t>
  </si>
  <si>
    <t>Internal P2P Route</t>
  </si>
  <si>
    <t>TechCorp Payroll Inc</t>
  </si>
  <si>
    <t>Stark Retail Labs</t>
  </si>
  <si>
    <t>Olive Garden Gourmet</t>
  </si>
  <si>
    <t>Zelle Payment Engine</t>
  </si>
  <si>
    <t>Spotify Music Hub</t>
  </si>
  <si>
    <t>Netflix Streaming Premium</t>
  </si>
  <si>
    <t>Fresh &amp; Fast Logistics</t>
  </si>
  <si>
    <t>Target Direct Online</t>
  </si>
  <si>
    <t>eBay International</t>
  </si>
  <si>
    <t>AMC Cinema Network</t>
  </si>
  <si>
    <t>External Wire Clearance</t>
  </si>
  <si>
    <t>Metropolitan Water Sewer</t>
  </si>
  <si>
    <t>Starbucks Hub Cafe</t>
  </si>
  <si>
    <t>City Power &amp; Gas Co</t>
  </si>
  <si>
    <t>cost</t>
  </si>
  <si>
    <t>Row Labels</t>
  </si>
  <si>
    <t>Grand Total</t>
  </si>
  <si>
    <t>(All)</t>
  </si>
  <si>
    <t>Sum of Profit</t>
  </si>
  <si>
    <t>Sum of Revenue</t>
  </si>
  <si>
    <t>Sum of Sales</t>
  </si>
  <si>
    <t>Sum of Sales Projection</t>
  </si>
  <si>
    <t>Supermart Marketplace</t>
  </si>
  <si>
    <t>Global Industries Llc</t>
  </si>
  <si>
    <t>Mcdonalds Corp Express</t>
  </si>
  <si>
    <t>Techcorp Payroll Inc</t>
  </si>
  <si>
    <t>Ebay International</t>
  </si>
  <si>
    <t>Amc Cinema Network</t>
  </si>
  <si>
    <t>Sum of cost</t>
  </si>
  <si>
    <t>Achivement</t>
  </si>
  <si>
    <t>Average of Achivement</t>
  </si>
  <si>
    <t>Highest Revenue</t>
  </si>
  <si>
    <t>Lowest Revenue</t>
  </si>
  <si>
    <t>Highest Profit</t>
  </si>
  <si>
    <t>Lowest Profit</t>
  </si>
  <si>
    <t>Dashboard</t>
  </si>
  <si>
    <t>Sales   VS   Sales projection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</si>
</sst>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6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1" fillId="0" borderId="0" xfId="0" applyFont="1"/>
    <xf numFmtId="0" fontId="0" fillId="2" borderId="1" xfId="0" applyFill="1" applyBorder="1"/>
    <xf numFmtId="0" fontId="0" fillId="0" borderId="1" xfId="0" applyBorder="1"/>
    <xf numFmtId="0" fontId="2" fillId="2" borderId="1" xfId="0" applyFont="1" applyFill="1" applyBorder="1" applyAlignment="1">
      <alignment horizontal="center" vertical="top"/>
    </xf>
    <xf numFmtId="164" fontId="2" fillId="2" borderId="1" xfId="0" applyNumberFormat="1" applyFont="1" applyFill="1" applyBorder="1" applyAlignment="1">
      <alignment horizontal="center" vertical="top"/>
    </xf>
    <xf numFmtId="0" fontId="2" fillId="2" borderId="0" xfId="0" applyFont="1" applyFill="1"/>
    <xf numFmtId="0" fontId="2" fillId="2" borderId="2" xfId="0" applyFont="1" applyFill="1" applyBorder="1" applyAlignment="1">
      <alignment horizontal="center" vertical="top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3" fillId="9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4" borderId="1" xfId="0" applyNumberFormat="1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8" borderId="1" xfId="0" applyFill="1" applyBorder="1"/>
    <xf numFmtId="0" fontId="0" fillId="8" borderId="1" xfId="0" applyFill="1" applyBorder="1" applyAlignment="1">
      <alignment horizontal="left"/>
    </xf>
  </cellXfs>
  <cellStyles count="1">
    <cellStyle name="Normal" xfId="0" builtinId="0"/>
  </cellStyles>
  <dxfs count="7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numFmt numFmtId="164" formatCode="[$-14009]dd/mm/yyyy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[dirty_banking_dataset_.xlsx]Dashboard!PivotTable8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1">
                  <a:lumMod val="60000"/>
                  <a:shade val="51000"/>
                  <a:satMod val="130000"/>
                </a:schemeClr>
              </a:gs>
              <a:gs pos="80000">
                <a:schemeClr val="accent1">
                  <a:lumMod val="60000"/>
                  <a:shade val="93000"/>
                  <a:satMod val="130000"/>
                </a:schemeClr>
              </a:gs>
              <a:gs pos="100000">
                <a:schemeClr val="accent1">
                  <a:lumMod val="60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Dashboard!$H$11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88AF-4E68-B2BF-8B75A082E6E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88AF-4E68-B2BF-8B75A082E6E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88AF-4E68-B2BF-8B75A082E6E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88AF-4E68-B2BF-8B75A082E6E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88AF-4E68-B2BF-8B75A082E6E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88AF-4E68-B2BF-8B75A082E6E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88AF-4E68-B2BF-8B75A082E6EB}"/>
              </c:ext>
            </c:extLst>
          </c:dPt>
          <c:cat>
            <c:strRef>
              <c:f>Dashboard!$G$12:$G$19</c:f>
              <c:strCache>
                <c:ptCount val="7"/>
                <c:pt idx="0">
                  <c:v>Dining Out</c:v>
                </c:pt>
                <c:pt idx="1">
                  <c:v>Entertainment</c:v>
                </c:pt>
                <c:pt idx="2">
                  <c:v>Groceries</c:v>
                </c:pt>
                <c:pt idx="3">
                  <c:v>Online Shopping</c:v>
                </c:pt>
                <c:pt idx="4">
                  <c:v>Salary</c:v>
                </c:pt>
                <c:pt idx="5">
                  <c:v>Transfer</c:v>
                </c:pt>
                <c:pt idx="6">
                  <c:v>Utilities</c:v>
                </c:pt>
              </c:strCache>
            </c:strRef>
          </c:cat>
          <c:val>
            <c:numRef>
              <c:f>Dashboard!$H$12:$H$19</c:f>
              <c:numCache>
                <c:formatCode>General</c:formatCode>
                <c:ptCount val="7"/>
                <c:pt idx="0">
                  <c:v>65040.928000000014</c:v>
                </c:pt>
                <c:pt idx="1">
                  <c:v>76283.308000000048</c:v>
                </c:pt>
                <c:pt idx="2">
                  <c:v>73533.265333333373</c:v>
                </c:pt>
                <c:pt idx="3">
                  <c:v>73000.060000000041</c:v>
                </c:pt>
                <c:pt idx="4">
                  <c:v>731503.16800000006</c:v>
                </c:pt>
                <c:pt idx="5">
                  <c:v>77624.652666666647</c:v>
                </c:pt>
                <c:pt idx="6">
                  <c:v>66372.489000000031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11-42E2-A783-3FAEAF413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[dirty_banking_dataset_.xlsx]Dashboard!PivotTable9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Dashboard!$H$32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Dashboard!$G$33:$G$40</c:f>
              <c:strCache>
                <c:ptCount val="7"/>
                <c:pt idx="0">
                  <c:v>Dining Out</c:v>
                </c:pt>
                <c:pt idx="1">
                  <c:v>Entertainment</c:v>
                </c:pt>
                <c:pt idx="2">
                  <c:v>Groceries</c:v>
                </c:pt>
                <c:pt idx="3">
                  <c:v>Online Shopping</c:v>
                </c:pt>
                <c:pt idx="4">
                  <c:v>Salary</c:v>
                </c:pt>
                <c:pt idx="5">
                  <c:v>Transfer</c:v>
                </c:pt>
                <c:pt idx="6">
                  <c:v>Utilities</c:v>
                </c:pt>
              </c:strCache>
            </c:strRef>
          </c:cat>
          <c:val>
            <c:numRef>
              <c:f>Dashboard!$H$33:$H$40</c:f>
              <c:numCache>
                <c:formatCode>General</c:formatCode>
                <c:ptCount val="7"/>
                <c:pt idx="0">
                  <c:v>77432.311470588218</c:v>
                </c:pt>
                <c:pt idx="1">
                  <c:v>89208.453823529388</c:v>
                </c:pt>
                <c:pt idx="2">
                  <c:v>89384.17382352936</c:v>
                </c:pt>
                <c:pt idx="3">
                  <c:v>94846.561470588262</c:v>
                </c:pt>
                <c:pt idx="4">
                  <c:v>924898.77</c:v>
                </c:pt>
                <c:pt idx="5">
                  <c:v>94543.793823529428</c:v>
                </c:pt>
                <c:pt idx="6">
                  <c:v>81358.107647058816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78-4875-9E84-AA6803906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844383008"/>
        <c:axId val="1559537168"/>
        <c:axId val="0"/>
      </c:bar3DChart>
      <c:catAx>
        <c:axId val="1844383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537168"/>
        <c:crosses val="autoZero"/>
        <c:auto val="1"/>
        <c:lblAlgn val="ctr"/>
        <c:lblOffset val="100"/>
        <c:noMultiLvlLbl val="0"/>
      </c:catAx>
      <c:valAx>
        <c:axId val="1559537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38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[dirty_banking_dataset_.xlsx]Dashboard!PivotTable10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500" b="1" i="0" u="none" strike="noStrike" kern="1200" cap="all" spc="100" normalizeH="0" baseline="0">
                <a:solidFill>
                  <a:sysClr val="window" lastClr="FFFFFF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Category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500" b="1" i="0" u="none" strike="noStrike" kern="1200" cap="all" spc="100" normalizeH="0" baseline="0">
              <a:solidFill>
                <a:sysClr val="window" lastClr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Dashboard!$H$52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Dashboard!$G$53:$G$60</c:f>
              <c:strCache>
                <c:ptCount val="7"/>
                <c:pt idx="0">
                  <c:v>Dining Out</c:v>
                </c:pt>
                <c:pt idx="1">
                  <c:v>Entertainment</c:v>
                </c:pt>
                <c:pt idx="2">
                  <c:v>Groceries</c:v>
                </c:pt>
                <c:pt idx="3">
                  <c:v>Online Shopping</c:v>
                </c:pt>
                <c:pt idx="4">
                  <c:v>Salary</c:v>
                </c:pt>
                <c:pt idx="5">
                  <c:v>Transfer</c:v>
                </c:pt>
                <c:pt idx="6">
                  <c:v>Utilities</c:v>
                </c:pt>
              </c:strCache>
            </c:strRef>
          </c:cat>
          <c:val>
            <c:numRef>
              <c:f>Dashboard!$H$53:$H$60</c:f>
              <c:numCache>
                <c:formatCode>General</c:formatCode>
                <c:ptCount val="7"/>
                <c:pt idx="0">
                  <c:v>5959.5199999999986</c:v>
                </c:pt>
                <c:pt idx="1">
                  <c:v>945.8620895522381</c:v>
                </c:pt>
                <c:pt idx="2">
                  <c:v>80.190000000000268</c:v>
                </c:pt>
                <c:pt idx="3">
                  <c:v>1766.6440298507466</c:v>
                </c:pt>
                <c:pt idx="4">
                  <c:v>-13420.91298507463</c:v>
                </c:pt>
                <c:pt idx="5">
                  <c:v>6065.3970149253719</c:v>
                </c:pt>
                <c:pt idx="6">
                  <c:v>1837.6310447761202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34-4786-83CB-4256BC775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940813280"/>
        <c:axId val="1559474768"/>
      </c:lineChart>
      <c:catAx>
        <c:axId val="194081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474768"/>
        <c:crosses val="autoZero"/>
        <c:auto val="1"/>
        <c:lblAlgn val="ctr"/>
        <c:lblOffset val="100"/>
        <c:noMultiLvlLbl val="0"/>
      </c:catAx>
      <c:valAx>
        <c:axId val="155947476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81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[dirty_banking_dataset_.xlsx]Dashboard!PivotTable11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by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46000">
                  <a:schemeClr val="accent1"/>
                </a:gs>
                <a:gs pos="100000">
                  <a:schemeClr val="accent1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Dashboard!$S$11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Dashboard!$R$12:$R$19</c:f>
              <c:strCache>
                <c:ptCount val="7"/>
                <c:pt idx="0">
                  <c:v>Dining Out</c:v>
                </c:pt>
                <c:pt idx="1">
                  <c:v>Entertainment</c:v>
                </c:pt>
                <c:pt idx="2">
                  <c:v>Groceries</c:v>
                </c:pt>
                <c:pt idx="3">
                  <c:v>Online Shopping</c:v>
                </c:pt>
                <c:pt idx="4">
                  <c:v>Salary</c:v>
                </c:pt>
                <c:pt idx="5">
                  <c:v>Transfer</c:v>
                </c:pt>
                <c:pt idx="6">
                  <c:v>Utilities</c:v>
                </c:pt>
              </c:strCache>
            </c:strRef>
          </c:cat>
          <c:val>
            <c:numRef>
              <c:f>Dashboard!$S$12:$S$19</c:f>
              <c:numCache>
                <c:formatCode>General</c:formatCode>
                <c:ptCount val="7"/>
                <c:pt idx="0">
                  <c:v>71472.791470588229</c:v>
                </c:pt>
                <c:pt idx="1">
                  <c:v>88262.591733977184</c:v>
                </c:pt>
                <c:pt idx="2">
                  <c:v>89303.98382352943</c:v>
                </c:pt>
                <c:pt idx="3">
                  <c:v>93079.91744073751</c:v>
                </c:pt>
                <c:pt idx="4">
                  <c:v>938319.68298507435</c:v>
                </c:pt>
                <c:pt idx="5">
                  <c:v>88478.396808603982</c:v>
                </c:pt>
                <c:pt idx="6">
                  <c:v>79520.47660228271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FD-4014-B6C5-F2EA28D84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74840799"/>
        <c:axId val="1274426063"/>
      </c:barChart>
      <c:catAx>
        <c:axId val="1574840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426063"/>
        <c:auto val="1"/>
        <c:lblAlgn val="ctr"/>
        <c:lblOffset val="100"/>
        <c:noMultiLvlLbl val="0"/>
      </c:catAx>
      <c:valAx>
        <c:axId val="127442606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840799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[dirty_banking_dataset_.xlsx]Dashboard!PivotTable12</c:name>
    <c:fmtId val="3"/>
  </c:pivotSource>
  <c:chart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Dashboard!$R$35</c:f>
              <c:strCache>
                <c:ptCount val="1"/>
                <c:pt idx="0">
                  <c:v>Sum of Sales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Dashboard!$R$36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Dashboard!$R$36</c:f>
              <c:numCache>
                <c:formatCode>General</c:formatCode>
                <c:ptCount val="1"/>
                <c:pt idx="0">
                  <c:v>1163357.8710000007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92-4B1B-AC47-55EEFFAEFBD9}"/>
            </c:ext>
          </c:extLst>
        </c:ser>
        <c:ser>
          <c:idx val="1"/>
          <c:order val="1"/>
          <c:tx>
            <c:strRef>
              <c:f>Dashboard!$S$35</c:f>
              <c:strCache>
                <c:ptCount val="1"/>
                <c:pt idx="0">
                  <c:v>Sum of Sales Projection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Dashboard!$R$36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Dashboard!$S$36</c:f>
              <c:numCache>
                <c:formatCode>General</c:formatCode>
                <c:ptCount val="1"/>
                <c:pt idx="0">
                  <c:v>1179144.339999998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92-4B1B-AC47-55EEFFAEF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612839183"/>
        <c:axId val="1274401103"/>
      </c:barChart>
      <c:catAx>
        <c:axId val="161283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401103"/>
        <c:crosses val="autoZero"/>
        <c:auto val="1"/>
        <c:lblAlgn val="ctr"/>
        <c:lblOffset val="100"/>
        <c:noMultiLvlLbl val="0"/>
      </c:catAx>
      <c:valAx>
        <c:axId val="1274401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839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 prst="relaxedInset"/>
    </a:sp3d>
  </c:spPr>
  <c:txPr>
    <a:bodyPr/>
    <a:lstStyle/>
    <a:p>
      <a:pPr>
        <a:defRPr>
          <a:solidFill>
            <a:schemeClr val="dk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[dirty_banking_dataset_.xlsx]Dashboard!PivotTable14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Category</a:t>
            </a:r>
            <a:r>
              <a:rPr lang="en-US" baseline="0"/>
              <a:t> by Achivement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  <c:perspective val="5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Dashboard!$S$51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cat>
            <c:strRef>
              <c:f>Dashboard!$R$52:$R$59</c:f>
              <c:strCache>
                <c:ptCount val="7"/>
                <c:pt idx="0">
                  <c:v>Dining Out</c:v>
                </c:pt>
                <c:pt idx="1">
                  <c:v>Entertainment</c:v>
                </c:pt>
                <c:pt idx="2">
                  <c:v>Groceries</c:v>
                </c:pt>
                <c:pt idx="3">
                  <c:v>Online Shopping</c:v>
                </c:pt>
                <c:pt idx="4">
                  <c:v>Salary</c:v>
                </c:pt>
                <c:pt idx="5">
                  <c:v>Transfer</c:v>
                </c:pt>
                <c:pt idx="6">
                  <c:v>Utilities</c:v>
                </c:pt>
              </c:strCache>
            </c:strRef>
          </c:cat>
          <c:val>
            <c:numRef>
              <c:f>Dashboard!$S$52:$S$59</c:f>
              <c:numCache>
                <c:formatCode>General</c:formatCode>
                <c:ptCount val="7"/>
                <c:pt idx="0">
                  <c:v>39.178666666666679</c:v>
                </c:pt>
                <c:pt idx="1">
                  <c:v>25.294170940170957</c:v>
                </c:pt>
                <c:pt idx="2">
                  <c:v>21.422458333333338</c:v>
                </c:pt>
                <c:pt idx="3">
                  <c:v>-24.221880341880347</c:v>
                </c:pt>
                <c:pt idx="4">
                  <c:v>-179.35220000000015</c:v>
                </c:pt>
                <c:pt idx="5">
                  <c:v>-14.161349462365584</c:v>
                </c:pt>
                <c:pt idx="6">
                  <c:v>-7.3456354166666573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70-466C-953B-CF27EFEB5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327660</xdr:colOff>
      <xdr:row>8</xdr:row>
      <xdr:rowOff>95250</xdr:rowOff>
    </xdr:from>
    <xdr:to>
      <xdr:col>14</xdr:col>
      <xdr:colOff>152400</xdr:colOff>
      <xdr:row>20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8FF43D-81D3-EE15-D2F8-253AB13BFA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477695</xdr:colOff>
      <xdr:row>30</xdr:row>
      <xdr:rowOff>60566</xdr:rowOff>
    </xdr:from>
    <xdr:to>
      <xdr:col>14</xdr:col>
      <xdr:colOff>805355</xdr:colOff>
      <xdr:row>42</xdr:row>
      <xdr:rowOff>9985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5ED0A1-6CFC-6F28-BC32-12C3F8B11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215724</xdr:colOff>
      <xdr:row>50</xdr:row>
      <xdr:rowOff>99454</xdr:rowOff>
    </xdr:from>
    <xdr:to>
      <xdr:col>14</xdr:col>
      <xdr:colOff>769094</xdr:colOff>
      <xdr:row>61</xdr:row>
      <xdr:rowOff>148983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154553-D423-33FA-1FD2-75D918C400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799837</xdr:colOff>
      <xdr:row>8</xdr:row>
      <xdr:rowOff>142284</xdr:rowOff>
    </xdr:from>
    <xdr:to>
      <xdr:col>23</xdr:col>
      <xdr:colOff>551793</xdr:colOff>
      <xdr:row>20</xdr:row>
      <xdr:rowOff>26277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0F9BE83-EE3A-350C-3738-D2B6B3FB13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736775</xdr:colOff>
      <xdr:row>29</xdr:row>
      <xdr:rowOff>171976</xdr:rowOff>
    </xdr:from>
    <xdr:to>
      <xdr:col>23</xdr:col>
      <xdr:colOff>744395</xdr:colOff>
      <xdr:row>40</xdr:row>
      <xdr:rowOff>168166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0AD46FC-EA69-D7FA-0AAA-610245366C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945405</xdr:colOff>
      <xdr:row>48</xdr:row>
      <xdr:rowOff>167772</xdr:rowOff>
    </xdr:from>
    <xdr:to>
      <xdr:col>23</xdr:col>
      <xdr:colOff>747285</xdr:colOff>
      <xdr:row>60</xdr:row>
      <xdr:rowOff>171581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4F31EA8-A17A-4079-EB4A-AA83E6171D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Lakshmanan.S" refreshedDate="46303.909359027777" createdVersion="8" refreshedVersion="8" minRefreshableVersion="3" recordCount="775" xr:uid="{BAEE25F3-8AF5-4F3A-8A0D-12030043EE85}">
  <cacheSource type="worksheet">
    <worksheetSource ref="A1:K776" sheet="Rework"/>
  </cacheSource>
  <cacheFields count="11">
    <cacheField name="Transaction ID" numFmtId="0">
      <sharedItems/>
    </cacheField>
    <cacheField name="Customer ID" numFmtId="0">
      <sharedItems count="150">
        <s v="CUST649"/>
        <s v="CUST555"/>
        <s v="CUST562"/>
        <s v="CUST569"/>
        <s v="CUST589"/>
        <s v="CUST539"/>
        <s v="CUST502"/>
        <s v="CUST618"/>
        <s v="CUST584"/>
        <s v="CUST572"/>
        <s v="CUST570"/>
        <s v="CUST514"/>
        <s v="CUST552"/>
        <s v="CUST578"/>
        <s v="CUST613"/>
        <s v="CUST515"/>
        <s v="CUST568"/>
        <s v="CUST550"/>
        <s v="CUST504"/>
        <s v="CUST524"/>
        <s v="CUST543"/>
        <s v="CUST549"/>
        <s v="CUST595"/>
        <s v="CUST512"/>
        <s v="CUST548"/>
        <s v="CUST626"/>
        <s v="CUST517"/>
        <s v="CUST520"/>
        <s v="CUST523"/>
        <s v="CUST541"/>
        <s v="CUST583"/>
        <s v="CUST538"/>
        <s v="CUST609"/>
        <s v="CUST579"/>
        <s v="CUST636"/>
        <s v="CUST535"/>
        <s v="CUST607"/>
        <s v="CUST612"/>
        <s v="CUST521"/>
        <s v="CUST603"/>
        <s v="CUST635"/>
        <s v="CUST544"/>
        <s v="CUST634"/>
        <s v="CUST564"/>
        <s v="CUST614"/>
        <s v="CUST602"/>
        <s v="CUST529"/>
        <s v="CUST547"/>
        <s v="CUST623"/>
        <s v="CUST587"/>
        <s v="CUST546"/>
        <s v="CUST528"/>
        <s v="CUST574"/>
        <s v="CUST606"/>
        <s v="CUST516"/>
        <s v="CUST619"/>
        <s v="CUST601"/>
        <s v="CUST551"/>
        <s v="CUST519"/>
        <s v="CUST641"/>
        <s v="CUST625"/>
        <s v="CUST588"/>
        <s v="CUST537"/>
        <s v="CUST624"/>
        <s v="CUST617"/>
        <s v="CUST531"/>
        <s v="CUST536"/>
        <s v="CUST633"/>
        <s v="CUST604"/>
        <s v="CUST615"/>
        <s v="CUST563"/>
        <s v="CUST513"/>
        <s v="CUST643"/>
        <s v="CUST632"/>
        <s v="CUST559"/>
        <s v="CUST510"/>
        <s v="CUST631"/>
        <s v="CUST527"/>
        <s v="CUST647"/>
        <s v="CUST627"/>
        <s v="CUST540"/>
        <s v="CUST592"/>
        <s v="CUST573"/>
        <s v="CUST622"/>
        <s v="CUST598"/>
        <s v="CUST530"/>
        <s v="CUST565"/>
        <s v="CUST597"/>
        <s v="CUST575"/>
        <s v="CUST522"/>
        <s v="CUST505"/>
        <s v="CUST599"/>
        <s v="CUST596"/>
        <s v="CUST560"/>
        <s v="CUST586"/>
        <s v="CUST545"/>
        <s v="CUST600"/>
        <s v="CUST605"/>
        <s v="CUST577"/>
        <s v="CUST646"/>
        <s v="CUST507"/>
        <s v="CUST503"/>
        <s v="CUST576"/>
        <s v="CUST571"/>
        <s v="CUST518"/>
        <s v="CUST526"/>
        <s v="CUST533"/>
        <s v="CUST642"/>
        <s v="CUST534"/>
        <s v="CUST501"/>
        <s v="CUST567"/>
        <s v="CUST608"/>
        <s v="CUST561"/>
        <s v="CUST639"/>
        <s v="CUST585"/>
        <s v="CUST508"/>
        <s v="CUST557"/>
        <s v="CUST593"/>
        <s v="CUST594"/>
        <s v="CUST630"/>
        <s v="CUST532"/>
        <s v="CUST611"/>
        <s v="CUST638"/>
        <s v="CUST640"/>
        <s v="CUST616"/>
        <s v="CUST506"/>
        <s v="CUST628"/>
        <s v="CUST645"/>
        <s v="CUST650"/>
        <s v="CUST566"/>
        <s v="CUST648"/>
        <s v="CUST581"/>
        <s v="CUST542"/>
        <s v="CUST590"/>
        <s v="CUST580"/>
        <s v="CUST610"/>
        <s v="CUST556"/>
        <s v="CUST554"/>
        <s v="CUST558"/>
        <s v="CUST644"/>
        <s v="CUST525"/>
        <s v="CUST509"/>
        <s v="CUST582"/>
        <s v="CUST621"/>
        <s v="CUST511"/>
        <s v="CUST553"/>
        <s v="CUST629"/>
        <s v="CUST637"/>
        <s v="CUST591"/>
        <s v="CUST620"/>
      </sharedItems>
    </cacheField>
    <cacheField name="Date" numFmtId="164">
      <sharedItems/>
    </cacheField>
    <cacheField name="Transaction Type" numFmtId="0">
      <sharedItems count="2">
        <s v="Withdrawal"/>
        <s v="Deposit"/>
      </sharedItems>
    </cacheField>
    <cacheField name="Category" numFmtId="0">
      <sharedItems count="7">
        <s v="Utilities"/>
        <s v="Online Shopping"/>
        <s v="Groceries"/>
        <s v="Salary"/>
        <s v="Dining Out"/>
        <s v="Transfer"/>
        <s v="Entertainment"/>
      </sharedItems>
    </cacheField>
    <cacheField name="Merchant Name" numFmtId="0">
      <sharedItems/>
    </cacheField>
    <cacheField name="Sales" numFmtId="0">
      <sharedItems containsSemiMixedTypes="0" containsString="0" containsNumber="1" minValue="15.32" maxValue="9399.4599999999991"/>
    </cacheField>
    <cacheField name="Revenue" numFmtId="0">
      <sharedItems containsSemiMixedTypes="0" containsString="0" containsNumber="1" minValue="19.11" maxValue="12991.95"/>
    </cacheField>
    <cacheField name="Profit" numFmtId="0">
      <sharedItems containsSemiMixedTypes="0" containsString="0" containsNumber="1" minValue="-1919.02" maxValue="3557.14"/>
    </cacheField>
    <cacheField name="Sales Projection" numFmtId="0">
      <sharedItems containsSemiMixedTypes="0" containsString="0" containsNumber="1" minValue="17.440000000000001" maxValue="10753.66"/>
    </cacheField>
    <cacheField name="cost" numFmtId="0">
      <sharedItems containsSemiMixedTypes="0" containsString="0" containsNumber="1" minValue="15.32" maxValue="14712.46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Lakshmanan.S" refreshedDate="46303.913043865738" createdVersion="8" refreshedVersion="8" minRefreshableVersion="3" recordCount="775" xr:uid="{14FD8D57-79BA-4045-98AF-D5B6CB770F72}">
  <cacheSource type="worksheet">
    <worksheetSource ref="A1:K776" sheet="Rework"/>
  </cacheSource>
  <cacheFields count="11">
    <cacheField name="Transaction ID" numFmtId="0">
      <sharedItems count="775">
        <s v="TXN200001"/>
        <s v="TXN200002"/>
        <s v="TXN200003"/>
        <s v="TXN200004"/>
        <s v="TXN200005"/>
        <s v="TXN200006"/>
        <s v="TXN200007"/>
        <s v="TXN200008"/>
        <s v="TXN200009"/>
        <s v="TXN200010"/>
        <s v="TXN200011"/>
        <s v="TXN200012"/>
        <s v="TXN200013"/>
        <s v="TXN200014"/>
        <s v="TXN200015"/>
        <s v="TXN200016"/>
        <s v="TXN200017"/>
        <s v="TXN200018"/>
        <s v="TXN200019"/>
        <s v="TXN200020"/>
        <s v="TXN200021"/>
        <s v="TXN200022"/>
        <s v="TXN200023"/>
        <s v="TXN200024"/>
        <s v="TXN200025"/>
        <s v="TXN200026"/>
        <s v="TXN200027"/>
        <s v="TXN200028"/>
        <s v="TXN200029"/>
        <s v="TXN200030"/>
        <s v="TXN200031"/>
        <s v="TXN200032"/>
        <s v="TXN200033"/>
        <s v="TXN200034"/>
        <s v="TXN200035"/>
        <s v="TXN200036"/>
        <s v="TXN200037"/>
        <s v="TXN200038"/>
        <s v="TXN200039"/>
        <s v="TXN200040"/>
        <s v="TXN200041"/>
        <s v="TXN200042"/>
        <s v="TXN200043"/>
        <s v="TXN200044"/>
        <s v="TXN200045"/>
        <s v="TXN200046"/>
        <s v="TXN200047"/>
        <s v="TXN200048"/>
        <s v="TXN200049"/>
        <s v="TXN200050"/>
        <s v="TXN200051"/>
        <s v="TXN200052"/>
        <s v="TXN200053"/>
        <s v="TXN200054"/>
        <s v="TXN200055"/>
        <s v="TXN200056"/>
        <s v="TXN200057"/>
        <s v="TXN200058"/>
        <s v="TXN200059"/>
        <s v="TXN200060"/>
        <s v="TXN200061"/>
        <s v="TXN200062"/>
        <s v="TXN200063"/>
        <s v="TXN200064"/>
        <s v="TXN200065"/>
        <s v="TXN200066"/>
        <s v="TXN200067"/>
        <s v="TXN200068"/>
        <s v="TXN200069"/>
        <s v="TXN200070"/>
        <s v="TXN200071"/>
        <s v="TXN200072"/>
        <s v="TXN200073"/>
        <s v="TXN200074"/>
        <s v="TXN200075"/>
        <s v="TXN200076"/>
        <s v="TXN200077"/>
        <s v="TXN200078"/>
        <s v="TXN200079"/>
        <s v="TXN200080"/>
        <s v="TXN200081"/>
        <s v="TXN200082"/>
        <s v="TXN200083"/>
        <s v="TXN200084"/>
        <s v="TXN200085"/>
        <s v="TXN200086"/>
        <s v="TXN200087"/>
        <s v="TXN200088"/>
        <s v="TXN200089"/>
        <s v="TXN200090"/>
        <s v="TXN200091"/>
        <s v="TXN200092"/>
        <s v="TXN200093"/>
        <s v="TXN200094"/>
        <s v="TXN200095"/>
        <s v="TXN200096"/>
        <s v="TXN200097"/>
        <s v="TXN200098"/>
        <s v="TXN200099"/>
        <s v="TXN200100"/>
        <s v="TXN200101"/>
        <s v="TXN200102"/>
        <s v="TXN200103"/>
        <s v="TXN200104"/>
        <s v="TXN200105"/>
        <s v="TXN200106"/>
        <s v="TXN200107"/>
        <s v="TXN200108"/>
        <s v="TXN200109"/>
        <s v="TXN200110"/>
        <s v="TXN200111"/>
        <s v="TXN200112"/>
        <s v="TXN200113"/>
        <s v="TXN200114"/>
        <s v="TXN200115"/>
        <s v="TXN200116"/>
        <s v="TXN200117"/>
        <s v="TXN200118"/>
        <s v="TXN200119"/>
        <s v="TXN200120"/>
        <s v="TXN200121"/>
        <s v="TXN200122"/>
        <s v="TXN200123"/>
        <s v="TXN200124"/>
        <s v="TXN200125"/>
        <s v="TXN200126"/>
        <s v="TXN200127"/>
        <s v="TXN200128"/>
        <s v="TXN200129"/>
        <s v="TXN200130"/>
        <s v="TXN200131"/>
        <s v="TXN200132"/>
        <s v="TXN200133"/>
        <s v="TXN200134"/>
        <s v="TXN200135"/>
        <s v="TXN200136"/>
        <s v="TXN200137"/>
        <s v="TXN200138"/>
        <s v="TXN200139"/>
        <s v="TXN200140"/>
        <s v="TXN200141"/>
        <s v="TXN200142"/>
        <s v="TXN200143"/>
        <s v="TXN200144"/>
        <s v="TXN200145"/>
        <s v="TXN200146"/>
        <s v="TXN200147"/>
        <s v="TXN200148"/>
        <s v="TXN200149"/>
        <s v="TXN200150"/>
        <s v="TXN200151"/>
        <s v="TXN200152"/>
        <s v="TXN200153"/>
        <s v="TXN200154"/>
        <s v="TXN200155"/>
        <s v="TXN200156"/>
        <s v="TXN200157"/>
        <s v="TXN200158"/>
        <s v="TXN200159"/>
        <s v="TXN200160"/>
        <s v="TXN200161"/>
        <s v="TXN200162"/>
        <s v="TXN200163"/>
        <s v="TXN200164"/>
        <s v="TXN200165"/>
        <s v="TXN200166"/>
        <s v="TXN200167"/>
        <s v="TXN200168"/>
        <s v="TXN200169"/>
        <s v="TXN200170"/>
        <s v="TXN200171"/>
        <s v="TXN200172"/>
        <s v="TXN200173"/>
        <s v="TXN200174"/>
        <s v="TXN200175"/>
        <s v="TXN200176"/>
        <s v="TXN200177"/>
        <s v="TXN200178"/>
        <s v="TXN200179"/>
        <s v="TXN200180"/>
        <s v="TXN200181"/>
        <s v="TXN200182"/>
        <s v="TXN200183"/>
        <s v="TXN200184"/>
        <s v="TXN200185"/>
        <s v="TXN200186"/>
        <s v="TXN200187"/>
        <s v="TXN200188"/>
        <s v="TXN200189"/>
        <s v="TXN200190"/>
        <s v="TXN200191"/>
        <s v="TXN200192"/>
        <s v="TXN200193"/>
        <s v="TXN200194"/>
        <s v="TXN200195"/>
        <s v="TXN200196"/>
        <s v="TXN200197"/>
        <s v="TXN200198"/>
        <s v="TXN200199"/>
        <s v="TXN200200"/>
        <s v="TXN200201"/>
        <s v="TXN200202"/>
        <s v="TXN200203"/>
        <s v="TXN200204"/>
        <s v="TXN200205"/>
        <s v="TXN200206"/>
        <s v="TXN200207"/>
        <s v="TXN200208"/>
        <s v="TXN200209"/>
        <s v="TXN200210"/>
        <s v="TXN200211"/>
        <s v="TXN200212"/>
        <s v="TXN200213"/>
        <s v="TXN200214"/>
        <s v="TXN200215"/>
        <s v="TXN200216"/>
        <s v="TXN200217"/>
        <s v="TXN200218"/>
        <s v="TXN200219"/>
        <s v="TXN200220"/>
        <s v="TXN200221"/>
        <s v="TXN200222"/>
        <s v="TXN200223"/>
        <s v="TXN200224"/>
        <s v="TXN200225"/>
        <s v="TXN200226"/>
        <s v="TXN200227"/>
        <s v="TXN200228"/>
        <s v="TXN200229"/>
        <s v="TXN200230"/>
        <s v="TXN200231"/>
        <s v="TXN200232"/>
        <s v="TXN200233"/>
        <s v="TXN200234"/>
        <s v="TXN200235"/>
        <s v="TXN200236"/>
        <s v="TXN200237"/>
        <s v="TXN200238"/>
        <s v="TXN200239"/>
        <s v="TXN200240"/>
        <s v="TXN200241"/>
        <s v="TXN200242"/>
        <s v="TXN200243"/>
        <s v="TXN200244"/>
        <s v="TXN200245"/>
        <s v="TXN200246"/>
        <s v="TXN200247"/>
        <s v="TXN200248"/>
        <s v="TXN200249"/>
        <s v="TXN200250"/>
        <s v="TXN200251"/>
        <s v="TXN200252"/>
        <s v="TXN200253"/>
        <s v="TXN200254"/>
        <s v="TXN200255"/>
        <s v="TXN200256"/>
        <s v="TXN200257"/>
        <s v="TXN200258"/>
        <s v="TXN200259"/>
        <s v="TXN200260"/>
        <s v="TXN200261"/>
        <s v="TXN200262"/>
        <s v="TXN200263"/>
        <s v="TXN200264"/>
        <s v="TXN200265"/>
        <s v="TXN200266"/>
        <s v="TXN200267"/>
        <s v="TXN200268"/>
        <s v="TXN200269"/>
        <s v="TXN200270"/>
        <s v="TXN200271"/>
        <s v="TXN200272"/>
        <s v="TXN200273"/>
        <s v="TXN200274"/>
        <s v="TXN200275"/>
        <s v="TXN200276"/>
        <s v="TXN200277"/>
        <s v="TXN200278"/>
        <s v="TXN200279"/>
        <s v="TXN200280"/>
        <s v="TXN200281"/>
        <s v="TXN200282"/>
        <s v="TXN200283"/>
        <s v="TXN200284"/>
        <s v="TXN200285"/>
        <s v="TXN200286"/>
        <s v="TXN200287"/>
        <s v="TXN200288"/>
        <s v="TXN200289"/>
        <s v="TXN200290"/>
        <s v="TXN200291"/>
        <s v="TXN200292"/>
        <s v="TXN200293"/>
        <s v="TXN200294"/>
        <s v="TXN200295"/>
        <s v="TXN200296"/>
        <s v="TXN200297"/>
        <s v="TXN200298"/>
        <s v="TXN200299"/>
        <s v="TXN200300"/>
        <s v="TXN200301"/>
        <s v="TXN200302"/>
        <s v="TXN200303"/>
        <s v="TXN200304"/>
        <s v="TXN200305"/>
        <s v="TXN200306"/>
        <s v="TXN200307"/>
        <s v="TXN200308"/>
        <s v="TXN200309"/>
        <s v="TXN200310"/>
        <s v="TXN200311"/>
        <s v="TXN200312"/>
        <s v="TXN200313"/>
        <s v="TXN200314"/>
        <s v="TXN200315"/>
        <s v="TXN200316"/>
        <s v="TXN200317"/>
        <s v="TXN200318"/>
        <s v="TXN200319"/>
        <s v="TXN200320"/>
        <s v="TXN200321"/>
        <s v="TXN200322"/>
        <s v="TXN200323"/>
        <s v="TXN200324"/>
        <s v="TXN200325"/>
        <s v="TXN200326"/>
        <s v="TXN200327"/>
        <s v="TXN200328"/>
        <s v="TXN200329"/>
        <s v="TXN200330"/>
        <s v="TXN200331"/>
        <s v="TXN200332"/>
        <s v="TXN200333"/>
        <s v="TXN200334"/>
        <s v="TXN200335"/>
        <s v="TXN200336"/>
        <s v="TXN200337"/>
        <s v="TXN200338"/>
        <s v="TXN200339"/>
        <s v="TXN200340"/>
        <s v="TXN200341"/>
        <s v="TXN200342"/>
        <s v="TXN200343"/>
        <s v="TXN200344"/>
        <s v="TXN200345"/>
        <s v="TXN200346"/>
        <s v="TXN200347"/>
        <s v="TXN200348"/>
        <s v="TXN200349"/>
        <s v="TXN200350"/>
        <s v="TXN200351"/>
        <s v="TXN200352"/>
        <s v="TXN200353"/>
        <s v="TXN200354"/>
        <s v="TXN200355"/>
        <s v="TXN200356"/>
        <s v="TXN200357"/>
        <s v="TXN200358"/>
        <s v="TXN200359"/>
        <s v="TXN200360"/>
        <s v="TXN200361"/>
        <s v="TXN200362"/>
        <s v="TXN200363"/>
        <s v="TXN200364"/>
        <s v="TXN200365"/>
        <s v="TXN200366"/>
        <s v="TXN200367"/>
        <s v="TXN200368"/>
        <s v="TXN200369"/>
        <s v="TXN200370"/>
        <s v="TXN200371"/>
        <s v="TXN200372"/>
        <s v="TXN200373"/>
        <s v="TXN200374"/>
        <s v="TXN200375"/>
        <s v="TXN200376"/>
        <s v="TXN200377"/>
        <s v="TXN200378"/>
        <s v="TXN200379"/>
        <s v="TXN200380"/>
        <s v="TXN200381"/>
        <s v="TXN200382"/>
        <s v="TXN200383"/>
        <s v="TXN200384"/>
        <s v="TXN200385"/>
        <s v="TXN200386"/>
        <s v="TXN200387"/>
        <s v="TXN200388"/>
        <s v="TXN200389"/>
        <s v="TXN200390"/>
        <s v="TXN200391"/>
        <s v="TXN200392"/>
        <s v="TXN200393"/>
        <s v="TXN200394"/>
        <s v="TXN200395"/>
        <s v="TXN200396"/>
        <s v="TXN200397"/>
        <s v="TXN200398"/>
        <s v="TXN200399"/>
        <s v="TXN200400"/>
        <s v="TXN200401"/>
        <s v="TXN200402"/>
        <s v="TXN200403"/>
        <s v="TXN200404"/>
        <s v="TXN200405"/>
        <s v="TXN200406"/>
        <s v="TXN200407"/>
        <s v="TXN200408"/>
        <s v="TXN200409"/>
        <s v="TXN200410"/>
        <s v="TXN200411"/>
        <s v="TXN200412"/>
        <s v="TXN200413"/>
        <s v="TXN200414"/>
        <s v="TXN200415"/>
        <s v="TXN200416"/>
        <s v="TXN200417"/>
        <s v="TXN200418"/>
        <s v="TXN200419"/>
        <s v="TXN200420"/>
        <s v="TXN200421"/>
        <s v="TXN200422"/>
        <s v="TXN200423"/>
        <s v="TXN200424"/>
        <s v="TXN200425"/>
        <s v="TXN200426"/>
        <s v="TXN200427"/>
        <s v="TXN200428"/>
        <s v="TXN200429"/>
        <s v="TXN200430"/>
        <s v="TXN200431"/>
        <s v="TXN200432"/>
        <s v="TXN200433"/>
        <s v="TXN200434"/>
        <s v="TXN200435"/>
        <s v="TXN200436"/>
        <s v="TXN200437"/>
        <s v="TXN200438"/>
        <s v="TXN200439"/>
        <s v="TXN200440"/>
        <s v="TXN200441"/>
        <s v="TXN200442"/>
        <s v="TXN200443"/>
        <s v="TXN200444"/>
        <s v="TXN200445"/>
        <s v="TXN200446"/>
        <s v="TXN200447"/>
        <s v="TXN200448"/>
        <s v="TXN200449"/>
        <s v="TXN200450"/>
        <s v="TXN200451"/>
        <s v="TXN200452"/>
        <s v="TXN200453"/>
        <s v="TXN200454"/>
        <s v="TXN200455"/>
        <s v="TXN200456"/>
        <s v="TXN200457"/>
        <s v="TXN200458"/>
        <s v="TXN200459"/>
        <s v="TXN200460"/>
        <s v="TXN200461"/>
        <s v="TXN200462"/>
        <s v="TXN200463"/>
        <s v="TXN200464"/>
        <s v="TXN200465"/>
        <s v="TXN200466"/>
        <s v="TXN200467"/>
        <s v="TXN200468"/>
        <s v="TXN200469"/>
        <s v="TXN200470"/>
        <s v="TXN200471"/>
        <s v="TXN200472"/>
        <s v="TXN200473"/>
        <s v="TXN200474"/>
        <s v="TXN200475"/>
        <s v="TXN200476"/>
        <s v="TXN200477"/>
        <s v="TXN200478"/>
        <s v="TXN200479"/>
        <s v="TXN200480"/>
        <s v="TXN200481"/>
        <s v="TXN200482"/>
        <s v="TXN200483"/>
        <s v="TXN200484"/>
        <s v="TXN200485"/>
        <s v="TXN200486"/>
        <s v="TXN200487"/>
        <s v="TXN200488"/>
        <s v="TXN200489"/>
        <s v="TXN200490"/>
        <s v="TXN200491"/>
        <s v="TXN200492"/>
        <s v="TXN200493"/>
        <s v="TXN200494"/>
        <s v="TXN200495"/>
        <s v="TXN200496"/>
        <s v="TXN200497"/>
        <s v="TXN200498"/>
        <s v="TXN200499"/>
        <s v="TXN200500"/>
        <s v="TXN200501"/>
        <s v="TXN200502"/>
        <s v="TXN200503"/>
        <s v="TXN200504"/>
        <s v="TXN200505"/>
        <s v="TXN200506"/>
        <s v="TXN200507"/>
        <s v="TXN200508"/>
        <s v="TXN200509"/>
        <s v="TXN200510"/>
        <s v="TXN200511"/>
        <s v="TXN200512"/>
        <s v="TXN200513"/>
        <s v="TXN200514"/>
        <s v="TXN200515"/>
        <s v="TXN200516"/>
        <s v="TXN200517"/>
        <s v="TXN200518"/>
        <s v="TXN200519"/>
        <s v="TXN200520"/>
        <s v="TXN200521"/>
        <s v="TXN200522"/>
        <s v="TXN200523"/>
        <s v="TXN200524"/>
        <s v="TXN200525"/>
        <s v="TXN200526"/>
        <s v="TXN200527"/>
        <s v="TXN200528"/>
        <s v="TXN200529"/>
        <s v="TXN200530"/>
        <s v="TXN200531"/>
        <s v="TXN200532"/>
        <s v="TXN200533"/>
        <s v="TXN200534"/>
        <s v="TXN200535"/>
        <s v="TXN200536"/>
        <s v="TXN200537"/>
        <s v="TXN200538"/>
        <s v="TXN200539"/>
        <s v="TXN200540"/>
        <s v="TXN200541"/>
        <s v="TXN200542"/>
        <s v="TXN200543"/>
        <s v="TXN200544"/>
        <s v="TXN200545"/>
        <s v="TXN200546"/>
        <s v="TXN200547"/>
        <s v="TXN200548"/>
        <s v="TXN200549"/>
        <s v="TXN200550"/>
        <s v="TXN200551"/>
        <s v="TXN200552"/>
        <s v="TXN200553"/>
        <s v="TXN200554"/>
        <s v="TXN200555"/>
        <s v="TXN200556"/>
        <s v="TXN200557"/>
        <s v="TXN200558"/>
        <s v="TXN200559"/>
        <s v="TXN200560"/>
        <s v="TXN200561"/>
        <s v="TXN200562"/>
        <s v="TXN200563"/>
        <s v="TXN200564"/>
        <s v="TXN200565"/>
        <s v="TXN200566"/>
        <s v="TXN200567"/>
        <s v="TXN200568"/>
        <s v="TXN200569"/>
        <s v="TXN200570"/>
        <s v="TXN200571"/>
        <s v="TXN200572"/>
        <s v="TXN200573"/>
        <s v="TXN200574"/>
        <s v="TXN200575"/>
        <s v="TXN200576"/>
        <s v="TXN200577"/>
        <s v="TXN200578"/>
        <s v="TXN200579"/>
        <s v="TXN200580"/>
        <s v="TXN200581"/>
        <s v="TXN200582"/>
        <s v="TXN200583"/>
        <s v="TXN200584"/>
        <s v="TXN200585"/>
        <s v="TXN200586"/>
        <s v="TXN200587"/>
        <s v="TXN200588"/>
        <s v="TXN200589"/>
        <s v="TXN200590"/>
        <s v="TXN200591"/>
        <s v="TXN200592"/>
        <s v="TXN200593"/>
        <s v="TXN200594"/>
        <s v="TXN200595"/>
        <s v="TXN200596"/>
        <s v="TXN200597"/>
        <s v="TXN200598"/>
        <s v="TXN200599"/>
        <s v="TXN200600"/>
        <s v="TXN200601"/>
        <s v="TXN200602"/>
        <s v="TXN200603"/>
        <s v="TXN200604"/>
        <s v="TXN200605"/>
        <s v="TXN200606"/>
        <s v="TXN200607"/>
        <s v="TXN200608"/>
        <s v="TXN200609"/>
        <s v="TXN200610"/>
        <s v="TXN200611"/>
        <s v="TXN200612"/>
        <s v="TXN200613"/>
        <s v="TXN200614"/>
        <s v="TXN200615"/>
        <s v="TXN200616"/>
        <s v="TXN200617"/>
        <s v="TXN200618"/>
        <s v="TXN200619"/>
        <s v="TXN200620"/>
        <s v="TXN200621"/>
        <s v="TXN200622"/>
        <s v="TXN200623"/>
        <s v="TXN200624"/>
        <s v="TXN200625"/>
        <s v="TXN200626"/>
        <s v="TXN200627"/>
        <s v="TXN200628"/>
        <s v="TXN200629"/>
        <s v="TXN200630"/>
        <s v="TXN200631"/>
        <s v="TXN200632"/>
        <s v="TXN200633"/>
        <s v="TXN200634"/>
        <s v="TXN200635"/>
        <s v="TXN200636"/>
        <s v="TXN200637"/>
        <s v="TXN200638"/>
        <s v="TXN200639"/>
        <s v="TXN200640"/>
        <s v="TXN200641"/>
        <s v="TXN200642"/>
        <s v="TXN200643"/>
        <s v="TXN200644"/>
        <s v="TXN200645"/>
        <s v="TXN200646"/>
        <s v="TXN200647"/>
        <s v="TXN200648"/>
        <s v="TXN200649"/>
        <s v="TXN200650"/>
        <s v="TXN200651"/>
        <s v="TXN200652"/>
        <s v="TXN200653"/>
        <s v="TXN200654"/>
        <s v="TXN200655"/>
        <s v="TXN200656"/>
        <s v="TXN200657"/>
        <s v="TXN200658"/>
        <s v="TXN200659"/>
        <s v="TXN200660"/>
        <s v="TXN200661"/>
        <s v="TXN200662"/>
        <s v="TXN200663"/>
        <s v="TXN200664"/>
        <s v="TXN200665"/>
        <s v="TXN200666"/>
        <s v="TXN200667"/>
        <s v="TXN200668"/>
        <s v="TXN200669"/>
        <s v="TXN200670"/>
        <s v="TXN200671"/>
        <s v="TXN200672"/>
        <s v="TXN200673"/>
        <s v="TXN200674"/>
        <s v="TXN200675"/>
        <s v="TXN200676"/>
        <s v="TXN200677"/>
        <s v="TXN200678"/>
        <s v="TXN200679"/>
        <s v="TXN200680"/>
        <s v="TXN200681"/>
        <s v="TXN200682"/>
        <s v="TXN200683"/>
        <s v="TXN200684"/>
        <s v="TXN200685"/>
        <s v="TXN200686"/>
        <s v="TXN200687"/>
        <s v="TXN200688"/>
        <s v="TXN200689"/>
        <s v="TXN200690"/>
        <s v="TXN200691"/>
        <s v="TXN200692"/>
        <s v="TXN200693"/>
        <s v="TXN200694"/>
        <s v="TXN200695"/>
        <s v="TXN200696"/>
        <s v="TXN200697"/>
        <s v="TXN200698"/>
        <s v="TXN200699"/>
        <s v="TXN200700"/>
        <s v="TXN200701"/>
        <s v="TXN200702"/>
        <s v="TXN200703"/>
        <s v="TXN200704"/>
        <s v="TXN200705"/>
        <s v="TXN200706"/>
        <s v="TXN200707"/>
        <s v="TXN200708"/>
        <s v="TXN200709"/>
        <s v="TXN200710"/>
        <s v="TXN200711"/>
        <s v="TXN200712"/>
        <s v="TXN200713"/>
        <s v="TXN200714"/>
        <s v="TXN200715"/>
        <s v="TXN200716"/>
        <s v="TXN200717"/>
        <s v="TXN200718"/>
        <s v="TXN200719"/>
        <s v="TXN200720"/>
        <s v="TXN200721"/>
        <s v="TXN200722"/>
        <s v="TXN200723"/>
        <s v="TXN200724"/>
        <s v="TXN200725"/>
        <s v="TXN200726"/>
        <s v="TXN200727"/>
        <s v="TXN200728"/>
        <s v="TXN200729"/>
        <s v="TXN200730"/>
        <s v="TXN200731"/>
        <s v="TXN200732"/>
        <s v="TXN200733"/>
        <s v="TXN200734"/>
        <s v="TXN200735"/>
        <s v="TXN200736"/>
        <s v="TXN200737"/>
        <s v="TXN200738"/>
        <s v="TXN200739"/>
        <s v="TXN200740"/>
        <s v="TXN200741"/>
        <s v="TXN200742"/>
        <s v="TXN200743"/>
        <s v="TXN200744"/>
        <s v="TXN200745"/>
        <s v="TXN200746"/>
        <s v="TXN200747"/>
        <s v="TXN200748"/>
        <s v="TXN200749"/>
        <s v="TXN200750"/>
        <s v="TXN200751"/>
        <s v="TXN200752"/>
        <s v="TXN200753"/>
        <s v="TXN200754"/>
        <s v="TXN200755"/>
        <s v="TXN200756"/>
        <s v="TXN200757"/>
        <s v="TXN200758"/>
        <s v="TXN200759"/>
        <s v="TXN200760"/>
        <s v="TXN200761"/>
        <s v="TXN200762"/>
        <s v="TXN200763"/>
        <s v="TXN200764"/>
        <s v="TXN200765"/>
        <s v="TXN200766"/>
        <s v="TXN200767"/>
        <s v="TXN200768"/>
        <s v="TXN200769"/>
        <s v="TXN200770"/>
        <s v="TXN200771"/>
        <s v="TXN200772"/>
        <s v="TXN200773"/>
        <s v="TXN200774"/>
        <s v="TXN200775"/>
      </sharedItems>
    </cacheField>
    <cacheField name="Customer ID" numFmtId="0">
      <sharedItems count="150">
        <s v="CUST649"/>
        <s v="CUST555"/>
        <s v="CUST562"/>
        <s v="CUST569"/>
        <s v="CUST589"/>
        <s v="CUST539"/>
        <s v="CUST502"/>
        <s v="CUST618"/>
        <s v="CUST584"/>
        <s v="CUST572"/>
        <s v="CUST570"/>
        <s v="CUST514"/>
        <s v="CUST552"/>
        <s v="CUST578"/>
        <s v="CUST613"/>
        <s v="CUST515"/>
        <s v="CUST568"/>
        <s v="CUST550"/>
        <s v="CUST504"/>
        <s v="CUST524"/>
        <s v="CUST543"/>
        <s v="CUST549"/>
        <s v="CUST595"/>
        <s v="CUST512"/>
        <s v="CUST548"/>
        <s v="CUST626"/>
        <s v="CUST517"/>
        <s v="CUST520"/>
        <s v="CUST523"/>
        <s v="CUST541"/>
        <s v="CUST583"/>
        <s v="CUST538"/>
        <s v="CUST609"/>
        <s v="CUST579"/>
        <s v="CUST636"/>
        <s v="CUST535"/>
        <s v="CUST607"/>
        <s v="CUST612"/>
        <s v="CUST521"/>
        <s v="CUST603"/>
        <s v="CUST635"/>
        <s v="CUST544"/>
        <s v="CUST634"/>
        <s v="CUST564"/>
        <s v="CUST614"/>
        <s v="CUST602"/>
        <s v="CUST529"/>
        <s v="CUST547"/>
        <s v="CUST623"/>
        <s v="CUST587"/>
        <s v="CUST546"/>
        <s v="CUST528"/>
        <s v="CUST574"/>
        <s v="CUST606"/>
        <s v="CUST516"/>
        <s v="CUST619"/>
        <s v="CUST601"/>
        <s v="CUST551"/>
        <s v="CUST519"/>
        <s v="CUST641"/>
        <s v="CUST625"/>
        <s v="CUST588"/>
        <s v="CUST537"/>
        <s v="CUST624"/>
        <s v="CUST617"/>
        <s v="CUST531"/>
        <s v="CUST536"/>
        <s v="CUST633"/>
        <s v="CUST604"/>
        <s v="CUST615"/>
        <s v="CUST563"/>
        <s v="CUST513"/>
        <s v="CUST643"/>
        <s v="CUST632"/>
        <s v="CUST559"/>
        <s v="CUST510"/>
        <s v="CUST631"/>
        <s v="CUST527"/>
        <s v="CUST647"/>
        <s v="CUST627"/>
        <s v="CUST540"/>
        <s v="CUST592"/>
        <s v="CUST573"/>
        <s v="CUST622"/>
        <s v="CUST598"/>
        <s v="CUST530"/>
        <s v="CUST565"/>
        <s v="CUST597"/>
        <s v="CUST575"/>
        <s v="CUST522"/>
        <s v="CUST505"/>
        <s v="CUST599"/>
        <s v="CUST596"/>
        <s v="CUST560"/>
        <s v="CUST586"/>
        <s v="CUST545"/>
        <s v="CUST600"/>
        <s v="CUST605"/>
        <s v="CUST577"/>
        <s v="CUST646"/>
        <s v="CUST507"/>
        <s v="CUST503"/>
        <s v="CUST576"/>
        <s v="CUST571"/>
        <s v="CUST518"/>
        <s v="CUST526"/>
        <s v="CUST533"/>
        <s v="CUST642"/>
        <s v="CUST534"/>
        <s v="CUST501"/>
        <s v="CUST567"/>
        <s v="CUST608"/>
        <s v="CUST561"/>
        <s v="CUST639"/>
        <s v="CUST585"/>
        <s v="CUST508"/>
        <s v="CUST557"/>
        <s v="CUST593"/>
        <s v="CUST594"/>
        <s v="CUST630"/>
        <s v="CUST532"/>
        <s v="CUST611"/>
        <s v="CUST638"/>
        <s v="CUST640"/>
        <s v="CUST616"/>
        <s v="CUST506"/>
        <s v="CUST628"/>
        <s v="CUST645"/>
        <s v="CUST650"/>
        <s v="CUST566"/>
        <s v="CUST648"/>
        <s v="CUST581"/>
        <s v="CUST542"/>
        <s v="CUST590"/>
        <s v="CUST580"/>
        <s v="CUST610"/>
        <s v="CUST556"/>
        <s v="CUST554"/>
        <s v="CUST558"/>
        <s v="CUST644"/>
        <s v="CUST525"/>
        <s v="CUST509"/>
        <s v="CUST582"/>
        <s v="CUST621"/>
        <s v="CUST511"/>
        <s v="CUST553"/>
        <s v="CUST629"/>
        <s v="CUST637"/>
        <s v="CUST591"/>
        <s v="CUST620"/>
      </sharedItems>
    </cacheField>
    <cacheField name="Date" numFmtId="164">
      <sharedItems/>
    </cacheField>
    <cacheField name="Transaction Type" numFmtId="0">
      <sharedItems/>
    </cacheField>
    <cacheField name="Category" numFmtId="0">
      <sharedItems count="7">
        <s v="Utilities"/>
        <s v="Online Shopping"/>
        <s v="Groceries"/>
        <s v="Salary"/>
        <s v="Dining Out"/>
        <s v="Transfer"/>
        <s v="Entertainment"/>
      </sharedItems>
    </cacheField>
    <cacheField name="Merchant Name" numFmtId="0">
      <sharedItems count="21">
        <s v="State Hydro Grid"/>
        <s v="Amazon Digital Supply"/>
        <s v="Supermart Marketplace"/>
        <s v="Global Industries Llc"/>
        <s v="Whole Foods Store"/>
        <s v="Mcdonalds Corp Express"/>
        <s v="Internal P2P Route"/>
        <s v="Techcorp Payroll Inc"/>
        <s v="Stark Retail Labs"/>
        <s v="Olive Garden Gourmet"/>
        <s v="Zelle Payment Engine"/>
        <s v="Spotify Music Hub"/>
        <s v="Netflix Streaming Premium"/>
        <s v="Fresh &amp; Fast Logistics"/>
        <s v="Target Direct Online"/>
        <s v="Ebay International"/>
        <s v="Amc Cinema Network"/>
        <s v="External Wire Clearance"/>
        <s v="Metropolitan Water Sewer"/>
        <s v="Starbucks Hub Cafe"/>
        <s v="City Power &amp; Gas Co"/>
      </sharedItems>
    </cacheField>
    <cacheField name="Sales" numFmtId="0">
      <sharedItems containsSemiMixedTypes="0" containsString="0" containsNumber="1" minValue="15.32" maxValue="9399.4599999999991" count="747">
        <n v="269.20999999999998"/>
        <n v="542.58000000000004"/>
        <n v="375.58"/>
        <n v="807.69"/>
        <n v="4843.5200000000004"/>
        <n v="619.87"/>
        <n v="847.04"/>
        <n v="1072.55"/>
        <n v="7790.63"/>
        <n v="636.4"/>
        <n v="7371.46"/>
        <n v="356.46"/>
        <n v="187.84"/>
        <n v="262.58"/>
        <n v="905.35"/>
        <n v="54.92"/>
        <n v="592.55999999999995"/>
        <n v="880.09"/>
        <n v="290.32"/>
        <n v="824.84"/>
        <n v="167.75"/>
        <n v="826.21"/>
        <n v="1123.8"/>
        <n v="535.25"/>
        <n v="910.95"/>
        <n v="372.66"/>
        <n v="465.17"/>
        <n v="878.04"/>
        <n v="637.79999999999995"/>
        <n v="1133.3699999999999"/>
        <n v="1219.4163333333336"/>
        <n v="1095.26"/>
        <n v="686.79"/>
        <n v="189.72"/>
        <n v="103.46"/>
        <n v="1038.3"/>
        <n v="282.83"/>
        <n v="640.4"/>
        <n v="1082.23"/>
        <n v="7381.28"/>
        <n v="612.38"/>
        <n v="602.71"/>
        <n v="839.49"/>
        <n v="5226.95"/>
        <n v="856.89"/>
        <n v="187.47"/>
        <n v="406.95"/>
        <n v="300.83"/>
        <n v="1139.92"/>
        <n v="594.03"/>
        <n v="204.97"/>
        <n v="5922.17"/>
        <n v="588.09"/>
        <n v="499.91"/>
        <n v="808.68"/>
        <n v="296.45999999999998"/>
        <n v="8220.42"/>
        <n v="158.06"/>
        <n v="167.65"/>
        <n v="699.8"/>
        <n v="981.8"/>
        <n v="5950.68"/>
        <n v="910.02"/>
        <n v="1138.1400000000001"/>
        <n v="7654.98"/>
        <n v="694.02"/>
        <n v="1171.03"/>
        <n v="839.82"/>
        <n v="617.58000000000004"/>
        <n v="171.76"/>
        <n v="378.35"/>
        <n v="1027.06"/>
        <n v="1162.17"/>
        <n v="4397.12"/>
        <n v="602.55999999999995"/>
        <n v="600.04999999999995"/>
        <n v="216.63"/>
        <n v="501.53"/>
        <n v="212.62"/>
        <n v="509.28"/>
        <n v="1178.42"/>
        <n v="1083.47"/>
        <n v="68.66"/>
        <n v="504.94"/>
        <n v="643.58000000000004"/>
        <n v="7836.93"/>
        <n v="988.89"/>
        <n v="1118.08"/>
        <n v="667.25"/>
        <n v="524.34"/>
        <n v="138.19"/>
        <n v="7077.71"/>
        <n v="877.02"/>
        <n v="17.399999999999999"/>
        <n v="22.11"/>
        <n v="836.38"/>
        <n v="191.06"/>
        <n v="36.090000000000003"/>
        <n v="318.33"/>
        <n v="972.48"/>
        <n v="775.78"/>
        <n v="274.52"/>
        <n v="607.16"/>
        <n v="597.12"/>
        <n v="1035.31"/>
        <n v="293.99"/>
        <n v="858.16"/>
        <n v="42.92"/>
        <n v="999.75"/>
        <n v="9276.6299999999992"/>
        <n v="18.36"/>
        <n v="886.44"/>
        <n v="1125.46"/>
        <n v="7606.6"/>
        <n v="249.89"/>
        <n v="289.27999999999997"/>
        <n v="1043.3900000000001"/>
        <n v="1024.26"/>
        <n v="1059.55"/>
        <n v="122.32"/>
        <n v="726.16"/>
        <n v="39.29"/>
        <n v="401"/>
        <n v="1102.43"/>
        <n v="4997.32"/>
        <n v="1132.31"/>
        <n v="238.51"/>
        <n v="188.53"/>
        <n v="479.3"/>
        <n v="597.04"/>
        <n v="1163.19"/>
        <n v="893.54"/>
        <n v="493.89"/>
        <n v="57.51"/>
        <n v="587.71"/>
        <n v="1034.3800000000001"/>
        <n v="970.84"/>
        <n v="190.79"/>
        <n v="439.85"/>
        <n v="36.11"/>
        <n v="1004.23"/>
        <n v="868.23"/>
        <n v="596.29999999999995"/>
        <n v="769.13"/>
        <n v="826.05"/>
        <n v="765.93"/>
        <n v="119.61"/>
        <n v="980.55"/>
        <n v="861.39"/>
        <n v="789.9"/>
        <n v="6077.11"/>
        <n v="978.98"/>
        <n v="405.49"/>
        <n v="1062.83"/>
        <n v="947.27"/>
        <n v="351.59"/>
        <n v="5599.86"/>
        <n v="1173.76"/>
        <n v="231.17"/>
        <n v="1034.32"/>
        <n v="39.06"/>
        <n v="331.11"/>
        <n v="565.25"/>
        <n v="4418.42"/>
        <n v="958.16"/>
        <n v="882.09"/>
        <n v="694"/>
        <n v="278.52999999999997"/>
        <n v="4667.32"/>
        <n v="1005.26"/>
        <n v="6920.99"/>
        <n v="530.66999999999996"/>
        <n v="856.76"/>
        <n v="1023.93"/>
        <n v="308.8"/>
        <n v="1138.18"/>
        <n v="1187.6099999999999"/>
        <n v="968.03"/>
        <n v="470.89"/>
        <n v="869.66"/>
        <n v="1041.6099999999999"/>
        <n v="228.37"/>
        <n v="158.33000000000001"/>
        <n v="7533.08"/>
        <n v="8391.6"/>
        <n v="752.66"/>
        <n v="771.23"/>
        <n v="36.67"/>
        <n v="807.25"/>
        <n v="1037.43"/>
        <n v="208.97"/>
        <n v="420.69"/>
        <n v="461.4"/>
        <n v="667.69"/>
        <n v="358.78"/>
        <n v="80.58"/>
        <n v="1149.1400000000001"/>
        <n v="269.2"/>
        <n v="472.98"/>
        <n v="669.21"/>
        <n v="527.47"/>
        <n v="848.52"/>
        <n v="296.99"/>
        <n v="1058.78"/>
        <n v="180.21"/>
        <n v="1121.73"/>
        <n v="869.44"/>
        <n v="1114.18"/>
        <n v="215.38"/>
        <n v="698.17"/>
        <n v="417.51"/>
        <n v="1111"/>
        <n v="55.96"/>
        <n v="992.37"/>
        <n v="1070.9100000000001"/>
        <n v="249.12"/>
        <n v="1068.57"/>
        <n v="114.45"/>
        <n v="6122.83"/>
        <n v="375.39"/>
        <n v="181.43"/>
        <n v="9110.3700000000008"/>
        <n v="854.74"/>
        <n v="558.49"/>
        <n v="689.47"/>
        <n v="541.44000000000005"/>
        <n v="483.65"/>
        <n v="117.06"/>
        <n v="1188.74"/>
        <n v="611.23"/>
        <n v="1118.71"/>
        <n v="5914.61"/>
        <n v="618.15"/>
        <n v="846.31"/>
        <n v="1067.6199999999999"/>
        <n v="5534.32"/>
        <n v="1134.6199999999999"/>
        <n v="762.45"/>
        <n v="362.16"/>
        <n v="184.64"/>
        <n v="305.86"/>
        <n v="1000.52"/>
        <n v="273.69"/>
        <n v="6205.86"/>
        <n v="158.31"/>
        <n v="50.67"/>
        <n v="617.29999999999995"/>
        <n v="7853.62"/>
        <n v="1092.52"/>
        <n v="94.47"/>
        <n v="137.28"/>
        <n v="1193.6500000000001"/>
        <n v="549.61"/>
        <n v="564.47"/>
        <n v="4675.33"/>
        <n v="1049.49"/>
        <n v="619.13"/>
        <n v="129.68"/>
        <n v="1182.81"/>
        <n v="405.38"/>
        <n v="9294.39"/>
        <n v="125.16"/>
        <n v="124.12"/>
        <n v="255.56"/>
        <n v="995.1"/>
        <n v="670.74"/>
        <n v="1156.98"/>
        <n v="522.29"/>
        <n v="303.45"/>
        <n v="1022.11"/>
        <n v="789.61"/>
        <n v="127.85"/>
        <n v="796.55"/>
        <n v="866.2"/>
        <n v="165.38"/>
        <n v="854.39"/>
        <n v="986.51"/>
        <n v="124.56"/>
        <n v="961.06"/>
        <n v="142.87"/>
        <n v="1095.71"/>
        <n v="337.28"/>
        <n v="1005.15"/>
        <n v="751.87"/>
        <n v="659.69"/>
        <n v="345.63"/>
        <n v="68.13"/>
        <n v="456.74"/>
        <n v="260.41000000000003"/>
        <n v="609.28"/>
        <n v="920.85"/>
        <n v="547.02"/>
        <n v="486.05"/>
        <n v="1121.49"/>
        <n v="244.66"/>
        <n v="1087.9100000000001"/>
        <n v="42.56"/>
        <n v="7348.47"/>
        <n v="898.36"/>
        <n v="5445.25"/>
        <n v="456.03"/>
        <n v="409"/>
        <n v="550.08000000000004"/>
        <n v="393.07"/>
        <n v="9137.4699999999993"/>
        <n v="394.47"/>
        <n v="906.71"/>
        <n v="753.54"/>
        <n v="598.87"/>
        <n v="719.98"/>
        <n v="834.11"/>
        <n v="7296.32"/>
        <n v="9215.35"/>
        <n v="187.39"/>
        <n v="1053.8"/>
        <n v="790.59"/>
        <n v="288.57"/>
        <n v="126.75"/>
        <n v="5127.05"/>
        <n v="1173.9000000000001"/>
        <n v="153.31"/>
        <n v="4691.96"/>
        <n v="1038.03"/>
        <n v="616.42999999999995"/>
        <n v="743.45"/>
        <n v="166.11"/>
        <n v="1059.99"/>
        <n v="189.22"/>
        <n v="543.02"/>
        <n v="279.48"/>
        <n v="7450.72"/>
        <n v="786.87"/>
        <n v="8212.48"/>
        <n v="851.86"/>
        <n v="25.09"/>
        <n v="1073.3699999999999"/>
        <n v="446.77"/>
        <n v="8880.89"/>
        <n v="571.14"/>
        <n v="671.95"/>
        <n v="588.24"/>
        <n v="787.16"/>
        <n v="7466.6"/>
        <n v="695.37"/>
        <n v="951.33"/>
        <n v="442.66"/>
        <n v="9280.85"/>
        <n v="1007.52"/>
        <n v="554.46"/>
        <n v="660.32"/>
        <n v="1169.19"/>
        <n v="401.96"/>
        <n v="301.88"/>
        <n v="551.38"/>
        <n v="277.44"/>
        <n v="1150.68"/>
        <n v="913.11"/>
        <n v="576"/>
        <n v="311.87"/>
        <n v="340.14"/>
        <n v="880.9"/>
        <n v="7025.07"/>
        <n v="1138.68"/>
        <n v="584.80999999999995"/>
        <n v="55.08"/>
        <n v="799.44"/>
        <n v="588.87"/>
        <n v="742.62"/>
        <n v="1074.2"/>
        <n v="388.61"/>
        <n v="429.71"/>
        <n v="995.44"/>
        <n v="1040.8900000000001"/>
        <n v="6237.65"/>
        <n v="1015.46"/>
        <n v="630.45000000000005"/>
        <n v="653.17999999999995"/>
        <n v="1037.98"/>
        <n v="785.95"/>
        <n v="939.75"/>
        <n v="114.9"/>
        <n v="37.51"/>
        <n v="1010.91"/>
        <n v="8331.17"/>
        <n v="365.85"/>
        <n v="360.57"/>
        <n v="393.3"/>
        <n v="297.81"/>
        <n v="8045.37"/>
        <n v="1182.68"/>
        <n v="874.93"/>
        <n v="9195.5499999999993"/>
        <n v="713.36"/>
        <n v="948.53"/>
        <n v="1004.01"/>
        <n v="835.57"/>
        <n v="4521.3100000000004"/>
        <n v="9011.26"/>
        <n v="1180.3900000000001"/>
        <n v="838.51"/>
        <n v="1020.84"/>
        <n v="429.49"/>
        <n v="705.8"/>
        <n v="646.96"/>
        <n v="483.36"/>
        <n v="998.21"/>
        <n v="250.97"/>
        <n v="6929.34"/>
        <n v="178.41"/>
        <n v="1143.54"/>
        <n v="5524.92"/>
        <n v="677.87"/>
        <n v="537.57000000000005"/>
        <n v="442"/>
        <n v="1137.6600000000001"/>
        <n v="158.63"/>
        <n v="1034.51"/>
        <n v="498.13"/>
        <n v="848.24"/>
        <n v="1130.3599999999999"/>
        <n v="944.98"/>
        <n v="1072.9100000000001"/>
        <n v="8966.81"/>
        <n v="612.19000000000005"/>
        <n v="126.64"/>
        <n v="775.92"/>
        <n v="160.27000000000001"/>
        <n v="847.82"/>
        <n v="922.69"/>
        <n v="1058.1099999999999"/>
        <n v="1002.92"/>
        <n v="909.51"/>
        <n v="639.46"/>
        <n v="412.41"/>
        <n v="425.12"/>
        <n v="7104.92"/>
        <n v="6441.9"/>
        <n v="298.26"/>
        <n v="827.26"/>
        <n v="45.72"/>
        <n v="556.26"/>
        <n v="5682.54"/>
        <n v="50.39"/>
        <n v="976.62"/>
        <n v="9013.9699999999993"/>
        <n v="869.67"/>
        <n v="795.18"/>
        <n v="8416.2000000000007"/>
        <n v="1143.8699999999999"/>
        <n v="954.99"/>
        <n v="742.95"/>
        <n v="1064.1600000000001"/>
        <n v="1062.93"/>
        <n v="565.32000000000005"/>
        <n v="181.49"/>
        <n v="621.22"/>
        <n v="4744.78"/>
        <n v="664.72"/>
        <n v="969.1"/>
        <n v="873"/>
        <n v="448.35"/>
        <n v="247.44"/>
        <n v="681.14"/>
        <n v="984.35"/>
        <n v="844.58"/>
        <n v="1064.1500000000001"/>
        <n v="290.39"/>
        <n v="5900.42"/>
        <n v="998.68"/>
        <n v="124.04"/>
        <n v="5720.65"/>
        <n v="75.209999999999994"/>
        <n v="5716.77"/>
        <n v="730.24"/>
        <n v="129.61000000000001"/>
        <n v="546.41"/>
        <n v="1195.3800000000001"/>
        <n v="294.19"/>
        <n v="564.33000000000004"/>
        <n v="1149.54"/>
        <n v="509.19"/>
        <n v="614.21"/>
        <n v="723.05"/>
        <n v="1079.6300000000001"/>
        <n v="890.07"/>
        <n v="681.43"/>
        <n v="5368.76"/>
        <n v="1079.6600000000001"/>
        <n v="114.1"/>
        <n v="791.33"/>
        <n v="932.41"/>
        <n v="57.19"/>
        <n v="905.43"/>
        <n v="93.39"/>
        <n v="1186.1600000000001"/>
        <n v="626.75"/>
        <n v="658.24"/>
        <n v="667.39"/>
        <n v="1141.19"/>
        <n v="485.67"/>
        <n v="56.26"/>
        <n v="811.54"/>
        <n v="4737.96"/>
        <n v="88.97"/>
        <n v="252.56"/>
        <n v="39.79"/>
        <n v="966.75"/>
        <n v="1173.55"/>
        <n v="1102.52"/>
        <n v="4636.45"/>
        <n v="803.58"/>
        <n v="359.89"/>
        <n v="1081.57"/>
        <n v="1013.46"/>
        <n v="792.16"/>
        <n v="150.63"/>
        <n v="594.22"/>
        <n v="5612.19"/>
        <n v="579.21"/>
        <n v="1101.3800000000001"/>
        <n v="45.94"/>
        <n v="176.92"/>
        <n v="595.24"/>
        <n v="648.41"/>
        <n v="819.91"/>
        <n v="405.06"/>
        <n v="8836.74"/>
        <n v="1158.1199999999999"/>
        <n v="1106.2"/>
        <n v="607.41"/>
        <n v="587.61"/>
        <n v="888.84"/>
        <n v="42.78"/>
        <n v="269.33999999999997"/>
        <n v="936.37"/>
        <n v="911.88"/>
        <n v="1136.52"/>
        <n v="7737.57"/>
        <n v="799.55"/>
        <n v="5365.7"/>
        <n v="5547.54"/>
        <n v="450.8"/>
        <n v="963.81"/>
        <n v="690.86"/>
        <n v="1074.71"/>
        <n v="7867.01"/>
        <n v="128.91999999999999"/>
        <n v="35.76"/>
        <n v="679.28"/>
        <n v="1018.57"/>
        <n v="5219.7"/>
        <n v="1125.1199999999999"/>
        <n v="936.01"/>
        <n v="372.44"/>
        <n v="6412.51"/>
        <n v="512.92999999999995"/>
        <n v="984.25"/>
        <n v="360.49"/>
        <n v="426.93"/>
        <n v="84.04"/>
        <n v="448.16"/>
        <n v="835.4"/>
        <n v="164.4"/>
        <n v="614.09"/>
        <n v="1069.32"/>
        <n v="1152.31"/>
        <n v="359.23"/>
        <n v="123.94"/>
        <n v="1140.6300000000001"/>
        <n v="532.64"/>
        <n v="996.28"/>
        <n v="1131.46"/>
        <n v="758.21"/>
        <n v="1112.56"/>
        <n v="868.17"/>
        <n v="990.97"/>
        <n v="37.39"/>
        <n v="114.14"/>
        <n v="138.80000000000001"/>
        <n v="18.670000000000002"/>
        <n v="9261.5"/>
        <n v="1041.8"/>
        <n v="777.87"/>
        <n v="1065.3900000000001"/>
        <n v="632.51"/>
        <n v="226.44"/>
        <n v="19.260000000000002"/>
        <n v="1152.27"/>
        <n v="1023.62"/>
        <n v="6977.93"/>
        <n v="456.51"/>
        <n v="7743.41"/>
        <n v="67.23"/>
        <n v="4142.87"/>
        <n v="934.89"/>
        <n v="5009.82"/>
        <n v="776.83"/>
        <n v="722.42"/>
        <n v="793.06"/>
        <n v="873.6"/>
        <n v="91.64"/>
        <n v="142.74"/>
        <n v="9176.48"/>
        <n v="530.45000000000005"/>
        <n v="665.01"/>
        <n v="890.68"/>
        <n v="539.80999999999995"/>
        <n v="118.51"/>
        <n v="513.66999999999996"/>
        <n v="9129.56"/>
        <n v="1136.8900000000001"/>
        <n v="249.69"/>
        <n v="931.21"/>
        <n v="1049.3699999999999"/>
        <n v="326.66000000000003"/>
        <n v="172.77"/>
        <n v="731.11"/>
        <n v="1186.97"/>
        <n v="156.33000000000001"/>
        <n v="174.57"/>
        <n v="807.24"/>
        <n v="7396.14"/>
        <n v="375.1"/>
        <n v="330.82"/>
        <n v="590.08000000000004"/>
        <n v="266.72000000000003"/>
        <n v="986.99"/>
        <n v="419"/>
        <n v="132.04"/>
        <n v="958.44"/>
        <n v="562.27"/>
        <n v="958.59"/>
        <n v="170.52"/>
        <n v="637.37"/>
        <n v="673.97"/>
        <n v="8800.99"/>
        <n v="885.64"/>
        <n v="9399.4599999999991"/>
        <n v="103.75"/>
        <n v="1103.56"/>
        <n v="983.82"/>
        <n v="948.95"/>
        <n v="886.96"/>
        <n v="627.86"/>
        <n v="8902.6"/>
        <n v="386.03"/>
        <n v="7192.05"/>
        <n v="5700.87"/>
        <n v="612.13"/>
        <n v="708"/>
        <n v="1042.92"/>
        <n v="8552.57"/>
        <n v="982.4"/>
        <n v="632.35"/>
        <n v="146.58000000000001"/>
        <n v="742.23"/>
        <n v="101.38"/>
        <n v="791.79"/>
        <n v="550.41"/>
        <n v="1101.18"/>
        <n v="797.91"/>
        <n v="1141.99"/>
        <n v="818.14"/>
        <n v="604.21"/>
        <n v="345.17"/>
        <n v="1102.79"/>
        <n v="7617.66"/>
        <n v="268"/>
        <n v="6754.68"/>
        <n v="1164.58"/>
        <n v="51.09"/>
        <n v="4865.38"/>
        <n v="538.82000000000005"/>
        <n v="78.19"/>
        <n v="170.17"/>
        <n v="150.4"/>
        <n v="1048.78"/>
        <n v="517.53"/>
        <n v="7185.29"/>
        <n v="7387.22"/>
        <n v="725.97"/>
        <n v="25.5"/>
        <n v="475.62"/>
        <n v="7671.06"/>
        <n v="1199.49"/>
        <n v="1099.07"/>
        <n v="189.9"/>
        <n v="448.59"/>
        <n v="1025.72"/>
        <n v="89.32"/>
        <n v="8226.59"/>
        <n v="1045.1400000000001"/>
        <n v="334.54"/>
        <n v="951.65"/>
        <n v="536.76"/>
        <n v="462.67"/>
        <n v="141.55000000000001"/>
        <n v="1097.01"/>
        <n v="221.04"/>
        <n v="1061.3399999999999"/>
        <n v="1030.05"/>
        <n v="7126.76"/>
        <n v="1137.4100000000001"/>
        <n v="7993.97"/>
        <n v="519.76"/>
        <n v="991.56"/>
        <n v="521.14"/>
        <n v="776.18"/>
        <n v="774.06"/>
        <n v="633.52"/>
        <n v="886.02"/>
        <n v="31.52"/>
        <n v="681.84"/>
        <n v="772.17"/>
        <n v="5588.41"/>
        <n v="8396.69"/>
        <n v="4752.47"/>
        <n v="96.12"/>
        <n v="663.02"/>
        <n v="1143.03"/>
        <n v="701.64"/>
        <n v="8738.9699999999993"/>
        <n v="287.63"/>
        <n v="247.3"/>
        <n v="122.71"/>
        <n v="437.27"/>
        <n v="275.64"/>
        <n v="310.83"/>
        <n v="720.85"/>
        <n v="1096.77"/>
        <n v="4772.3"/>
        <n v="9078.89"/>
        <n v="7465.09"/>
        <n v="9108.4699999999993"/>
        <n v="532.88"/>
        <n v="857.28"/>
        <n v="511.41"/>
        <n v="696.94"/>
        <n v="4770.2700000000004"/>
        <n v="124.84"/>
        <n v="38.75"/>
        <n v="315.74"/>
        <n v="15.32"/>
        <n v="1086.8800000000001"/>
        <n v="206.11"/>
        <n v="661.57"/>
        <n v="928.98"/>
      </sharedItems>
    </cacheField>
    <cacheField name="Revenue" numFmtId="0">
      <sharedItems containsSemiMixedTypes="0" containsString="0" containsNumber="1" minValue="19.11" maxValue="12991.95"/>
    </cacheField>
    <cacheField name="Profit" numFmtId="0">
      <sharedItems containsSemiMixedTypes="0" containsString="0" containsNumber="1" minValue="-1919.02" maxValue="3557.14"/>
    </cacheField>
    <cacheField name="Sales Projection" numFmtId="0">
      <sharedItems containsSemiMixedTypes="0" containsString="0" containsNumber="1" minValue="17.440000000000001" maxValue="10753.66" count="774">
        <n v="265.58999999999997"/>
        <n v="519.51"/>
        <n v="430.8"/>
        <n v="839.38"/>
        <n v="4621.9399999999996"/>
        <n v="591.57000000000005"/>
        <n v="970"/>
        <n v="1251.53"/>
        <n v="7145.94"/>
        <n v="755.92"/>
        <n v="6732.63"/>
        <n v="416.43"/>
        <n v="170.4"/>
        <n v="280.13"/>
        <n v="971.85"/>
        <n v="65.489999999999995"/>
        <n v="646.33000000000004"/>
        <n v="980.5"/>
        <n v="275.05"/>
        <n v="768.34"/>
        <n v="153.03"/>
        <n v="767.46"/>
        <n v="1022.35"/>
        <n v="623.66"/>
        <n v="889.39"/>
        <n v="337.75"/>
        <n v="473.28"/>
        <n v="865.19"/>
        <n v="594.55999999999995"/>
        <n v="1066.43"/>
        <n v="100.37"/>
        <n v="1229.27"/>
        <n v="820.01"/>
        <n v="188.11"/>
        <n v="113.87"/>
        <n v="1133.24"/>
        <n v="335.75"/>
        <n v="726.25"/>
        <n v="1102.7"/>
        <n v="7096.85"/>
        <n v="668.94"/>
        <n v="657.35"/>
        <n v="765.46"/>
        <n v="4977.54"/>
        <n v="929.66"/>
        <n v="197.85"/>
        <n v="485.2"/>
        <n v="271.29000000000002"/>
        <n v="1049.77"/>
        <n v="627.42999999999995"/>
        <n v="237.92"/>
        <n v="6487.1"/>
        <n v="555.89"/>
        <n v="518.9"/>
        <n v="776.25"/>
        <n v="271.08999999999997"/>
        <n v="8123.23"/>
        <n v="183.81"/>
        <n v="175.86"/>
        <n v="679.72"/>
        <n v="1114.22"/>
        <n v="5792.42"/>
        <n v="1032.0899999999999"/>
        <n v="1340.26"/>
        <n v="8743.2199999999993"/>
        <n v="625.45000000000005"/>
        <n v="1133.21"/>
        <n v="929.12"/>
        <n v="573.22"/>
        <n v="185.16"/>
        <n v="353.95"/>
        <n v="1039.8800000000001"/>
        <n v="1173.9000000000001"/>
        <n v="4591.32"/>
        <n v="588.21"/>
        <n v="716.7"/>
        <n v="230.03"/>
        <n v="594.04"/>
        <n v="249.41"/>
        <n v="469.11"/>
        <n v="1140.98"/>
        <n v="1130.3599999999999"/>
        <n v="69.25"/>
        <n v="595.73"/>
        <n v="661.41"/>
        <n v="7901.05"/>
        <n v="1107.17"/>
        <n v="1032.93"/>
        <n v="748.3"/>
        <n v="556.99"/>
        <n v="124.86"/>
        <n v="6915.55"/>
        <n v="954.45"/>
        <n v="18.47"/>
        <n v="25.89"/>
        <n v="1003.13"/>
        <n v="199.5"/>
        <n v="40.270000000000003"/>
        <n v="369.8"/>
        <n v="1139.21"/>
        <n v="762.83"/>
        <n v="270.39999999999998"/>
        <n v="697.65"/>
        <n v="569.04"/>
        <n v="1171.1300000000001"/>
        <n v="328.61"/>
        <n v="1013.52"/>
        <n v="47.99"/>
        <n v="1024.3"/>
        <n v="10676.28"/>
        <n v="20.38"/>
        <n v="824.26"/>
        <n v="1137.97"/>
        <n v="7397.25"/>
        <n v="266.27999999999997"/>
        <n v="338.34"/>
        <n v="1056.8"/>
        <n v="1184.25"/>
        <n v="1261.1199999999999"/>
        <n v="122.1"/>
        <n v="808.53"/>
        <n v="46.59"/>
        <n v="438"/>
        <n v="1003.95"/>
        <n v="4853.5600000000004"/>
        <n v="1035.1199999999999"/>
        <n v="265.52999999999997"/>
        <n v="195.02"/>
        <n v="467.15"/>
        <n v="585.95000000000005"/>
        <n v="1310.07"/>
        <n v="109.43"/>
        <n v="808.36"/>
        <n v="478.6"/>
        <n v="68.72"/>
        <n v="535.13"/>
        <n v="1167.69"/>
        <n v="915.16"/>
        <n v="179.24"/>
        <n v="459.56"/>
        <n v="38.409999999999997"/>
        <n v="1201.54"/>
        <n v="923.48"/>
        <n v="105.12"/>
        <n v="699.83"/>
        <n v="817.78"/>
        <n v="958.49"/>
        <n v="873.52"/>
        <n v="113.76"/>
        <n v="912.68"/>
        <n v="975.26"/>
        <n v="942.7"/>
        <n v="5786.53"/>
        <n v="1120.3"/>
        <n v="469.05"/>
        <n v="1180.93"/>
        <n v="93.17"/>
        <n v="860.21"/>
        <n v="402.77"/>
        <n v="5671.02"/>
        <n v="1383.86"/>
        <n v="263.49"/>
        <n v="1063.8"/>
        <n v="39.07"/>
        <n v="370.96"/>
        <n v="662.93"/>
        <n v="5027.8599999999997"/>
        <n v="1020.63"/>
        <n v="989.33"/>
        <n v="672.08"/>
        <n v="333.49"/>
        <n v="4782.46"/>
        <n v="974.2"/>
        <n v="7921.12"/>
        <n v="544.11"/>
        <n v="849.05"/>
        <n v="997.35"/>
        <n v="296.14999999999998"/>
        <n v="100.34"/>
        <n v="1195.21"/>
        <n v="1192.83"/>
        <n v="1058.02"/>
        <n v="551.58000000000004"/>
        <n v="948.02"/>
        <n v="1050.25"/>
        <n v="247.69"/>
        <n v="179.01"/>
        <n v="7002.44"/>
        <n v="9006.27"/>
        <n v="870.92"/>
        <n v="813.74"/>
        <n v="111.12"/>
        <n v="36.33"/>
        <n v="102.34"/>
        <n v="807.23"/>
        <n v="1000.63"/>
        <n v="250.43"/>
        <n v="473.54"/>
        <n v="446.28"/>
        <n v="655.7"/>
        <n v="353.28"/>
        <n v="91.83"/>
        <n v="1098.27"/>
        <n v="289.04000000000002"/>
        <n v="433.02"/>
        <n v="612.04"/>
        <n v="534.80999999999995"/>
        <n v="908.92"/>
        <n v="310"/>
        <n v="1146.8399999999999"/>
        <n v="207.59"/>
        <n v="1228.8399999999999"/>
        <n v="875.15"/>
        <n v="1249.27"/>
        <n v="243.79"/>
        <n v="806.01"/>
        <n v="419.1"/>
        <n v="1049.57"/>
        <n v="50.49"/>
        <n v="974.03"/>
        <n v="1279.06"/>
        <n v="233.24"/>
        <n v="1242.1500000000001"/>
        <n v="118.61"/>
        <n v="5996.92"/>
        <n v="399.4"/>
        <n v="192.05"/>
        <n v="10694.46"/>
        <n v="904.25"/>
        <n v="614.47"/>
        <n v="117.69"/>
        <n v="815.57"/>
        <n v="597.30999999999995"/>
        <n v="456.89"/>
        <n v="113.78"/>
        <n v="120.44"/>
        <n v="1331.29"/>
        <n v="590.92999999999995"/>
        <n v="1048.44"/>
        <n v="5941.47"/>
        <n v="681.55"/>
        <n v="977.8"/>
        <n v="1022.33"/>
        <n v="6248.52"/>
        <n v="1201.2"/>
        <n v="692.23"/>
        <n v="351.9"/>
        <n v="219.02"/>
        <n v="321.52"/>
        <n v="1195.92"/>
        <n v="308.3"/>
        <n v="6361.35"/>
        <n v="189.74"/>
        <n v="56.93"/>
        <n v="630.44000000000005"/>
        <n v="7593.03"/>
        <n v="1058.3699999999999"/>
        <n v="105.78"/>
        <n v="161.36000000000001"/>
        <n v="1082.2"/>
        <n v="613.6"/>
        <n v="622.88"/>
        <n v="4597.4399999999996"/>
        <n v="1145.69"/>
        <n v="671.45"/>
        <n v="152.87"/>
        <n v="1178.2"/>
        <n v="384.44"/>
        <n v="9088.9699999999993"/>
        <n v="131.78"/>
        <n v="117.46"/>
        <n v="231.4"/>
        <n v="1121.6199999999999"/>
        <n v="732.84"/>
        <n v="1078.23"/>
        <n v="546.75"/>
        <n v="305.60000000000002"/>
        <n v="990.35"/>
        <n v="719.26"/>
        <n v="116.74"/>
        <n v="793.71"/>
        <n v="1021.44"/>
        <n v="159.75"/>
        <n v="955.53"/>
        <n v="1009.69"/>
        <n v="141.44999999999999"/>
        <n v="1022.17"/>
        <n v="154.19"/>
        <n v="1016.07"/>
        <n v="373.38"/>
        <n v="967.54"/>
        <n v="692.59"/>
        <n v="681.72"/>
        <n v="391.48"/>
        <n v="66.38"/>
        <n v="519.02"/>
        <n v="305.57"/>
        <n v="575.63"/>
        <n v="829.31"/>
        <n v="543.26"/>
        <n v="493.23"/>
        <n v="1183.08"/>
        <n v="240.06"/>
        <n v="1224.3599999999999"/>
        <n v="42.33"/>
        <n v="7365.87"/>
        <n v="854.33"/>
        <n v="6196.76"/>
        <n v="502.9"/>
        <n v="424.86"/>
        <n v="613.41999999999996"/>
        <n v="397.73"/>
        <n v="10306.299999999999"/>
        <n v="470.97"/>
        <n v="1046.45"/>
        <n v="684.36"/>
        <n v="541.47"/>
        <n v="774.08"/>
        <n v="764.32"/>
        <n v="6664.36"/>
        <n v="10062.51"/>
        <n v="195.29"/>
        <n v="197.95"/>
        <n v="1233.8900000000001"/>
        <n v="796.92"/>
        <n v="320.02"/>
        <n v="144.80000000000001"/>
        <n v="5714.81"/>
        <n v="1130.6500000000001"/>
        <n v="175.52"/>
        <n v="5356.43"/>
        <n v="987.09"/>
        <n v="586.98"/>
        <n v="843.11"/>
        <n v="188.93"/>
        <n v="1217.1099999999999"/>
        <n v="119.13"/>
        <n v="200.28"/>
        <n v="622.76"/>
        <n v="325.18"/>
        <n v="6813.5"/>
        <n v="862.53"/>
        <n v="9316.0300000000007"/>
        <n v="894.05"/>
        <n v="29.51"/>
        <n v="1181.08"/>
        <n v="428.34"/>
        <n v="9071.0300000000007"/>
        <n v="610.47"/>
        <n v="620.92999999999995"/>
        <n v="573.21"/>
        <n v="879.09"/>
        <n v="7306"/>
        <n v="663.8"/>
        <n v="875.48"/>
        <n v="497.11"/>
        <n v="9970.32"/>
        <n v="980.25"/>
        <n v="563.32000000000005"/>
        <n v="631.41"/>
        <n v="1379.91"/>
        <n v="444.56"/>
        <n v="320.36"/>
        <n v="507.89"/>
        <n v="270.36"/>
        <n v="1159.8399999999999"/>
        <n v="1051.28"/>
        <n v="657.07"/>
        <n v="320.54000000000002"/>
        <n v="386.45"/>
        <n v="835.51"/>
        <n v="6459.5"/>
        <n v="1049.5999999999999"/>
        <n v="567.29999999999995"/>
        <n v="57.91"/>
        <n v="815.53"/>
        <n v="540.51"/>
        <n v="870.75"/>
        <n v="104.39"/>
        <n v="1060.24"/>
        <n v="357.62"/>
        <n v="500.5"/>
        <n v="918.06"/>
        <n v="1068.6199999999999"/>
        <n v="6572.72"/>
        <n v="1216.2"/>
        <n v="657.2"/>
        <n v="617.84"/>
        <n v="1229.78"/>
        <n v="940.44"/>
        <n v="866.34"/>
        <n v="131.01"/>
        <n v="38.36"/>
        <n v="1068.46"/>
        <n v="9545.23"/>
        <n v="422.48"/>
        <n v="355.15"/>
        <n v="383.64"/>
        <n v="277.77"/>
        <n v="8551.82"/>
        <n v="1208.1199999999999"/>
        <n v="921.95"/>
        <n v="8844.3700000000008"/>
        <n v="817.28"/>
        <n v="946"/>
        <n v="1107.1099999999999"/>
        <n v="978.25"/>
        <n v="4182.49"/>
        <n v="9786.07"/>
        <n v="1257.24"/>
        <n v="943.58"/>
        <n v="932.54"/>
        <n v="391.32"/>
        <n v="680.34"/>
        <n v="608.16999999999996"/>
        <n v="549.54"/>
        <n v="1093.83"/>
        <n v="272.18"/>
        <n v="6414.79"/>
        <n v="112.12"/>
        <n v="175.13"/>
        <n v="1074.51"/>
        <n v="5474.03"/>
        <n v="717.7"/>
        <n v="599.32000000000005"/>
        <n v="514.22"/>
        <n v="111.44"/>
        <n v="1197.42"/>
        <n v="182.53"/>
        <n v="1007.89"/>
        <n v="562.47"/>
        <n v="920.29"/>
        <n v="1287.21"/>
        <n v="886.57"/>
        <n v="1149.5899999999999"/>
        <n v="10715.86"/>
        <n v="693.56"/>
        <n v="142.13999999999999"/>
        <n v="908.03"/>
        <n v="153.87"/>
        <n v="990.34"/>
        <n v="1061.79"/>
        <n v="1082.78"/>
        <n v="1190.4100000000001"/>
        <n v="1005.54"/>
        <n v="696.72"/>
        <n v="373.18"/>
        <n v="402.71"/>
        <n v="7681.08"/>
        <n v="6303.76"/>
        <n v="283.73"/>
        <n v="885.37"/>
        <n v="54.07"/>
        <n v="524.21"/>
        <n v="5154.87"/>
        <n v="47.38"/>
        <n v="1059.24"/>
        <n v="9877.5499999999993"/>
        <n v="918.76"/>
        <n v="945.96"/>
        <n v="8046.41"/>
        <n v="1362.67"/>
        <n v="1077.27"/>
        <n v="95.58"/>
        <n v="724.45"/>
        <n v="1073.5"/>
        <n v="966.3"/>
        <n v="535.63"/>
        <n v="188.33"/>
        <n v="564.59"/>
        <n v="4783.12"/>
        <n v="796.97"/>
        <n v="1028.9100000000001"/>
        <n v="820.67"/>
        <n v="533.61"/>
        <n v="249.67"/>
        <n v="673.95"/>
        <n v="918.46"/>
        <n v="762.76"/>
        <n v="1244.21"/>
        <n v="288.64999999999998"/>
        <n v="6289.18"/>
        <n v="1001.07"/>
        <n v="129.54"/>
        <n v="5299.4"/>
        <n v="75.69"/>
        <n v="5512.82"/>
        <n v="600.03"/>
        <n v="828.74"/>
        <n v="135.72999999999999"/>
        <n v="628.49"/>
        <n v="1355.54"/>
        <n v="264.98"/>
        <n v="522.87"/>
        <n v="1220.79"/>
        <n v="474.28"/>
        <n v="588.4"/>
        <n v="790.08"/>
        <n v="103.55"/>
        <n v="1294.8699999999999"/>
        <n v="841"/>
        <n v="636.28"/>
        <n v="5673.26"/>
        <n v="1077.01"/>
        <n v="118.43"/>
        <n v="763.43"/>
        <n v="1038.5999999999999"/>
        <n v="64.48"/>
        <n v="992.02"/>
        <n v="105.46"/>
        <n v="1154.1099999999999"/>
        <n v="644.70000000000005"/>
        <n v="737.59"/>
        <n v="792.42"/>
        <n v="1055.3499999999999"/>
        <n v="484.02"/>
        <n v="51.61"/>
        <n v="732.11"/>
        <n v="4620.32"/>
        <n v="86.1"/>
        <n v="245.37"/>
        <n v="36.450000000000003"/>
        <n v="883.76"/>
        <n v="1060.68"/>
        <n v="1166.24"/>
        <n v="4906.58"/>
        <n v="872.66"/>
        <n v="406.94"/>
        <n v="1095.77"/>
        <n v="986.46"/>
        <n v="732.43"/>
        <n v="160.22"/>
        <n v="581.28"/>
        <n v="6565.51"/>
        <n v="613.57000000000005"/>
        <n v="1286.32"/>
        <n v="103.89"/>
        <n v="51.77"/>
        <n v="164.6"/>
        <n v="607.47"/>
        <n v="587.37"/>
        <n v="899.5"/>
        <n v="113.36"/>
        <n v="384.21"/>
        <n v="8714.92"/>
        <n v="1365.62"/>
        <n v="1145.01"/>
        <n v="109.74"/>
        <n v="695.56"/>
        <n v="619.21"/>
        <n v="910.2"/>
        <n v="47.46"/>
        <n v="317.61"/>
        <n v="902.31"/>
        <n v="1006.2"/>
        <n v="1249.55"/>
        <n v="8929.16"/>
        <n v="762.82"/>
        <n v="6014.13"/>
        <n v="6003.61"/>
        <n v="516.1"/>
        <n v="1042.72"/>
        <n v="643.76"/>
        <n v="1057.42"/>
        <n v="8473.76"/>
        <n v="154.16999999999999"/>
        <n v="36.99"/>
        <n v="652.57000000000005"/>
        <n v="92.66"/>
        <n v="1024.68"/>
        <n v="6086.8"/>
        <n v="1197.28"/>
        <n v="888.27"/>
        <n v="358.85"/>
        <n v="6553.18"/>
        <n v="569.72"/>
        <n v="1084.45"/>
        <n v="335.53"/>
        <n v="490.21"/>
        <n v="95.36"/>
        <n v="451.51"/>
        <n v="769.2"/>
        <n v="189.79"/>
        <n v="587.09"/>
        <n v="1082.82"/>
        <n v="1126.19"/>
        <n v="340.07"/>
        <n v="105.02"/>
        <n v="139.03"/>
        <n v="1076.53"/>
        <n v="558.63"/>
        <n v="1149.1500000000001"/>
        <n v="1332.68"/>
        <n v="770.96"/>
        <n v="1276.5999999999999"/>
        <n v="826.98"/>
        <n v="1134.78"/>
        <n v="34.770000000000003"/>
        <n v="121.53"/>
        <n v="125.63"/>
        <n v="20.8"/>
        <n v="10753.66"/>
        <n v="1060.04"/>
        <n v="726.7"/>
        <n v="1130.83"/>
        <n v="576.95000000000005"/>
        <n v="221.4"/>
        <n v="17.440000000000001"/>
        <n v="1363.66"/>
        <n v="1173.53"/>
        <n v="7907.15"/>
        <n v="541.96"/>
        <n v="9164.1"/>
        <n v="69.959999999999994"/>
        <n v="4874.88"/>
        <n v="1066.33"/>
        <n v="5849.19"/>
        <n v="822.84"/>
        <n v="787.81"/>
        <n v="906.75"/>
        <n v="1017.21"/>
        <n v="98.71"/>
        <n v="149.19"/>
        <n v="9761.39"/>
        <n v="526.11"/>
        <n v="634.47"/>
        <n v="948.55"/>
        <n v="634.04"/>
        <n v="110.15"/>
        <n v="140.25"/>
        <n v="520.32000000000005"/>
        <n v="9008.4699999999993"/>
        <n v="1288.25"/>
        <n v="236.84"/>
        <n v="1110.96"/>
        <n v="1135.07"/>
        <n v="315.11"/>
        <n v="182.56"/>
        <n v="673.09"/>
        <n v="1095.98"/>
        <n v="146.91999999999999"/>
        <n v="195.36"/>
        <n v="894.76"/>
        <n v="7846.66"/>
        <n v="404.95"/>
        <n v="319.8"/>
        <n v="598.16999999999996"/>
        <n v="276.57"/>
        <n v="951.62"/>
        <n v="496.48"/>
        <n v="156.08000000000001"/>
        <n v="1101.32"/>
        <n v="604.57000000000005"/>
        <n v="1040.32"/>
        <n v="171.73"/>
        <n v="703.77"/>
        <n v="770.2"/>
        <n v="10518.06"/>
        <n v="1060.6199999999999"/>
        <n v="9397.73"/>
        <n v="99.98"/>
        <n v="1229.07"/>
        <n v="107.52"/>
        <n v="1159.47"/>
        <n v="1036.71"/>
        <n v="929.11"/>
        <n v="591.42999999999995"/>
        <n v="9339.5400000000009"/>
        <n v="349.72"/>
        <n v="7589.16"/>
        <n v="5873.9"/>
        <n v="721.25"/>
        <n v="670.72"/>
        <n v="1053.92"/>
        <n v="99.43"/>
        <n v="8836.7199999999993"/>
        <n v="939.09"/>
        <n v="612.41999999999996"/>
        <n v="146.5"/>
        <n v="752.35"/>
        <n v="92.68"/>
        <n v="722.26"/>
        <n v="559.41999999999996"/>
        <n v="1206.1199999999999"/>
        <n v="737.92"/>
        <n v="1131.8"/>
        <n v="811.91"/>
        <n v="650"/>
        <n v="399.52"/>
        <n v="1057.19"/>
        <n v="100.98"/>
        <n v="6870.57"/>
        <n v="106.17"/>
        <n v="299.27"/>
        <n v="6388.2"/>
        <n v="1332.47"/>
        <n v="55.92"/>
        <n v="5343.95"/>
        <n v="557.80999999999995"/>
        <n v="87.2"/>
        <n v="202.48"/>
        <n v="149.61000000000001"/>
        <n v="1227.21"/>
        <n v="509.77"/>
        <n v="8160.34"/>
        <n v="8599.67"/>
        <n v="788.63"/>
        <n v="24.37"/>
        <n v="540.22"/>
        <n v="7308.85"/>
        <n v="1338.38"/>
        <n v="1200.94"/>
        <n v="212.14"/>
        <n v="408.69"/>
        <n v="987.23"/>
        <n v="99.68"/>
        <n v="7732.52"/>
        <n v="993.48"/>
        <n v="371.69"/>
        <n v="1084.24"/>
        <n v="599.15"/>
        <n v="520.80999999999995"/>
        <n v="169.22"/>
        <n v="1028.83"/>
        <n v="253.37"/>
        <n v="1241.19"/>
        <n v="929.81"/>
        <n v="7462.6"/>
        <n v="1249.3699999999999"/>
        <n v="8110.47"/>
        <n v="598.35"/>
        <n v="1119.07"/>
        <n v="481.44"/>
        <n v="870.73"/>
        <n v="900.62"/>
        <n v="658.24"/>
        <n v="1024.9100000000001"/>
        <n v="35.5"/>
        <n v="687.67"/>
        <n v="918.13"/>
        <n v="5972.88"/>
        <n v="8391.9599999999991"/>
        <n v="4440.42"/>
        <n v="103.99"/>
        <n v="783.65"/>
        <n v="1058.57"/>
        <n v="640.21"/>
        <n v="8454.6"/>
        <n v="332.27"/>
        <n v="257.77999999999997"/>
        <n v="128.69999999999999"/>
        <n v="485.61"/>
        <n v="323.47000000000003"/>
        <n v="285.01"/>
        <n v="846.48"/>
        <n v="1227.56"/>
        <n v="4887.54"/>
        <n v="8402.44"/>
        <n v="7655.35"/>
        <n v="9051.41"/>
        <n v="545.34"/>
        <n v="786.19"/>
        <n v="583.58000000000004"/>
        <n v="109.91"/>
        <n v="742.88"/>
        <n v="4694.2"/>
        <n v="122.98"/>
        <n v="35.270000000000003"/>
        <n v="340.15"/>
        <n v="17.899999999999999"/>
        <n v="1151.3900000000001"/>
        <n v="201.44"/>
        <n v="766.69"/>
        <n v="1026.82"/>
      </sharedItems>
    </cacheField>
    <cacheField name="cost" numFmtId="0">
      <sharedItems containsSemiMixedTypes="0" containsString="0" containsNumber="1" minValue="15.32" maxValue="14712.46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Lakshmanan.S" refreshedDate="46303.92214166667" createdVersion="8" refreshedVersion="8" minRefreshableVersion="3" recordCount="775" xr:uid="{32704610-BC6A-4FDB-BAB0-1E9FAC207229}">
  <cacheSource type="worksheet">
    <worksheetSource ref="A1:L776" sheet="Rework"/>
  </cacheSource>
  <cacheFields count="12">
    <cacheField name="Transaction ID" numFmtId="0">
      <sharedItems/>
    </cacheField>
    <cacheField name="Customer ID" numFmtId="0">
      <sharedItems/>
    </cacheField>
    <cacheField name="Date" numFmtId="164">
      <sharedItems/>
    </cacheField>
    <cacheField name="Transaction Type" numFmtId="0">
      <sharedItems/>
    </cacheField>
    <cacheField name="Category" numFmtId="0">
      <sharedItems count="7">
        <s v="Utilities"/>
        <s v="Online Shopping"/>
        <s v="Groceries"/>
        <s v="Salary"/>
        <s v="Dining Out"/>
        <s v="Transfer"/>
        <s v="Entertainment"/>
      </sharedItems>
    </cacheField>
    <cacheField name="Merchant Name" numFmtId="0">
      <sharedItems/>
    </cacheField>
    <cacheField name="Sales" numFmtId="0">
      <sharedItems containsSemiMixedTypes="0" containsString="0" containsNumber="1" minValue="15.32" maxValue="9399.4599999999991"/>
    </cacheField>
    <cacheField name="Revenue" numFmtId="0">
      <sharedItems containsSemiMixedTypes="0" containsString="0" containsNumber="1" minValue="19.11" maxValue="12991.95"/>
    </cacheField>
    <cacheField name="Profit" numFmtId="0">
      <sharedItems containsSemiMixedTypes="0" containsString="0" containsNumber="1" minValue="-1919.02" maxValue="3557.14"/>
    </cacheField>
    <cacheField name="Sales Projection" numFmtId="0">
      <sharedItems containsSemiMixedTypes="0" containsString="0" containsNumber="1" minValue="17.440000000000001" maxValue="10753.66"/>
    </cacheField>
    <cacheField name="cost" numFmtId="0">
      <sharedItems containsSemiMixedTypes="0" containsString="0" containsNumber="1" minValue="15.32" maxValue="14712.460000000001"/>
    </cacheField>
    <cacheField name="Achivement" numFmtId="0">
      <sharedItems containsSemiMixedTypes="0" containsString="0" containsNumber="1" minValue="-1749.0500000000011" maxValue="1126.75633333333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5">
  <r>
    <s v="TXN200001"/>
    <x v="0"/>
    <s v="2025-10-04"/>
    <x v="0"/>
    <x v="0"/>
    <s v="State Hydro Grid"/>
    <n v="269.20999999999998"/>
    <n v="324.51"/>
    <n v="-48.68"/>
    <n v="265.58999999999997"/>
    <n v="373.19"/>
  </r>
  <r>
    <s v="TXN200002"/>
    <x v="1"/>
    <s v="2025-08-13"/>
    <x v="1"/>
    <x v="1"/>
    <s v="Amazon Digital Supply"/>
    <n v="542.58000000000004"/>
    <n v="696.85"/>
    <n v="154.27000000000001"/>
    <n v="519.51"/>
    <n v="542.58000000000004"/>
  </r>
  <r>
    <s v="TXN200003"/>
    <x v="2"/>
    <s v="2025-07-26"/>
    <x v="0"/>
    <x v="2"/>
    <s v="Supermart Marketplace"/>
    <n v="375.58"/>
    <n v="442.32"/>
    <n v="-66.349999999999994"/>
    <n v="430.8"/>
    <n v="508.66999999999996"/>
  </r>
  <r>
    <s v="TXN200004"/>
    <x v="3"/>
    <s v="2025-07-14"/>
    <x v="1"/>
    <x v="0"/>
    <s v="State Hydro Grid"/>
    <n v="807.69"/>
    <n v="930.16"/>
    <n v="122.47"/>
    <n v="839.38"/>
    <n v="807.68999999999994"/>
  </r>
  <r>
    <s v="TXN200005"/>
    <x v="4"/>
    <s v="2025-07-09"/>
    <x v="0"/>
    <x v="3"/>
    <s v="Global Industries Llc"/>
    <n v="4843.5200000000004"/>
    <n v="5611.92"/>
    <n v="-841.79"/>
    <n v="4621.9399999999996"/>
    <n v="6453.71"/>
  </r>
  <r>
    <s v="TXN200006"/>
    <x v="5"/>
    <s v="2025-07-05"/>
    <x v="0"/>
    <x v="2"/>
    <s v="Whole Foods Store"/>
    <n v="619.87"/>
    <n v="847.4"/>
    <n v="-127.11"/>
    <n v="591.57000000000005"/>
    <n v="974.51"/>
  </r>
  <r>
    <s v="TXN200007"/>
    <x v="6"/>
    <s v="2025-02-03"/>
    <x v="1"/>
    <x v="4"/>
    <s v="Mcdonalds Corp Express"/>
    <n v="847.04"/>
    <n v="1067.75"/>
    <n v="220.71"/>
    <n v="970"/>
    <n v="847.04"/>
  </r>
  <r>
    <s v="TXN200008"/>
    <x v="7"/>
    <s v="2025-03-13"/>
    <x v="1"/>
    <x v="5"/>
    <s v="Internal P2P Route"/>
    <n v="1072.55"/>
    <n v="1353.15"/>
    <n v="280.60000000000002"/>
    <n v="1251.53"/>
    <n v="1072.5500000000002"/>
  </r>
  <r>
    <s v="TXN200009"/>
    <x v="5"/>
    <s v="2025-06-22"/>
    <x v="0"/>
    <x v="3"/>
    <s v="Techcorp Payroll Inc"/>
    <n v="7790.63"/>
    <n v="9641.6299999999992"/>
    <n v="-1446.24"/>
    <n v="7145.94"/>
    <n v="11087.869999999999"/>
  </r>
  <r>
    <s v="TXN200010"/>
    <x v="8"/>
    <s v="2025-03-20"/>
    <x v="0"/>
    <x v="0"/>
    <s v="State Hydro Grid"/>
    <n v="636.4"/>
    <n v="859.18"/>
    <n v="-128.88"/>
    <n v="755.92"/>
    <n v="988.06"/>
  </r>
  <r>
    <s v="TXN200011"/>
    <x v="9"/>
    <s v="2025-04-01"/>
    <x v="1"/>
    <x v="3"/>
    <s v="Stark Retail Labs"/>
    <n v="7371.46"/>
    <n v="9685.99"/>
    <n v="2314.5300000000002"/>
    <n v="6732.63"/>
    <n v="7371.4599999999991"/>
  </r>
  <r>
    <s v="TXN200012"/>
    <x v="10"/>
    <s v="2025-04-11"/>
    <x v="0"/>
    <x v="1"/>
    <s v="Amazon Digital Supply"/>
    <n v="356.46"/>
    <n v="470.43"/>
    <n v="-70.56"/>
    <n v="416.43"/>
    <n v="540.99"/>
  </r>
  <r>
    <s v="TXN200013"/>
    <x v="11"/>
    <s v="2025-09-22"/>
    <x v="1"/>
    <x v="2"/>
    <s v="Supermart Marketplace"/>
    <n v="187.84"/>
    <n v="221.72"/>
    <n v="33.880000000000003"/>
    <n v="170.4"/>
    <n v="187.84"/>
  </r>
  <r>
    <s v="TXN200014"/>
    <x v="12"/>
    <s v="2025-12-18"/>
    <x v="0"/>
    <x v="4"/>
    <s v="Olive Garden Gourmet"/>
    <n v="262.58"/>
    <n v="332.06"/>
    <n v="-49.81"/>
    <n v="280.13"/>
    <n v="381.87"/>
  </r>
  <r>
    <s v="TXN200015"/>
    <x v="13"/>
    <s v="2025-05-04"/>
    <x v="0"/>
    <x v="2"/>
    <s v="Whole Foods Store"/>
    <n v="905.35"/>
    <n v="1096.8499999999999"/>
    <n v="-164.53"/>
    <n v="971.85"/>
    <n v="1261.3799999999999"/>
  </r>
  <r>
    <s v="TXN200016"/>
    <x v="14"/>
    <s v="2025-01-27"/>
    <x v="0"/>
    <x v="4"/>
    <s v="Olive Garden Gourmet"/>
    <n v="54.92"/>
    <n v="75.510000000000005"/>
    <n v="-11.33"/>
    <n v="65.489999999999995"/>
    <n v="86.84"/>
  </r>
  <r>
    <s v="TXN200017"/>
    <x v="15"/>
    <s v="CORRUPT_DATE_FLAG"/>
    <x v="0"/>
    <x v="5"/>
    <s v="Zelle Payment Engine"/>
    <n v="592.55999999999995"/>
    <n v="800.74"/>
    <n v="-120.11"/>
    <n v="646.33000000000004"/>
    <n v="920.85"/>
  </r>
  <r>
    <s v="TXN200018"/>
    <x v="3"/>
    <s v="2025-03-04"/>
    <x v="1"/>
    <x v="4"/>
    <s v="Mcdonalds Corp Express"/>
    <n v="880.09"/>
    <n v="1044.4000000000001"/>
    <n v="164.31"/>
    <n v="980.5"/>
    <n v="880.09000000000015"/>
  </r>
  <r>
    <s v="TXN200019"/>
    <x v="16"/>
    <s v="CORRUPT_DATE_FLAG"/>
    <x v="1"/>
    <x v="6"/>
    <s v="Spotify Music Hub"/>
    <n v="290.32"/>
    <n v="347.82"/>
    <n v="57.5"/>
    <n v="275.05"/>
    <n v="290.32"/>
  </r>
  <r>
    <s v="TXN200020"/>
    <x v="17"/>
    <s v="2025-01-20"/>
    <x v="1"/>
    <x v="4"/>
    <s v="Olive Garden Gourmet"/>
    <n v="824.84"/>
    <n v="1130.0899999999999"/>
    <n v="305.25"/>
    <n v="768.34"/>
    <n v="824.83999999999992"/>
  </r>
  <r>
    <s v="TXN200021"/>
    <x v="18"/>
    <s v="2025-09-18"/>
    <x v="1"/>
    <x v="4"/>
    <s v="Olive Garden Gourmet"/>
    <n v="167.75"/>
    <n v="197.55"/>
    <n v="29.8"/>
    <n v="153.03"/>
    <n v="167.75"/>
  </r>
  <r>
    <s v="TXN200022"/>
    <x v="19"/>
    <s v="2025-07-26"/>
    <x v="1"/>
    <x v="6"/>
    <s v="Netflix Streaming Premium"/>
    <n v="826.21"/>
    <n v="962.91"/>
    <n v="136.69999999999999"/>
    <n v="767.46"/>
    <n v="826.21"/>
  </r>
  <r>
    <s v="TXN200023"/>
    <x v="20"/>
    <s v="2025-07-18"/>
    <x v="0"/>
    <x v="2"/>
    <s v="Fresh &amp; Fast Logistics"/>
    <n v="1123.8"/>
    <n v="1385.8"/>
    <n v="-207.87"/>
    <n v="1022.35"/>
    <n v="1593.67"/>
  </r>
  <r>
    <s v="TXN200024"/>
    <x v="2"/>
    <s v="2025-04-13"/>
    <x v="0"/>
    <x v="2"/>
    <s v="Fresh &amp; Fast Logistics"/>
    <n v="535.25"/>
    <n v="739.41"/>
    <n v="-110.91"/>
    <n v="623.66"/>
    <n v="850.31999999999994"/>
  </r>
  <r>
    <s v="TXN200025"/>
    <x v="21"/>
    <s v="2025-01-20"/>
    <x v="1"/>
    <x v="1"/>
    <s v="Target Direct Online"/>
    <n v="910.95"/>
    <n v="1133.02"/>
    <n v="222.07"/>
    <n v="889.39"/>
    <n v="910.95"/>
  </r>
  <r>
    <s v="TXN200026"/>
    <x v="22"/>
    <s v="2025-08-23"/>
    <x v="0"/>
    <x v="5"/>
    <s v="Internal P2P Route"/>
    <n v="372.66"/>
    <n v="445"/>
    <n v="-66.75"/>
    <n v="337.75"/>
    <n v="511.75"/>
  </r>
  <r>
    <s v="TXN200027"/>
    <x v="23"/>
    <s v="2025-07-16"/>
    <x v="1"/>
    <x v="1"/>
    <s v="Amazon Digital Supply"/>
    <n v="465.17"/>
    <n v="591.79999999999995"/>
    <n v="126.63"/>
    <n v="473.28"/>
    <n v="465.16999999999996"/>
  </r>
  <r>
    <s v="TXN200028"/>
    <x v="24"/>
    <s v="2025-12-05"/>
    <x v="0"/>
    <x v="1"/>
    <s v="Ebay International"/>
    <n v="878.04"/>
    <n v="1159.96"/>
    <n v="-173.99"/>
    <n v="865.19"/>
    <n v="1333.95"/>
  </r>
  <r>
    <s v="TXN200029"/>
    <x v="20"/>
    <s v="2025-09-07"/>
    <x v="0"/>
    <x v="2"/>
    <s v="Whole Foods Store"/>
    <n v="637.79999999999995"/>
    <n v="742.06"/>
    <n v="-111.31"/>
    <n v="594.55999999999995"/>
    <n v="853.36999999999989"/>
  </r>
  <r>
    <s v="TXN200030"/>
    <x v="25"/>
    <s v="2025-11-17"/>
    <x v="0"/>
    <x v="4"/>
    <s v="Mcdonalds Corp Express"/>
    <n v="1133.3699999999999"/>
    <n v="1372.11"/>
    <n v="-205.82"/>
    <n v="1066.43"/>
    <n v="1577.9299999999998"/>
  </r>
  <r>
    <s v="TXN200031"/>
    <x v="26"/>
    <s v="2025-11-15"/>
    <x v="0"/>
    <x v="3"/>
    <s v="Stark Retail Labs"/>
    <n v="1219.4163333333336"/>
    <n v="121.8"/>
    <n v="-18.27"/>
    <n v="100.37"/>
    <n v="140.07"/>
  </r>
  <r>
    <s v="TXN200032"/>
    <x v="27"/>
    <s v="2025-04-30"/>
    <x v="0"/>
    <x v="6"/>
    <s v="Amc Cinema Network"/>
    <n v="1095.26"/>
    <n v="1274.47"/>
    <n v="-191.17"/>
    <n v="1229.27"/>
    <n v="1465.64"/>
  </r>
  <r>
    <s v="TXN200033"/>
    <x v="18"/>
    <s v="2025-03-23"/>
    <x v="1"/>
    <x v="4"/>
    <s v="Olive Garden Gourmet"/>
    <n v="686.79"/>
    <n v="940.71"/>
    <n v="253.92"/>
    <n v="820.01"/>
    <n v="686.79000000000008"/>
  </r>
  <r>
    <s v="TXN200034"/>
    <x v="28"/>
    <s v="2025-01-27"/>
    <x v="1"/>
    <x v="5"/>
    <s v="External Wire Clearance"/>
    <n v="189.72"/>
    <n v="241.89"/>
    <n v="52.17"/>
    <n v="188.11"/>
    <n v="189.71999999999997"/>
  </r>
  <r>
    <s v="TXN200035"/>
    <x v="29"/>
    <s v="2025-09-04"/>
    <x v="1"/>
    <x v="2"/>
    <s v="Whole Foods Store"/>
    <n v="103.46"/>
    <n v="1420.2638235294123"/>
    <n v="22.01"/>
    <n v="113.87"/>
    <n v="1398.2538235294123"/>
  </r>
  <r>
    <s v="TXN200036"/>
    <x v="30"/>
    <s v="17/05/2025"/>
    <x v="1"/>
    <x v="6"/>
    <s v="Netflix Streaming Premium"/>
    <n v="1038.3"/>
    <n v="1300.33"/>
    <n v="262.02999999999997"/>
    <n v="1133.24"/>
    <n v="1038.3"/>
  </r>
  <r>
    <s v="TXN200037"/>
    <x v="31"/>
    <s v="2025-10-25"/>
    <x v="0"/>
    <x v="1"/>
    <s v="Target Direct Online"/>
    <n v="282.83"/>
    <n v="346.58"/>
    <n v="-51.99"/>
    <n v="335.75"/>
    <n v="398.57"/>
  </r>
  <r>
    <s v="TXN200038"/>
    <x v="32"/>
    <s v="2025-03-22"/>
    <x v="1"/>
    <x v="6"/>
    <s v="Netflix Streaming Premium"/>
    <n v="640.4"/>
    <n v="868.35"/>
    <n v="227.95"/>
    <n v="726.25"/>
    <n v="640.40000000000009"/>
  </r>
  <r>
    <s v="TXN200039"/>
    <x v="1"/>
    <s v="2025-10-23"/>
    <x v="1"/>
    <x v="2"/>
    <s v="Supermart Marketplace"/>
    <n v="1082.23"/>
    <n v="1461.75"/>
    <n v="379.52"/>
    <n v="1102.7"/>
    <n v="1082.23"/>
  </r>
  <r>
    <s v="TXN200040"/>
    <x v="13"/>
    <s v="2025-03-07"/>
    <x v="0"/>
    <x v="3"/>
    <s v="Stark Retail Labs"/>
    <n v="7381.28"/>
    <n v="9756.2099999999991"/>
    <n v="-1463.43"/>
    <n v="7096.85"/>
    <n v="11219.64"/>
  </r>
  <r>
    <s v="TXN200041"/>
    <x v="33"/>
    <s v="2025-03-30"/>
    <x v="1"/>
    <x v="0"/>
    <s v="Metropolitan Water Sewer"/>
    <n v="612.38"/>
    <n v="826.06"/>
    <n v="213.68"/>
    <n v="668.94"/>
    <n v="612.37999999999988"/>
  </r>
  <r>
    <s v="TXN200042"/>
    <x v="34"/>
    <s v="2025-03-19"/>
    <x v="1"/>
    <x v="5"/>
    <s v="External Wire Clearance"/>
    <n v="602.71"/>
    <n v="807.39"/>
    <n v="204.68"/>
    <n v="657.35"/>
    <n v="602.71"/>
  </r>
  <r>
    <s v="TXN200043"/>
    <x v="14"/>
    <s v="2025-08-04"/>
    <x v="0"/>
    <x v="1"/>
    <s v="Target Direct Online"/>
    <n v="839.49"/>
    <n v="1038.4000000000001"/>
    <n v="-155.76"/>
    <n v="765.46"/>
    <n v="1194.1600000000001"/>
  </r>
  <r>
    <s v="TXN200044"/>
    <x v="4"/>
    <s v="2025-02-05"/>
    <x v="1"/>
    <x v="3"/>
    <s v="Global Industries Llc"/>
    <n v="5226.95"/>
    <n v="7054.36"/>
    <n v="1827.41"/>
    <n v="4977.54"/>
    <n v="5226.95"/>
  </r>
  <r>
    <s v="TXN200045"/>
    <x v="35"/>
    <s v="2025-05-27"/>
    <x v="0"/>
    <x v="5"/>
    <s v="Zelle Payment Engine"/>
    <n v="856.89"/>
    <n v="1061.83"/>
    <n v="-159.27000000000001"/>
    <n v="929.66"/>
    <n v="1221.0999999999999"/>
  </r>
  <r>
    <s v="TXN200046"/>
    <x v="36"/>
    <s v="2025-11-01"/>
    <x v="0"/>
    <x v="1"/>
    <s v="Target Direct Online"/>
    <n v="187.47"/>
    <n v="247.07"/>
    <n v="-37.06"/>
    <n v="197.85"/>
    <n v="284.13"/>
  </r>
  <r>
    <s v="TXN200047"/>
    <x v="37"/>
    <s v="2025-01-13"/>
    <x v="0"/>
    <x v="1"/>
    <s v="Amazon Digital Supply"/>
    <n v="406.95"/>
    <n v="485.37"/>
    <n v="-72.81"/>
    <n v="485.2"/>
    <n v="558.18000000000006"/>
  </r>
  <r>
    <s v="TXN200048"/>
    <x v="38"/>
    <s v="2025-05-20"/>
    <x v="1"/>
    <x v="1"/>
    <s v="Amazon Digital Supply"/>
    <n v="300.83"/>
    <n v="348.51"/>
    <n v="47.68"/>
    <n v="271.29000000000002"/>
    <n v="300.83"/>
  </r>
  <r>
    <s v="TXN200049"/>
    <x v="39"/>
    <s v="2025-06-25"/>
    <x v="1"/>
    <x v="0"/>
    <s v="Metropolitan Water Sewer"/>
    <n v="1139.92"/>
    <n v="1517.98"/>
    <n v="378.06"/>
    <n v="1049.77"/>
    <n v="1139.92"/>
  </r>
  <r>
    <s v="TXN200050"/>
    <x v="33"/>
    <s v="2025-02-07"/>
    <x v="0"/>
    <x v="2"/>
    <s v="Supermart Marketplace"/>
    <n v="594.03"/>
    <n v="699.49"/>
    <n v="-104.92"/>
    <n v="627.42999999999995"/>
    <n v="804.41"/>
  </r>
  <r>
    <s v="TXN200051"/>
    <x v="40"/>
    <s v="2025-04-07"/>
    <x v="0"/>
    <x v="5"/>
    <s v="External Wire Clearance"/>
    <n v="204.97"/>
    <n v="250.26"/>
    <n v="-37.54"/>
    <n v="237.92"/>
    <n v="287.8"/>
  </r>
  <r>
    <s v="TXN200052"/>
    <x v="29"/>
    <s v="2025-04-13"/>
    <x v="0"/>
    <x v="3"/>
    <s v="Stark Retail Labs"/>
    <n v="5922.17"/>
    <n v="7709.52"/>
    <n v="-1156.43"/>
    <n v="6487.1"/>
    <n v="8865.9500000000007"/>
  </r>
  <r>
    <s v="TXN200053"/>
    <x v="41"/>
    <s v="2025-09-29"/>
    <x v="1"/>
    <x v="4"/>
    <s v="Starbucks Hub Cafe"/>
    <n v="588.09"/>
    <n v="783.59"/>
    <n v="195.5"/>
    <n v="555.89"/>
    <n v="588.09"/>
  </r>
  <r>
    <s v="TXN200054"/>
    <x v="40"/>
    <s v="2025-09-14"/>
    <x v="1"/>
    <x v="5"/>
    <s v="Internal P2P Route"/>
    <n v="499.91"/>
    <n v="641.9"/>
    <n v="141.99"/>
    <n v="518.9"/>
    <n v="499.90999999999997"/>
  </r>
  <r>
    <s v="TXN200055"/>
    <x v="29"/>
    <s v="2025-05-11"/>
    <x v="0"/>
    <x v="6"/>
    <s v="Netflix Streaming Premium"/>
    <n v="808.68"/>
    <n v="966.99"/>
    <n v="-145.05000000000001"/>
    <n v="776.25"/>
    <n v="1112.04"/>
  </r>
  <r>
    <s v="TXN200056"/>
    <x v="42"/>
    <s v="2025-11-24"/>
    <x v="1"/>
    <x v="2"/>
    <s v="Whole Foods Store"/>
    <n v="296.45999999999998"/>
    <n v="347.06"/>
    <n v="50.6"/>
    <n v="271.08999999999997"/>
    <n v="296.45999999999998"/>
  </r>
  <r>
    <s v="TXN200057"/>
    <x v="43"/>
    <s v="2025-10-13"/>
    <x v="0"/>
    <x v="3"/>
    <s v="Stark Retail Labs"/>
    <n v="8220.42"/>
    <n v="9951.33"/>
    <n v="-1492.7"/>
    <n v="8123.23"/>
    <n v="11444.03"/>
  </r>
  <r>
    <s v="TXN200058"/>
    <x v="44"/>
    <s v="2025-05-21"/>
    <x v="1"/>
    <x v="5"/>
    <s v="Internal P2P Route"/>
    <n v="158.06"/>
    <n v="184.47"/>
    <n v="26.41"/>
    <n v="183.81"/>
    <n v="158.06"/>
  </r>
  <r>
    <s v="TXN200059"/>
    <x v="45"/>
    <s v="2025-05-26"/>
    <x v="1"/>
    <x v="6"/>
    <s v="Netflix Streaming Premium"/>
    <n v="167.65"/>
    <n v="216.12"/>
    <n v="48.47"/>
    <n v="175.86"/>
    <n v="167.65"/>
  </r>
  <r>
    <s v="TXN200060"/>
    <x v="46"/>
    <s v="2025-06-18"/>
    <x v="1"/>
    <x v="6"/>
    <s v="Amc Cinema Network"/>
    <n v="699.8"/>
    <n v="931.41"/>
    <n v="231.61"/>
    <n v="679.72"/>
    <n v="699.8"/>
  </r>
  <r>
    <s v="TXN200061"/>
    <x v="47"/>
    <s v="2025-08-06"/>
    <x v="0"/>
    <x v="6"/>
    <s v="Netflix Streaming Premium"/>
    <n v="981.8"/>
    <n v="1177.1300000000001"/>
    <n v="-176.57"/>
    <n v="1114.22"/>
    <n v="1353.7"/>
  </r>
  <r>
    <s v="TXN200062"/>
    <x v="48"/>
    <s v="2025-10-06"/>
    <x v="0"/>
    <x v="3"/>
    <s v="Global Industries Llc"/>
    <n v="5950.68"/>
    <n v="7219.95"/>
    <n v="-1082.99"/>
    <n v="5792.42"/>
    <n v="8302.94"/>
  </r>
  <r>
    <s v="TXN200063"/>
    <x v="49"/>
    <s v="2025-09-26"/>
    <x v="1"/>
    <x v="1"/>
    <s v="Amazon Digital Supply"/>
    <n v="910.02"/>
    <n v="1166.1500000000001"/>
    <n v="256.13"/>
    <n v="1032.0899999999999"/>
    <n v="910.0200000000001"/>
  </r>
  <r>
    <s v="TXN200064"/>
    <x v="50"/>
    <s v="2025-06-21"/>
    <x v="0"/>
    <x v="2"/>
    <s v="Fresh &amp; Fast Logistics"/>
    <n v="1138.1400000000001"/>
    <n v="1508.39"/>
    <n v="-226.26"/>
    <n v="1340.26"/>
    <n v="1734.65"/>
  </r>
  <r>
    <s v="TXN200065"/>
    <x v="51"/>
    <s v="2025-04-02"/>
    <x v="0"/>
    <x v="3"/>
    <s v="Stark Retail Labs"/>
    <n v="7654.98"/>
    <n v="9831.4699999999993"/>
    <n v="-1474.72"/>
    <n v="8743.2199999999993"/>
    <n v="11306.189999999999"/>
  </r>
  <r>
    <s v="TXN200066"/>
    <x v="52"/>
    <s v="2025-02-03"/>
    <x v="1"/>
    <x v="5"/>
    <s v="External Wire Clearance"/>
    <n v="694.02"/>
    <n v="967.83"/>
    <n v="273.81"/>
    <n v="625.45000000000005"/>
    <n v="694.02"/>
  </r>
  <r>
    <s v="TXN200067"/>
    <x v="38"/>
    <s v="2025-01-09"/>
    <x v="0"/>
    <x v="1"/>
    <s v="Ebay International"/>
    <n v="1171.03"/>
    <n v="1490.89"/>
    <n v="-223.63"/>
    <n v="1133.21"/>
    <n v="1714.52"/>
  </r>
  <r>
    <s v="TXN200068"/>
    <x v="53"/>
    <s v="2025-05-22"/>
    <x v="0"/>
    <x v="6"/>
    <s v="Spotify Music Hub"/>
    <n v="839.82"/>
    <n v="1098.96"/>
    <n v="-44.182985074626863"/>
    <n v="929.12"/>
    <n v="1143.1429850746269"/>
  </r>
  <r>
    <s v="TXN200069"/>
    <x v="53"/>
    <s v="2025-12-11"/>
    <x v="1"/>
    <x v="2"/>
    <s v="Whole Foods Store"/>
    <n v="617.58000000000004"/>
    <n v="835.1"/>
    <n v="217.52"/>
    <n v="573.22"/>
    <n v="617.58000000000004"/>
  </r>
  <r>
    <s v="TXN200070"/>
    <x v="48"/>
    <s v="2025-07-09"/>
    <x v="0"/>
    <x v="6"/>
    <s v="Netflix Streaming Premium"/>
    <n v="171.76"/>
    <n v="236.98"/>
    <n v="-35.549999999999997"/>
    <n v="185.16"/>
    <n v="272.52999999999997"/>
  </r>
  <r>
    <s v="TXN200071"/>
    <x v="5"/>
    <s v="2025-10-15"/>
    <x v="0"/>
    <x v="6"/>
    <s v="Amc Cinema Network"/>
    <n v="378.35"/>
    <n v="484.23"/>
    <n v="-72.63"/>
    <n v="353.95"/>
    <n v="556.86"/>
  </r>
  <r>
    <s v="TXN200072"/>
    <x v="54"/>
    <s v="2025-06-16"/>
    <x v="1"/>
    <x v="5"/>
    <s v="External Wire Clearance"/>
    <n v="1027.06"/>
    <n v="1263.48"/>
    <n v="236.42"/>
    <n v="1039.8800000000001"/>
    <n v="1027.06"/>
  </r>
  <r>
    <s v="TXN200073"/>
    <x v="55"/>
    <s v="2025-09-22"/>
    <x v="0"/>
    <x v="4"/>
    <s v="Olive Garden Gourmet"/>
    <n v="1162.17"/>
    <n v="1459.38"/>
    <n v="-218.91"/>
    <n v="1173.9000000000001"/>
    <n v="1678.2900000000002"/>
  </r>
  <r>
    <s v="TXN200074"/>
    <x v="56"/>
    <s v="2025-09-05"/>
    <x v="0"/>
    <x v="3"/>
    <s v="Stark Retail Labs"/>
    <n v="4397.12"/>
    <n v="5162.83"/>
    <n v="-774.42"/>
    <n v="4591.32"/>
    <n v="5937.25"/>
  </r>
  <r>
    <s v="TXN200075"/>
    <x v="57"/>
    <s v="24/04/2025"/>
    <x v="1"/>
    <x v="2"/>
    <s v="Fresh &amp; Fast Logistics"/>
    <n v="602.55999999999995"/>
    <n v="825.13"/>
    <n v="222.57"/>
    <n v="588.21"/>
    <n v="602.55999999999995"/>
  </r>
  <r>
    <s v="TXN200076"/>
    <x v="58"/>
    <s v="2025-01-18"/>
    <x v="1"/>
    <x v="4"/>
    <s v="Olive Garden Gourmet"/>
    <n v="600.04999999999995"/>
    <n v="814.45"/>
    <n v="214.4"/>
    <n v="716.7"/>
    <n v="600.05000000000007"/>
  </r>
  <r>
    <s v="TXN200077"/>
    <x v="48"/>
    <s v="2025-03-11"/>
    <x v="1"/>
    <x v="6"/>
    <s v="Netflix Streaming Premium"/>
    <n v="216.63"/>
    <n v="287.18"/>
    <n v="70.55"/>
    <n v="230.03"/>
    <n v="216.63"/>
  </r>
  <r>
    <s v="TXN200078"/>
    <x v="59"/>
    <s v="2025-06-01"/>
    <x v="0"/>
    <x v="6"/>
    <s v="Netflix Streaming Premium"/>
    <n v="501.53"/>
    <n v="653.67999999999995"/>
    <n v="-98.05"/>
    <n v="594.04"/>
    <n v="751.7299999999999"/>
  </r>
  <r>
    <s v="TXN200079"/>
    <x v="48"/>
    <s v="2025-07-08"/>
    <x v="0"/>
    <x v="5"/>
    <s v="External Wire Clearance"/>
    <n v="212.62"/>
    <n v="283.29000000000002"/>
    <n v="-42.49"/>
    <n v="249.41"/>
    <n v="325.78000000000003"/>
  </r>
  <r>
    <s v="TXN200080"/>
    <x v="60"/>
    <s v="2025-09-15"/>
    <x v="1"/>
    <x v="5"/>
    <s v="Zelle Payment Engine"/>
    <n v="509.28"/>
    <n v="637.9"/>
    <n v="128.62"/>
    <n v="469.11"/>
    <n v="509.28"/>
  </r>
  <r>
    <s v="TXN200081"/>
    <x v="22"/>
    <s v="2025-11-17"/>
    <x v="0"/>
    <x v="1"/>
    <s v="Ebay International"/>
    <n v="1178.42"/>
    <n v="1363.1"/>
    <n v="-204.46"/>
    <n v="1140.98"/>
    <n v="1567.56"/>
  </r>
  <r>
    <s v="TXN200082"/>
    <x v="61"/>
    <s v="2025-09-10"/>
    <x v="1"/>
    <x v="4"/>
    <s v="Olive Garden Gourmet"/>
    <n v="1083.47"/>
    <n v="1381.74"/>
    <n v="298.27"/>
    <n v="1130.3599999999999"/>
    <n v="1083.47"/>
  </r>
  <r>
    <s v="TXN200083"/>
    <x v="21"/>
    <s v="2025-03-24"/>
    <x v="1"/>
    <x v="2"/>
    <s v="Supermart Marketplace"/>
    <n v="68.66"/>
    <n v="85.02"/>
    <n v="16.36"/>
    <n v="69.25"/>
    <n v="68.66"/>
  </r>
  <r>
    <s v="TXN200084"/>
    <x v="62"/>
    <s v="2025-10-26"/>
    <x v="1"/>
    <x v="2"/>
    <s v="Fresh &amp; Fast Logistics"/>
    <n v="504.94"/>
    <n v="582.02"/>
    <n v="77.08"/>
    <n v="595.73"/>
    <n v="504.94"/>
  </r>
  <r>
    <s v="TXN200085"/>
    <x v="63"/>
    <s v="2025-05-26"/>
    <x v="0"/>
    <x v="6"/>
    <s v="Amc Cinema Network"/>
    <n v="643.58000000000004"/>
    <n v="831.12"/>
    <n v="-124.67"/>
    <n v="661.41"/>
    <n v="955.79"/>
  </r>
  <r>
    <s v="TXN200086"/>
    <x v="64"/>
    <s v="2025-08-17"/>
    <x v="1"/>
    <x v="3"/>
    <s v="Stark Retail Labs"/>
    <n v="7836.93"/>
    <n v="10463.299999999999"/>
    <n v="2626.37"/>
    <n v="7901.05"/>
    <n v="7836.9299999999994"/>
  </r>
  <r>
    <s v="TXN200087"/>
    <x v="8"/>
    <s v="2025-07-18"/>
    <x v="0"/>
    <x v="5"/>
    <s v="Zelle Payment Engine"/>
    <n v="988.89"/>
    <n v="1163.1500000000001"/>
    <n v="-174.47"/>
    <n v="1107.17"/>
    <n v="1337.6200000000001"/>
  </r>
  <r>
    <s v="TXN200088"/>
    <x v="19"/>
    <s v="2025-03-11"/>
    <x v="0"/>
    <x v="5"/>
    <s v="Zelle Payment Engine"/>
    <n v="1118.08"/>
    <n v="1304.02"/>
    <n v="-195.6"/>
    <n v="1032.93"/>
    <n v="1499.62"/>
  </r>
  <r>
    <s v="TXN200089"/>
    <x v="65"/>
    <s v="2025-05-06"/>
    <x v="0"/>
    <x v="4"/>
    <s v="Starbucks Hub Cafe"/>
    <n v="667.25"/>
    <n v="887.17"/>
    <n v="-133.08000000000001"/>
    <n v="748.3"/>
    <n v="1020.25"/>
  </r>
  <r>
    <s v="TXN200090"/>
    <x v="2"/>
    <s v="2025-01-19"/>
    <x v="1"/>
    <x v="4"/>
    <s v="Olive Garden Gourmet"/>
    <n v="524.34"/>
    <n v="604.51"/>
    <n v="80.17"/>
    <n v="556.99"/>
    <n v="524.34"/>
  </r>
  <r>
    <s v="TXN200091"/>
    <x v="43"/>
    <s v="2025-07-01"/>
    <x v="1"/>
    <x v="5"/>
    <s v="Zelle Payment Engine"/>
    <n v="138.19"/>
    <n v="172.88"/>
    <n v="34.69"/>
    <n v="124.86"/>
    <n v="138.19"/>
  </r>
  <r>
    <s v="TXN200092"/>
    <x v="43"/>
    <s v="2025-02-15"/>
    <x v="0"/>
    <x v="3"/>
    <s v="Stark Retail Labs"/>
    <n v="7077.71"/>
    <n v="9339.86"/>
    <n v="-1400.98"/>
    <n v="6915.55"/>
    <n v="10740.84"/>
  </r>
  <r>
    <s v="TXN200093"/>
    <x v="28"/>
    <s v="2025-06-28"/>
    <x v="0"/>
    <x v="1"/>
    <s v="Target Direct Online"/>
    <n v="877.02"/>
    <n v="1072.52"/>
    <n v="-160.88"/>
    <n v="954.45"/>
    <n v="1233.4000000000001"/>
  </r>
  <r>
    <s v="TXN200094"/>
    <x v="54"/>
    <s v="2025-02-12"/>
    <x v="0"/>
    <x v="5"/>
    <s v="Internal P2P Route"/>
    <n v="17.399999999999999"/>
    <n v="21.29"/>
    <n v="-3.19"/>
    <n v="18.47"/>
    <n v="24.48"/>
  </r>
  <r>
    <s v="TXN200095"/>
    <x v="17"/>
    <s v="2025-02-27"/>
    <x v="0"/>
    <x v="1"/>
    <s v="Target Direct Online"/>
    <n v="22.11"/>
    <n v="29.11"/>
    <n v="-4.37"/>
    <n v="25.89"/>
    <n v="33.479999999999997"/>
  </r>
  <r>
    <s v="TXN200096"/>
    <x v="32"/>
    <s v="2025-04-28"/>
    <x v="0"/>
    <x v="1"/>
    <s v="Amazon Digital Supply"/>
    <n v="836.38"/>
    <n v="1059.04"/>
    <n v="-158.86000000000001"/>
    <n v="1003.13"/>
    <n v="1217.9000000000001"/>
  </r>
  <r>
    <s v="TXN200097"/>
    <x v="66"/>
    <s v="2025-07-20"/>
    <x v="0"/>
    <x v="1"/>
    <s v="Target Direct Online"/>
    <n v="191.06"/>
    <n v="219.87"/>
    <n v="-32.979999999999997"/>
    <n v="199.5"/>
    <n v="252.85"/>
  </r>
  <r>
    <s v="TXN200098"/>
    <x v="34"/>
    <s v="26/01/2025"/>
    <x v="0"/>
    <x v="1"/>
    <s v="Amazon Digital Supply"/>
    <n v="36.090000000000003"/>
    <n v="42.9"/>
    <n v="-6.43"/>
    <n v="40.270000000000003"/>
    <n v="49.33"/>
  </r>
  <r>
    <s v="TXN200099"/>
    <x v="56"/>
    <s v="2025-08-15"/>
    <x v="1"/>
    <x v="5"/>
    <s v="Internal P2P Route"/>
    <n v="318.33"/>
    <n v="385.21"/>
    <n v="66.88"/>
    <n v="369.8"/>
    <n v="318.33"/>
  </r>
  <r>
    <s v="TXN200100"/>
    <x v="67"/>
    <s v="2025-05-09"/>
    <x v="0"/>
    <x v="6"/>
    <s v="Spotify Music Hub"/>
    <n v="972.48"/>
    <n v="1151.8800000000001"/>
    <n v="-172.78"/>
    <n v="1139.21"/>
    <n v="1324.66"/>
  </r>
  <r>
    <s v="TXN200101"/>
    <x v="68"/>
    <s v="28/08/2025"/>
    <x v="1"/>
    <x v="5"/>
    <s v="External Wire Clearance"/>
    <n v="775.78"/>
    <n v="1073.77"/>
    <n v="297.99"/>
    <n v="762.83"/>
    <n v="775.78"/>
  </r>
  <r>
    <s v="TXN200102"/>
    <x v="69"/>
    <s v="2025-03-02"/>
    <x v="0"/>
    <x v="2"/>
    <s v="Supermart Marketplace"/>
    <n v="274.52"/>
    <n v="371.45"/>
    <n v="-55.72"/>
    <n v="270.39999999999998"/>
    <n v="427.16999999999996"/>
  </r>
  <r>
    <s v="TXN200103"/>
    <x v="34"/>
    <s v="2025-08-09"/>
    <x v="0"/>
    <x v="6"/>
    <s v="Amc Cinema Network"/>
    <n v="607.16"/>
    <n v="825.93"/>
    <n v="-123.89"/>
    <n v="697.65"/>
    <n v="949.81999999999994"/>
  </r>
  <r>
    <s v="TXN200104"/>
    <x v="70"/>
    <s v="2025-12-06"/>
    <x v="1"/>
    <x v="6"/>
    <s v="Amc Cinema Network"/>
    <n v="597.12"/>
    <n v="723.99"/>
    <n v="126.87"/>
    <n v="569.04"/>
    <n v="597.12"/>
  </r>
  <r>
    <s v="TXN200105"/>
    <x v="46"/>
    <s v="2025-02-07"/>
    <x v="1"/>
    <x v="0"/>
    <s v="State Hydro Grid"/>
    <n v="1035.31"/>
    <n v="1371.11"/>
    <n v="335.8"/>
    <n v="1171.1300000000001"/>
    <n v="1035.31"/>
  </r>
  <r>
    <s v="TXN200106"/>
    <x v="71"/>
    <s v="2025-02-15"/>
    <x v="0"/>
    <x v="2"/>
    <s v="Supermart Marketplace"/>
    <n v="293.99"/>
    <n v="352.6"/>
    <n v="-52.89"/>
    <n v="328.61"/>
    <n v="405.49"/>
  </r>
  <r>
    <s v="TXN200107"/>
    <x v="72"/>
    <s v="21/01/2025"/>
    <x v="0"/>
    <x v="0"/>
    <s v="City Power &amp; Gas Co"/>
    <n v="858.16"/>
    <n v="1058.8599999999999"/>
    <n v="-158.83000000000001"/>
    <n v="1013.52"/>
    <n v="1217.6899999999998"/>
  </r>
  <r>
    <s v="TXN200108"/>
    <x v="25"/>
    <s v="2025-06-28"/>
    <x v="1"/>
    <x v="2"/>
    <s v="Fresh &amp; Fast Logistics"/>
    <n v="42.92"/>
    <n v="55.8"/>
    <n v="12.88"/>
    <n v="47.99"/>
    <n v="42.919999999999995"/>
  </r>
  <r>
    <s v="TXN200109"/>
    <x v="6"/>
    <s v="2025-10-31"/>
    <x v="0"/>
    <x v="5"/>
    <s v="External Wire Clearance"/>
    <n v="999.75"/>
    <n v="1420.2638235294123"/>
    <n v="-206.75"/>
    <n v="1024.3"/>
    <n v="1627.0138235294123"/>
  </r>
  <r>
    <s v="TXN200110"/>
    <x v="73"/>
    <s v="2025-02-17"/>
    <x v="0"/>
    <x v="3"/>
    <s v="Global Industries Llc"/>
    <n v="9276.6299999999992"/>
    <n v="11020.52"/>
    <n v="-1653.08"/>
    <n v="10676.28"/>
    <n v="12673.6"/>
  </r>
  <r>
    <s v="TXN200111"/>
    <x v="45"/>
    <s v="2025-05-26"/>
    <x v="0"/>
    <x v="0"/>
    <s v="City Power &amp; Gas Co"/>
    <n v="18.36"/>
    <n v="24.44"/>
    <n v="-3.67"/>
    <n v="20.38"/>
    <n v="28.11"/>
  </r>
  <r>
    <s v="TXN200112"/>
    <x v="11"/>
    <s v="2025-11-13"/>
    <x v="0"/>
    <x v="2"/>
    <s v="Supermart Marketplace"/>
    <n v="886.44"/>
    <n v="1169.2"/>
    <n v="-175.38"/>
    <n v="824.26"/>
    <n v="1344.58"/>
  </r>
  <r>
    <s v="TXN200113"/>
    <x v="64"/>
    <s v="2025-08-29"/>
    <x v="1"/>
    <x v="1"/>
    <s v="Amazon Digital Supply"/>
    <n v="1125.46"/>
    <n v="1512.57"/>
    <n v="387.11"/>
    <n v="1137.97"/>
    <n v="1125.46"/>
  </r>
  <r>
    <s v="TXN200114"/>
    <x v="59"/>
    <s v="2025-10-20"/>
    <x v="0"/>
    <x v="3"/>
    <s v="Global Industries Llc"/>
    <n v="7606.6"/>
    <n v="9642.1"/>
    <n v="-1446.32"/>
    <n v="7397.25"/>
    <n v="11088.42"/>
  </r>
  <r>
    <s v="TXN200115"/>
    <x v="74"/>
    <s v="2025-10-25"/>
    <x v="1"/>
    <x v="4"/>
    <s v="Mcdonalds Corp Express"/>
    <n v="249.89"/>
    <n v="313.18"/>
    <n v="63.29"/>
    <n v="266.27999999999997"/>
    <n v="249.89000000000001"/>
  </r>
  <r>
    <s v="TXN200116"/>
    <x v="75"/>
    <s v="2025-06-19"/>
    <x v="1"/>
    <x v="1"/>
    <s v="Amazon Digital Supply"/>
    <n v="289.27999999999997"/>
    <n v="399.35"/>
    <n v="110.07"/>
    <n v="338.34"/>
    <n v="289.28000000000003"/>
  </r>
  <r>
    <s v="TXN200117"/>
    <x v="15"/>
    <s v="2025-03-30"/>
    <x v="1"/>
    <x v="0"/>
    <s v="City Power &amp; Gas Co"/>
    <n v="1043.3900000000001"/>
    <n v="1270.08"/>
    <n v="226.69"/>
    <n v="1056.8"/>
    <n v="1043.3899999999999"/>
  </r>
  <r>
    <s v="TXN200118"/>
    <x v="2"/>
    <s v="2025-06-05"/>
    <x v="0"/>
    <x v="1"/>
    <s v="Amazon Digital Supply"/>
    <n v="1024.26"/>
    <n v="1293.48"/>
    <n v="-194.02"/>
    <n v="1184.25"/>
    <n v="1487.5"/>
  </r>
  <r>
    <s v="TXN200119"/>
    <x v="4"/>
    <s v="2025-09-06"/>
    <x v="1"/>
    <x v="5"/>
    <s v="Zelle Payment Engine"/>
    <n v="1059.55"/>
    <n v="1481.94"/>
    <n v="422.39"/>
    <n v="1261.1199999999999"/>
    <n v="1059.5500000000002"/>
  </r>
  <r>
    <s v="TXN200120"/>
    <x v="64"/>
    <s v="2025-04-30"/>
    <x v="0"/>
    <x v="0"/>
    <s v="Metropolitan Water Sewer"/>
    <n v="122.32"/>
    <n v="152.33000000000001"/>
    <n v="-22.85"/>
    <n v="122.1"/>
    <n v="175.18"/>
  </r>
  <r>
    <s v="TXN200121"/>
    <x v="52"/>
    <s v="2025-05-03"/>
    <x v="1"/>
    <x v="2"/>
    <s v="Whole Foods Store"/>
    <n v="726.16"/>
    <n v="1011.53"/>
    <n v="285.37"/>
    <n v="808.53"/>
    <n v="726.16"/>
  </r>
  <r>
    <s v="TXN200122"/>
    <x v="50"/>
    <s v="2025-09-29"/>
    <x v="0"/>
    <x v="1"/>
    <s v="Amazon Digital Supply"/>
    <n v="39.29"/>
    <n v="47.57"/>
    <n v="-7.14"/>
    <n v="46.59"/>
    <n v="54.71"/>
  </r>
  <r>
    <s v="TXN200123"/>
    <x v="76"/>
    <s v="2025-07-04"/>
    <x v="0"/>
    <x v="1"/>
    <s v="Target Direct Online"/>
    <n v="401"/>
    <n v="555.24"/>
    <n v="-83.29"/>
    <n v="438"/>
    <n v="638.53"/>
  </r>
  <r>
    <s v="TXN200124"/>
    <x v="77"/>
    <s v="2025-11-21"/>
    <x v="1"/>
    <x v="4"/>
    <s v="Olive Garden Gourmet"/>
    <n v="1102.43"/>
    <n v="1445.07"/>
    <n v="342.64"/>
    <n v="1003.95"/>
    <n v="1102.4299999999998"/>
  </r>
  <r>
    <s v="TXN200125"/>
    <x v="78"/>
    <s v="2025-06-01"/>
    <x v="1"/>
    <x v="3"/>
    <s v="Techcorp Payroll Inc"/>
    <n v="4997.32"/>
    <n v="6604.31"/>
    <n v="1606.99"/>
    <n v="4853.5600000000004"/>
    <n v="4997.3200000000006"/>
  </r>
  <r>
    <s v="TXN200126"/>
    <x v="18"/>
    <s v="2025-06-26"/>
    <x v="1"/>
    <x v="4"/>
    <s v="Olive Garden Gourmet"/>
    <n v="1132.31"/>
    <n v="1484.58"/>
    <n v="352.27"/>
    <n v="1035.1199999999999"/>
    <n v="1132.31"/>
  </r>
  <r>
    <s v="TXN200127"/>
    <x v="42"/>
    <s v="2025-08-11"/>
    <x v="1"/>
    <x v="0"/>
    <s v="State Hydro Grid"/>
    <n v="238.51"/>
    <n v="323.99"/>
    <n v="-44.182985074626863"/>
    <n v="265.52999999999997"/>
    <n v="368.17298507462687"/>
  </r>
  <r>
    <s v="TXN200128"/>
    <x v="49"/>
    <s v="2025-07-13"/>
    <x v="0"/>
    <x v="2"/>
    <s v="Whole Foods Store"/>
    <n v="188.53"/>
    <n v="245.73"/>
    <n v="-36.86"/>
    <n v="195.02"/>
    <n v="282.58999999999997"/>
  </r>
  <r>
    <s v="TXN200129"/>
    <x v="16"/>
    <s v="2025-02-17"/>
    <x v="0"/>
    <x v="6"/>
    <s v="Spotify Music Hub"/>
    <n v="479.3"/>
    <n v="634.08000000000004"/>
    <n v="-95.11"/>
    <n v="467.15"/>
    <n v="729.19"/>
  </r>
  <r>
    <s v="TXN200130"/>
    <x v="70"/>
    <s v="2025-07-16"/>
    <x v="1"/>
    <x v="2"/>
    <s v="Whole Foods Store"/>
    <n v="597.04"/>
    <n v="751.81"/>
    <n v="154.77000000000001"/>
    <n v="585.95000000000005"/>
    <n v="597.04"/>
  </r>
  <r>
    <s v="TXN200131"/>
    <x v="9"/>
    <s v="2025-07-30"/>
    <x v="0"/>
    <x v="0"/>
    <s v="State Hydro Grid"/>
    <n v="1163.19"/>
    <n v="1592.42"/>
    <n v="-238.86"/>
    <n v="1310.07"/>
    <n v="1831.2800000000002"/>
  </r>
  <r>
    <s v="TXN200132"/>
    <x v="67"/>
    <s v="2025-04-01"/>
    <x v="1"/>
    <x v="6"/>
    <s v="Netflix Streaming Premium"/>
    <n v="1219.4163333333336"/>
    <n v="117.79"/>
    <n v="17.79"/>
    <n v="109.43"/>
    <n v="100"/>
  </r>
  <r>
    <s v="TXN200133"/>
    <x v="59"/>
    <s v="2025-12-03"/>
    <x v="1"/>
    <x v="1"/>
    <s v="Amazon Digital Supply"/>
    <n v="893.54"/>
    <n v="1081.1300000000001"/>
    <n v="187.59"/>
    <n v="808.36"/>
    <n v="893.54000000000008"/>
  </r>
  <r>
    <s v="TXN200134"/>
    <x v="61"/>
    <s v="2025-06-01"/>
    <x v="1"/>
    <x v="0"/>
    <s v="State Hydro Grid"/>
    <n v="493.89"/>
    <n v="576.94000000000005"/>
    <n v="83.05"/>
    <n v="478.6"/>
    <n v="493.89000000000004"/>
  </r>
  <r>
    <s v="TXN200135"/>
    <x v="79"/>
    <s v="2025-09-30"/>
    <x v="1"/>
    <x v="6"/>
    <s v="Amc Cinema Network"/>
    <n v="57.51"/>
    <n v="74.39"/>
    <n v="16.88"/>
    <n v="68.72"/>
    <n v="57.510000000000005"/>
  </r>
  <r>
    <s v="TXN200136"/>
    <x v="80"/>
    <s v="2025-05-26"/>
    <x v="1"/>
    <x v="2"/>
    <s v="Fresh &amp; Fast Logistics"/>
    <n v="587.71"/>
    <n v="708.89"/>
    <n v="121.18"/>
    <n v="535.13"/>
    <n v="587.71"/>
  </r>
  <r>
    <s v="TXN200137"/>
    <x v="81"/>
    <s v="2025-04-08"/>
    <x v="0"/>
    <x v="0"/>
    <s v="Metropolitan Water Sewer"/>
    <n v="1034.3800000000001"/>
    <n v="1249.32"/>
    <n v="-187.4"/>
    <n v="1167.69"/>
    <n v="1436.72"/>
  </r>
  <r>
    <s v="TXN200138"/>
    <x v="43"/>
    <s v="2025-05-13"/>
    <x v="1"/>
    <x v="1"/>
    <s v="Ebay International"/>
    <n v="970.84"/>
    <n v="1223.2"/>
    <n v="252.36"/>
    <n v="915.16"/>
    <n v="970.84"/>
  </r>
  <r>
    <s v="TXN200139"/>
    <x v="38"/>
    <s v="2025-05-15"/>
    <x v="1"/>
    <x v="2"/>
    <s v="Whole Foods Store"/>
    <n v="190.79"/>
    <n v="238.65"/>
    <n v="47.86"/>
    <n v="179.24"/>
    <n v="190.79000000000002"/>
  </r>
  <r>
    <s v="TXN200140"/>
    <x v="78"/>
    <s v="2025-05-24"/>
    <x v="1"/>
    <x v="0"/>
    <s v="State Hydro Grid"/>
    <n v="439.85"/>
    <n v="562.89"/>
    <n v="123.04"/>
    <n v="459.56"/>
    <n v="439.84999999999997"/>
  </r>
  <r>
    <s v="TXN200141"/>
    <x v="82"/>
    <s v="2025-08-09"/>
    <x v="1"/>
    <x v="5"/>
    <s v="Internal P2P Route"/>
    <n v="36.11"/>
    <n v="48.88"/>
    <n v="12.77"/>
    <n v="38.409999999999997"/>
    <n v="36.11"/>
  </r>
  <r>
    <s v="TXN200142"/>
    <x v="83"/>
    <s v="2025-03-11"/>
    <x v="0"/>
    <x v="0"/>
    <s v="State Hydro Grid"/>
    <n v="1004.23"/>
    <n v="1319.49"/>
    <n v="-197.92"/>
    <n v="1201.54"/>
    <n v="1517.41"/>
  </r>
  <r>
    <s v="TXN200143"/>
    <x v="56"/>
    <s v="2025-03-21"/>
    <x v="0"/>
    <x v="1"/>
    <s v="Target Direct Online"/>
    <n v="868.23"/>
    <n v="1201.97"/>
    <n v="-180.3"/>
    <n v="923.48"/>
    <n v="1382.27"/>
  </r>
  <r>
    <s v="TXN200144"/>
    <x v="84"/>
    <s v="2025-12-29"/>
    <x v="0"/>
    <x v="6"/>
    <s v="Netflix Streaming Premium"/>
    <n v="1219.4163333333336"/>
    <n v="131.96"/>
    <n v="-19.79"/>
    <n v="105.12"/>
    <n v="151.75"/>
  </r>
  <r>
    <s v="TXN200145"/>
    <x v="81"/>
    <s v="05/03/2025"/>
    <x v="1"/>
    <x v="5"/>
    <s v="Internal P2P Route"/>
    <n v="596.29999999999995"/>
    <n v="738.5"/>
    <n v="142.19999999999999"/>
    <n v="699.83"/>
    <n v="596.29999999999995"/>
  </r>
  <r>
    <s v="TXN200146"/>
    <x v="85"/>
    <s v="2025-02-28"/>
    <x v="0"/>
    <x v="6"/>
    <s v="Spotify Music Hub"/>
    <n v="769.13"/>
    <n v="1016.94"/>
    <n v="-152.54"/>
    <n v="817.78"/>
    <n v="1169.48"/>
  </r>
  <r>
    <s v="TXN200147"/>
    <x v="86"/>
    <s v="07/03/2025"/>
    <x v="0"/>
    <x v="1"/>
    <s v="Target Direct Online"/>
    <n v="826.05"/>
    <n v="1143.29"/>
    <n v="-171.49"/>
    <n v="958.49"/>
    <n v="1314.78"/>
  </r>
  <r>
    <s v="TXN200148"/>
    <x v="87"/>
    <s v="13/08/2025"/>
    <x v="0"/>
    <x v="5"/>
    <s v="External Wire Clearance"/>
    <n v="765.93"/>
    <n v="998.17"/>
    <n v="-149.72999999999999"/>
    <n v="873.52"/>
    <n v="1147.8999999999999"/>
  </r>
  <r>
    <s v="TXN200149"/>
    <x v="68"/>
    <s v="2025-07-05"/>
    <x v="1"/>
    <x v="5"/>
    <s v="Internal P2P Route"/>
    <n v="119.61"/>
    <n v="166.21"/>
    <n v="46.6"/>
    <n v="113.76"/>
    <n v="119.61000000000001"/>
  </r>
  <r>
    <s v="TXN200150"/>
    <x v="88"/>
    <s v="2025-07-07"/>
    <x v="1"/>
    <x v="5"/>
    <s v="Zelle Payment Engine"/>
    <n v="980.55"/>
    <n v="1131.6600000000001"/>
    <n v="151.11000000000001"/>
    <n v="912.68"/>
    <n v="980.55000000000007"/>
  </r>
  <r>
    <s v="TXN200151"/>
    <x v="8"/>
    <s v="2025-07-15"/>
    <x v="0"/>
    <x v="2"/>
    <s v="Supermart Marketplace"/>
    <n v="861.39"/>
    <n v="1007.39"/>
    <n v="-151.11000000000001"/>
    <n v="975.26"/>
    <n v="1158.5"/>
  </r>
  <r>
    <s v="TXN200152"/>
    <x v="62"/>
    <s v="2025-02-05"/>
    <x v="1"/>
    <x v="2"/>
    <s v="Whole Foods Store"/>
    <n v="789.9"/>
    <n v="913.32"/>
    <n v="123.42"/>
    <n v="942.7"/>
    <n v="789.90000000000009"/>
  </r>
  <r>
    <s v="TXN200153"/>
    <x v="89"/>
    <s v="2025-02-04"/>
    <x v="0"/>
    <x v="3"/>
    <s v="Techcorp Payroll Inc"/>
    <n v="6077.11"/>
    <n v="8292.0499999999993"/>
    <n v="-1243.81"/>
    <n v="5786.53"/>
    <n v="9535.8599999999988"/>
  </r>
  <r>
    <s v="TXN200154"/>
    <x v="90"/>
    <s v="2025-03-08"/>
    <x v="1"/>
    <x v="6"/>
    <s v="Amc Cinema Network"/>
    <n v="978.98"/>
    <n v="1210.06"/>
    <n v="231.08"/>
    <n v="1120.3"/>
    <n v="978.9799999999999"/>
  </r>
  <r>
    <s v="TXN200155"/>
    <x v="47"/>
    <s v="2025-03-05"/>
    <x v="1"/>
    <x v="0"/>
    <s v="Metropolitan Water Sewer"/>
    <n v="405.49"/>
    <n v="1420.2638235294123"/>
    <n v="85.9"/>
    <n v="469.05"/>
    <n v="1334.3638235294122"/>
  </r>
  <r>
    <s v="TXN200156"/>
    <x v="1"/>
    <s v="2025-04-22"/>
    <x v="1"/>
    <x v="4"/>
    <s v="Olive Garden Gourmet"/>
    <n v="1062.83"/>
    <n v="1468.18"/>
    <n v="405.35"/>
    <n v="1180.93"/>
    <n v="1062.83"/>
  </r>
  <r>
    <s v="TXN200157"/>
    <x v="91"/>
    <s v="2025-05-08"/>
    <x v="1"/>
    <x v="5"/>
    <s v="Internal P2P Route"/>
    <n v="1219.4163333333336"/>
    <n v="131.19"/>
    <n v="31.19"/>
    <n v="93.17"/>
    <n v="100"/>
  </r>
  <r>
    <s v="TXN200158"/>
    <x v="25"/>
    <s v="2025-06-10"/>
    <x v="0"/>
    <x v="5"/>
    <s v="Internal P2P Route"/>
    <n v="947.27"/>
    <n v="1281.8499999999999"/>
    <n v="-192.28"/>
    <n v="860.21"/>
    <n v="1474.1299999999999"/>
  </r>
  <r>
    <s v="TXN200159"/>
    <x v="32"/>
    <s v="2025-01-22"/>
    <x v="1"/>
    <x v="0"/>
    <s v="City Power &amp; Gas Co"/>
    <n v="351.59"/>
    <n v="460.86"/>
    <n v="109.27"/>
    <n v="402.77"/>
    <n v="351.59000000000003"/>
  </r>
  <r>
    <s v="TXN200160"/>
    <x v="90"/>
    <s v="2025-06-19"/>
    <x v="1"/>
    <x v="3"/>
    <s v="Global Industries Llc"/>
    <n v="5599.86"/>
    <n v="7474.06"/>
    <n v="1874.2"/>
    <n v="5671.02"/>
    <n v="5599.8600000000006"/>
  </r>
  <r>
    <s v="TXN200161"/>
    <x v="92"/>
    <s v="06/07/2025"/>
    <x v="0"/>
    <x v="2"/>
    <s v="Fresh &amp; Fast Logistics"/>
    <n v="1173.76"/>
    <n v="1585.82"/>
    <n v="-237.87"/>
    <n v="1383.86"/>
    <n v="1823.69"/>
  </r>
  <r>
    <s v="TXN200162"/>
    <x v="33"/>
    <s v="2025-01-11"/>
    <x v="1"/>
    <x v="4"/>
    <s v="Starbucks Hub Cafe"/>
    <n v="231.17"/>
    <n v="292.83999999999997"/>
    <n v="61.67"/>
    <n v="263.49"/>
    <n v="231.16999999999996"/>
  </r>
  <r>
    <s v="TXN200163"/>
    <x v="49"/>
    <s v="2025-10-23"/>
    <x v="1"/>
    <x v="1"/>
    <s v="Amazon Digital Supply"/>
    <n v="1034.32"/>
    <n v="1290.45"/>
    <n v="256.13"/>
    <n v="1063.8"/>
    <n v="1034.3200000000002"/>
  </r>
  <r>
    <s v="TXN200164"/>
    <x v="93"/>
    <s v="2025-11-06"/>
    <x v="1"/>
    <x v="4"/>
    <s v="Mcdonalds Corp Express"/>
    <n v="39.06"/>
    <n v="51.41"/>
    <n v="12.35"/>
    <n v="39.07"/>
    <n v="39.059999999999995"/>
  </r>
  <r>
    <s v="TXN200165"/>
    <x v="3"/>
    <s v="2025-03-11"/>
    <x v="0"/>
    <x v="2"/>
    <s v="Whole Foods Store"/>
    <n v="331.11"/>
    <n v="444.87"/>
    <n v="-66.73"/>
    <n v="370.96"/>
    <n v="511.6"/>
  </r>
  <r>
    <s v="TXN200166"/>
    <x v="94"/>
    <s v="2025-08-13"/>
    <x v="0"/>
    <x v="6"/>
    <s v="Spotify Music Hub"/>
    <n v="565.25"/>
    <n v="729.35"/>
    <n v="-109.4"/>
    <n v="662.93"/>
    <n v="838.75"/>
  </r>
  <r>
    <s v="TXN200167"/>
    <x v="21"/>
    <s v="2025-07-06"/>
    <x v="0"/>
    <x v="3"/>
    <s v="Techcorp Payroll Inc"/>
    <n v="4418.42"/>
    <n v="5275.29"/>
    <n v="-791.29"/>
    <n v="5027.8599999999997"/>
    <n v="6066.58"/>
  </r>
  <r>
    <s v="TXN200168"/>
    <x v="95"/>
    <s v="2025-12-19"/>
    <x v="0"/>
    <x v="0"/>
    <s v="Metropolitan Water Sewer"/>
    <n v="958.16"/>
    <n v="1197.48"/>
    <n v="-179.62"/>
    <n v="1020.63"/>
    <n v="1377.1"/>
  </r>
  <r>
    <s v="TXN200169"/>
    <x v="96"/>
    <s v="16/01/2025"/>
    <x v="1"/>
    <x v="6"/>
    <s v="Amc Cinema Network"/>
    <n v="882.09"/>
    <n v="1074.31"/>
    <n v="192.22"/>
    <n v="989.33"/>
    <n v="882.08999999999992"/>
  </r>
  <r>
    <s v="TXN200170"/>
    <x v="93"/>
    <s v="2025-07-28"/>
    <x v="0"/>
    <x v="0"/>
    <s v="City Power &amp; Gas Co"/>
    <n v="694"/>
    <n v="917.19"/>
    <n v="-137.58000000000001"/>
    <n v="672.08"/>
    <n v="1054.77"/>
  </r>
  <r>
    <s v="TXN200171"/>
    <x v="81"/>
    <s v="2025-06-26"/>
    <x v="1"/>
    <x v="4"/>
    <s v="Mcdonalds Corp Express"/>
    <n v="278.52999999999997"/>
    <n v="359.17"/>
    <n v="80.64"/>
    <n v="333.49"/>
    <n v="278.53000000000003"/>
  </r>
  <r>
    <s v="TXN200172"/>
    <x v="82"/>
    <s v="2025-06-13"/>
    <x v="1"/>
    <x v="3"/>
    <s v="Techcorp Payroll Inc"/>
    <n v="4667.32"/>
    <n v="5512.49"/>
    <n v="845.17"/>
    <n v="4782.46"/>
    <n v="4667.32"/>
  </r>
  <r>
    <s v="TXN200173"/>
    <x v="64"/>
    <s v="2025-06-18"/>
    <x v="0"/>
    <x v="0"/>
    <s v="City Power &amp; Gas Co"/>
    <n v="1005.26"/>
    <n v="1385.44"/>
    <n v="-207.82"/>
    <n v="974.2"/>
    <n v="1593.26"/>
  </r>
  <r>
    <s v="TXN200174"/>
    <x v="56"/>
    <s v="2025-10-14"/>
    <x v="0"/>
    <x v="3"/>
    <s v="Stark Retail Labs"/>
    <n v="6920.99"/>
    <n v="8344.52"/>
    <n v="-1251.68"/>
    <n v="7921.12"/>
    <n v="9596.2000000000007"/>
  </r>
  <r>
    <s v="TXN200175"/>
    <x v="97"/>
    <s v="29/07/2025"/>
    <x v="0"/>
    <x v="6"/>
    <s v="Amc Cinema Network"/>
    <n v="530.66999999999996"/>
    <n v="694.5"/>
    <n v="-104.17"/>
    <n v="544.11"/>
    <n v="798.67"/>
  </r>
  <r>
    <s v="TXN200176"/>
    <x v="85"/>
    <s v="2025-11-05"/>
    <x v="0"/>
    <x v="5"/>
    <s v="External Wire Clearance"/>
    <n v="856.76"/>
    <n v="1019.22"/>
    <n v="-152.88"/>
    <n v="849.05"/>
    <n v="1172.0999999999999"/>
  </r>
  <r>
    <s v="TXN200177"/>
    <x v="82"/>
    <s v="2025-03-17"/>
    <x v="1"/>
    <x v="2"/>
    <s v="Supermart Marketplace"/>
    <n v="1023.93"/>
    <n v="1357.65"/>
    <n v="333.72"/>
    <n v="997.35"/>
    <n v="1023.9300000000001"/>
  </r>
  <r>
    <s v="TXN200178"/>
    <x v="3"/>
    <s v="2025-03-07"/>
    <x v="0"/>
    <x v="0"/>
    <s v="State Hydro Grid"/>
    <n v="308.8"/>
    <n v="375.04"/>
    <n v="-56.26"/>
    <n v="296.14999999999998"/>
    <n v="431.3"/>
  </r>
  <r>
    <s v="TXN200179"/>
    <x v="29"/>
    <s v="2025-02-07"/>
    <x v="0"/>
    <x v="6"/>
    <s v="Netflix Streaming Premium"/>
    <n v="1219.4163333333336"/>
    <n v="135.36000000000001"/>
    <n v="-20.3"/>
    <n v="100.34"/>
    <n v="155.66000000000003"/>
  </r>
  <r>
    <s v="TXN200180"/>
    <x v="98"/>
    <s v="2025-12-04"/>
    <x v="0"/>
    <x v="4"/>
    <s v="Mcdonalds Corp Express"/>
    <n v="1138.18"/>
    <n v="1555.59"/>
    <n v="-233.34"/>
    <n v="1195.21"/>
    <n v="1788.9299999999998"/>
  </r>
  <r>
    <s v="TXN200181"/>
    <x v="72"/>
    <s v="2025-03-31"/>
    <x v="1"/>
    <x v="2"/>
    <s v="Fresh &amp; Fast Logistics"/>
    <n v="1187.6099999999999"/>
    <n v="1642.84"/>
    <n v="455.23"/>
    <n v="1192.83"/>
    <n v="1187.6099999999999"/>
  </r>
  <r>
    <s v="TXN200182"/>
    <x v="53"/>
    <s v="2025-10-28"/>
    <x v="1"/>
    <x v="2"/>
    <s v="Fresh &amp; Fast Logistics"/>
    <n v="968.03"/>
    <n v="1140.4100000000001"/>
    <n v="172.38"/>
    <n v="1058.02"/>
    <n v="968.03000000000009"/>
  </r>
  <r>
    <s v="TXN200183"/>
    <x v="88"/>
    <s v="2025-02-08"/>
    <x v="1"/>
    <x v="6"/>
    <s v="Netflix Streaming Premium"/>
    <n v="470.89"/>
    <n v="623"/>
    <n v="152.11000000000001"/>
    <n v="551.58000000000004"/>
    <n v="470.89"/>
  </r>
  <r>
    <s v="TXN200184"/>
    <x v="99"/>
    <s v="2025-07-16"/>
    <x v="1"/>
    <x v="1"/>
    <s v="Ebay International"/>
    <n v="869.66"/>
    <n v="1156.4000000000001"/>
    <n v="286.74"/>
    <n v="948.02"/>
    <n v="869.66000000000008"/>
  </r>
  <r>
    <s v="TXN200185"/>
    <x v="100"/>
    <s v="2025-11-19"/>
    <x v="0"/>
    <x v="6"/>
    <s v="Amc Cinema Network"/>
    <n v="1041.6099999999999"/>
    <n v="1420.2638235294123"/>
    <n v="-195.96"/>
    <n v="1050.25"/>
    <n v="1616.2238235294124"/>
  </r>
  <r>
    <s v="TXN200186"/>
    <x v="101"/>
    <s v="2025-11-26"/>
    <x v="1"/>
    <x v="1"/>
    <s v="Ebay International"/>
    <n v="228.37"/>
    <n v="305.54000000000002"/>
    <n v="77.17"/>
    <n v="247.69"/>
    <n v="228.37"/>
  </r>
  <r>
    <s v="TXN200187"/>
    <x v="12"/>
    <s v="2025-02-28"/>
    <x v="0"/>
    <x v="4"/>
    <s v="Starbucks Hub Cafe"/>
    <n v="158.33000000000001"/>
    <n v="221.24"/>
    <n v="-33.19"/>
    <n v="179.01"/>
    <n v="254.43"/>
  </r>
  <r>
    <s v="TXN200188"/>
    <x v="38"/>
    <s v="2025-04-28"/>
    <x v="0"/>
    <x v="3"/>
    <s v="Techcorp Payroll Inc"/>
    <n v="7533.08"/>
    <n v="9840.92"/>
    <n v="-1476.14"/>
    <n v="7002.44"/>
    <n v="11317.06"/>
  </r>
  <r>
    <s v="TXN200189"/>
    <x v="84"/>
    <s v="24/12/2025"/>
    <x v="1"/>
    <x v="3"/>
    <s v="Techcorp Payroll Inc"/>
    <n v="8391.6"/>
    <n v="10026.73"/>
    <n v="1635.13"/>
    <n v="9006.27"/>
    <n v="8391.5999999999985"/>
  </r>
  <r>
    <s v="TXN200190"/>
    <x v="102"/>
    <s v="2025-05-25"/>
    <x v="0"/>
    <x v="2"/>
    <s v="Whole Foods Store"/>
    <n v="752.66"/>
    <n v="902.48"/>
    <n v="-135.37"/>
    <n v="870.92"/>
    <n v="1037.8499999999999"/>
  </r>
  <r>
    <s v="TXN200191"/>
    <x v="103"/>
    <s v="2025-05-30"/>
    <x v="1"/>
    <x v="1"/>
    <s v="Ebay International"/>
    <n v="771.23"/>
    <n v="1049.8900000000001"/>
    <n v="278.66000000000003"/>
    <n v="813.74"/>
    <n v="771.23"/>
  </r>
  <r>
    <s v="TXN200192"/>
    <x v="49"/>
    <s v="2025-04-12"/>
    <x v="1"/>
    <x v="0"/>
    <s v="State Hydro Grid"/>
    <n v="1219.4163333333336"/>
    <n v="131.41999999999999"/>
    <n v="31.42"/>
    <n v="111.12"/>
    <n v="99.999999999999986"/>
  </r>
  <r>
    <s v="TXN200193"/>
    <x v="36"/>
    <s v="2025-02-14"/>
    <x v="0"/>
    <x v="6"/>
    <s v="Spotify Music Hub"/>
    <n v="36.67"/>
    <n v="49.59"/>
    <n v="-7.44"/>
    <n v="36.33"/>
    <n v="57.03"/>
  </r>
  <r>
    <s v="TXN200194"/>
    <x v="51"/>
    <s v="2025-02-23"/>
    <x v="1"/>
    <x v="4"/>
    <s v="Mcdonalds Corp Express"/>
    <n v="1219.4163333333336"/>
    <n v="129.19"/>
    <n v="29.19"/>
    <n v="102.34"/>
    <n v="100"/>
  </r>
  <r>
    <s v="TXN200195"/>
    <x v="104"/>
    <s v="2025-06-08"/>
    <x v="0"/>
    <x v="6"/>
    <s v="Netflix Streaming Premium"/>
    <n v="807.25"/>
    <n v="1034.79"/>
    <n v="-155.22"/>
    <n v="807.23"/>
    <n v="1190.01"/>
  </r>
  <r>
    <s v="TXN200196"/>
    <x v="52"/>
    <s v="CORRUPT_DATE_FLAG"/>
    <x v="1"/>
    <x v="5"/>
    <s v="Zelle Payment Engine"/>
    <n v="1037.43"/>
    <n v="1205.48"/>
    <n v="168.05"/>
    <n v="1000.63"/>
    <n v="1037.43"/>
  </r>
  <r>
    <s v="TXN200197"/>
    <x v="86"/>
    <s v="2025-01-02"/>
    <x v="0"/>
    <x v="0"/>
    <s v="State Hydro Grid"/>
    <n v="208.97"/>
    <n v="290.14"/>
    <n v="-43.52"/>
    <n v="250.43"/>
    <n v="333.65999999999997"/>
  </r>
  <r>
    <s v="TXN200198"/>
    <x v="105"/>
    <s v="2025-01-17"/>
    <x v="1"/>
    <x v="6"/>
    <s v="Spotify Music Hub"/>
    <n v="420.69"/>
    <n v="568.63"/>
    <n v="147.94"/>
    <n v="473.54"/>
    <n v="420.69"/>
  </r>
  <r>
    <s v="TXN200199"/>
    <x v="82"/>
    <s v="2025-02-01"/>
    <x v="1"/>
    <x v="1"/>
    <s v="Target Direct Online"/>
    <n v="461.4"/>
    <n v="556.80999999999995"/>
    <n v="95.41"/>
    <n v="446.28"/>
    <n v="461.4"/>
  </r>
  <r>
    <s v="TXN200200"/>
    <x v="106"/>
    <s v="2025-07-31"/>
    <x v="0"/>
    <x v="6"/>
    <s v="Netflix Streaming Premium"/>
    <n v="667.69"/>
    <n v="805.72"/>
    <n v="-120.86"/>
    <n v="655.7"/>
    <n v="926.58"/>
  </r>
  <r>
    <s v="TXN200201"/>
    <x v="83"/>
    <s v="2025-02-19"/>
    <x v="0"/>
    <x v="0"/>
    <s v="State Hydro Grid"/>
    <n v="358.78"/>
    <n v="464.94"/>
    <n v="-69.739999999999995"/>
    <n v="353.28"/>
    <n v="534.67999999999995"/>
  </r>
  <r>
    <s v="TXN200202"/>
    <x v="31"/>
    <s v="2025-01-19"/>
    <x v="1"/>
    <x v="1"/>
    <s v="Ebay International"/>
    <n v="80.58"/>
    <n v="111.45"/>
    <n v="30.87"/>
    <n v="91.83"/>
    <n v="80.58"/>
  </r>
  <r>
    <s v="TXN200203"/>
    <x v="6"/>
    <s v="2025-07-11"/>
    <x v="0"/>
    <x v="2"/>
    <s v="Whole Foods Store"/>
    <n v="1149.1400000000001"/>
    <n v="1451.05"/>
    <n v="-217.66"/>
    <n v="1098.27"/>
    <n v="1668.71"/>
  </r>
  <r>
    <s v="TXN200204"/>
    <x v="79"/>
    <s v="2025-01-15"/>
    <x v="1"/>
    <x v="5"/>
    <s v="Internal P2P Route"/>
    <n v="269.2"/>
    <n v="371.71"/>
    <n v="102.51"/>
    <n v="289.04000000000002"/>
    <n v="269.2"/>
  </r>
  <r>
    <s v="TXN200205"/>
    <x v="107"/>
    <s v="2025-10-23"/>
    <x v="0"/>
    <x v="6"/>
    <s v="Amc Cinema Network"/>
    <n v="472.98"/>
    <n v="578.79999999999995"/>
    <n v="-86.82"/>
    <n v="433.02"/>
    <n v="665.61999999999989"/>
  </r>
  <r>
    <s v="TXN200206"/>
    <x v="108"/>
    <s v="2025-05-12"/>
    <x v="1"/>
    <x v="1"/>
    <s v="Target Direct Online"/>
    <n v="669.21"/>
    <n v="836.9"/>
    <n v="167.69"/>
    <n v="612.04"/>
    <n v="669.21"/>
  </r>
  <r>
    <s v="TXN200207"/>
    <x v="33"/>
    <s v="2025-11-10"/>
    <x v="1"/>
    <x v="6"/>
    <s v="Amc Cinema Network"/>
    <n v="527.47"/>
    <n v="724.54"/>
    <n v="197.07"/>
    <n v="534.80999999999995"/>
    <n v="527.47"/>
  </r>
  <r>
    <s v="TXN200208"/>
    <x v="109"/>
    <s v="12/05/2025"/>
    <x v="1"/>
    <x v="4"/>
    <s v="Starbucks Hub Cafe"/>
    <n v="848.52"/>
    <n v="1127.79"/>
    <n v="279.27"/>
    <n v="908.92"/>
    <n v="848.52"/>
  </r>
  <r>
    <s v="TXN200209"/>
    <x v="44"/>
    <s v="2025-05-21"/>
    <x v="1"/>
    <x v="2"/>
    <s v="Whole Foods Store"/>
    <n v="296.99"/>
    <n v="362.29"/>
    <n v="65.3"/>
    <n v="310"/>
    <n v="296.99"/>
  </r>
  <r>
    <s v="TXN200210"/>
    <x v="78"/>
    <s v="2025-12-17"/>
    <x v="0"/>
    <x v="2"/>
    <s v="Supermart Marketplace"/>
    <n v="1058.78"/>
    <n v="1409.68"/>
    <n v="-211.45"/>
    <n v="1146.8399999999999"/>
    <n v="1621.13"/>
  </r>
  <r>
    <s v="TXN200211"/>
    <x v="18"/>
    <s v="2025-03-16"/>
    <x v="0"/>
    <x v="1"/>
    <s v="Ebay International"/>
    <n v="180.21"/>
    <n v="209.07"/>
    <n v="-31.36"/>
    <n v="207.59"/>
    <n v="240.43"/>
  </r>
  <r>
    <s v="TXN200212"/>
    <x v="98"/>
    <s v="2025-03-09"/>
    <x v="1"/>
    <x v="1"/>
    <s v="Target Direct Online"/>
    <n v="1121.73"/>
    <n v="1362.34"/>
    <n v="240.61"/>
    <n v="1228.8399999999999"/>
    <n v="1121.73"/>
  </r>
  <r>
    <s v="TXN200213"/>
    <x v="98"/>
    <s v="2025-07-25"/>
    <x v="0"/>
    <x v="2"/>
    <s v="Fresh &amp; Fast Logistics"/>
    <n v="869.44"/>
    <n v="1086.06"/>
    <n v="-162.91"/>
    <n v="875.15"/>
    <n v="1248.97"/>
  </r>
  <r>
    <s v="TXN200214"/>
    <x v="89"/>
    <s v="2025-05-20"/>
    <x v="1"/>
    <x v="0"/>
    <s v="City Power &amp; Gas Co"/>
    <n v="1114.18"/>
    <n v="1535.96"/>
    <n v="421.78"/>
    <n v="1249.27"/>
    <n v="1114.18"/>
  </r>
  <r>
    <s v="TXN200215"/>
    <x v="110"/>
    <s v="2025-02-13"/>
    <x v="1"/>
    <x v="5"/>
    <s v="Zelle Payment Engine"/>
    <n v="215.38"/>
    <n v="287.06"/>
    <n v="71.680000000000007"/>
    <n v="243.79"/>
    <n v="215.38"/>
  </r>
  <r>
    <s v="TXN200216"/>
    <x v="111"/>
    <s v="2025-02-03"/>
    <x v="1"/>
    <x v="6"/>
    <s v="Amc Cinema Network"/>
    <n v="698.17"/>
    <n v="903.58"/>
    <n v="205.41"/>
    <n v="806.01"/>
    <n v="698.17000000000007"/>
  </r>
  <r>
    <s v="TXN200217"/>
    <x v="50"/>
    <s v="2025-01-07"/>
    <x v="0"/>
    <x v="5"/>
    <s v="Zelle Payment Engine"/>
    <n v="417.51"/>
    <n v="582.95000000000005"/>
    <n v="-87.44"/>
    <n v="419.1"/>
    <n v="670.3900000000001"/>
  </r>
  <r>
    <s v="TXN200218"/>
    <x v="60"/>
    <s v="2025-04-10"/>
    <x v="0"/>
    <x v="0"/>
    <s v="City Power &amp; Gas Co"/>
    <n v="1111"/>
    <n v="1430.85"/>
    <n v="-214.63"/>
    <n v="1049.57"/>
    <n v="1645.48"/>
  </r>
  <r>
    <s v="TXN200219"/>
    <x v="112"/>
    <s v="2025-06-10"/>
    <x v="1"/>
    <x v="1"/>
    <s v="Target Direct Online"/>
    <n v="55.96"/>
    <n v="71.58"/>
    <n v="15.62"/>
    <n v="50.49"/>
    <n v="55.96"/>
  </r>
  <r>
    <s v="TXN200220"/>
    <x v="69"/>
    <s v="2025-06-08"/>
    <x v="1"/>
    <x v="2"/>
    <s v="Fresh &amp; Fast Logistics"/>
    <n v="992.37"/>
    <n v="1183.57"/>
    <n v="191.2"/>
    <n v="974.03"/>
    <n v="992.36999999999989"/>
  </r>
  <r>
    <s v="TXN200221"/>
    <x v="83"/>
    <s v="2025-08-27"/>
    <x v="1"/>
    <x v="6"/>
    <s v="Amc Cinema Network"/>
    <n v="1070.9100000000001"/>
    <n v="1477.1"/>
    <n v="406.19"/>
    <n v="1279.06"/>
    <n v="1070.9099999999999"/>
  </r>
  <r>
    <s v="TXN200222"/>
    <x v="113"/>
    <s v="2025-07-17"/>
    <x v="1"/>
    <x v="2"/>
    <s v="Whole Foods Store"/>
    <n v="249.12"/>
    <n v="332.61"/>
    <n v="83.49"/>
    <n v="233.24"/>
    <n v="249.12"/>
  </r>
  <r>
    <s v="TXN200223"/>
    <x v="87"/>
    <s v="2025-10-04"/>
    <x v="1"/>
    <x v="2"/>
    <s v="Whole Foods Store"/>
    <n v="1068.57"/>
    <n v="1446.28"/>
    <n v="377.71"/>
    <n v="1242.1500000000001"/>
    <n v="1068.57"/>
  </r>
  <r>
    <s v="TXN200224"/>
    <x v="52"/>
    <s v="2025-03-17"/>
    <x v="1"/>
    <x v="6"/>
    <s v="Amc Cinema Network"/>
    <n v="114.45"/>
    <n v="137.91999999999999"/>
    <n v="23.47"/>
    <n v="118.61"/>
    <n v="114.44999999999999"/>
  </r>
  <r>
    <s v="TXN200225"/>
    <x v="35"/>
    <s v="2025-11-06"/>
    <x v="0"/>
    <x v="3"/>
    <s v="Techcorp Payroll Inc"/>
    <n v="6122.83"/>
    <n v="7572.91"/>
    <n v="-1135.94"/>
    <n v="5996.92"/>
    <n v="8708.85"/>
  </r>
  <r>
    <s v="TXN200226"/>
    <x v="60"/>
    <s v="2025-08-15"/>
    <x v="1"/>
    <x v="2"/>
    <s v="Whole Foods Store"/>
    <n v="375.39"/>
    <n v="491.84"/>
    <n v="116.45"/>
    <n v="399.4"/>
    <n v="375.39"/>
  </r>
  <r>
    <s v="TXN200227"/>
    <x v="113"/>
    <s v="14/06/2025"/>
    <x v="0"/>
    <x v="6"/>
    <s v="Amc Cinema Network"/>
    <n v="181.43"/>
    <n v="216.69"/>
    <n v="-32.5"/>
    <n v="192.05"/>
    <n v="249.19"/>
  </r>
  <r>
    <s v="TXN200228"/>
    <x v="53"/>
    <s v="2025-08-17"/>
    <x v="0"/>
    <x v="3"/>
    <s v="Global Industries Llc"/>
    <n v="9110.3700000000008"/>
    <n v="11408.57"/>
    <n v="-1711.29"/>
    <n v="10694.46"/>
    <n v="13119.86"/>
  </r>
  <r>
    <s v="TXN200229"/>
    <x v="50"/>
    <s v="2025-11-18"/>
    <x v="0"/>
    <x v="0"/>
    <s v="State Hydro Grid"/>
    <n v="854.74"/>
    <n v="1163.81"/>
    <n v="-174.57"/>
    <n v="904.25"/>
    <n v="1338.3799999999999"/>
  </r>
  <r>
    <s v="TXN200230"/>
    <x v="40"/>
    <s v="2025-10-19"/>
    <x v="0"/>
    <x v="5"/>
    <s v="Zelle Payment Engine"/>
    <n v="558.49"/>
    <n v="656.15"/>
    <n v="-98.42"/>
    <n v="614.47"/>
    <n v="754.56999999999994"/>
  </r>
  <r>
    <s v="TXN200231"/>
    <x v="92"/>
    <s v="2025-05-25"/>
    <x v="1"/>
    <x v="2"/>
    <s v="Whole Foods Store"/>
    <n v="1219.4163333333336"/>
    <n v="127.42"/>
    <n v="27.42"/>
    <n v="117.69"/>
    <n v="100"/>
  </r>
  <r>
    <s v="TXN200232"/>
    <x v="29"/>
    <s v="2025-10-06"/>
    <x v="1"/>
    <x v="5"/>
    <s v="Internal P2P Route"/>
    <n v="689.47"/>
    <n v="960"/>
    <n v="270.52999999999997"/>
    <n v="815.57"/>
    <n v="689.47"/>
  </r>
  <r>
    <s v="TXN200233"/>
    <x v="26"/>
    <s v="2025-07-21"/>
    <x v="1"/>
    <x v="0"/>
    <s v="State Hydro Grid"/>
    <n v="541.44000000000005"/>
    <n v="649.70000000000005"/>
    <n v="108.26"/>
    <n v="597.30999999999995"/>
    <n v="541.44000000000005"/>
  </r>
  <r>
    <s v="TXN200234"/>
    <x v="17"/>
    <s v="2025-09-13"/>
    <x v="0"/>
    <x v="2"/>
    <s v="Whole Foods Store"/>
    <n v="483.65"/>
    <n v="670.32"/>
    <n v="-100.55"/>
    <n v="456.89"/>
    <n v="770.87"/>
  </r>
  <r>
    <s v="TXN200235"/>
    <x v="106"/>
    <s v="2025-02-05"/>
    <x v="0"/>
    <x v="4"/>
    <s v="Olive Garden Gourmet"/>
    <n v="1219.4163333333336"/>
    <n v="118.46"/>
    <n v="-17.77"/>
    <n v="113.78"/>
    <n v="136.22999999999999"/>
  </r>
  <r>
    <s v="TXN200236"/>
    <x v="68"/>
    <s v="2025-01-27"/>
    <x v="1"/>
    <x v="1"/>
    <s v="Ebay International"/>
    <n v="117.06"/>
    <n v="138.18"/>
    <n v="21.12"/>
    <n v="120.44"/>
    <n v="117.06"/>
  </r>
  <r>
    <s v="TXN200237"/>
    <x v="61"/>
    <s v="2025-03-19"/>
    <x v="0"/>
    <x v="0"/>
    <s v="Metropolitan Water Sewer"/>
    <n v="1188.74"/>
    <n v="1497.17"/>
    <n v="-224.58"/>
    <n v="1331.29"/>
    <n v="1721.75"/>
  </r>
  <r>
    <s v="TXN200238"/>
    <x v="5"/>
    <s v="2025-03-26"/>
    <x v="1"/>
    <x v="6"/>
    <s v="Netflix Streaming Premium"/>
    <n v="611.23"/>
    <n v="766.76"/>
    <n v="155.53"/>
    <n v="590.92999999999995"/>
    <n v="611.23"/>
  </r>
  <r>
    <s v="TXN200239"/>
    <x v="114"/>
    <s v="2025-12-08"/>
    <x v="0"/>
    <x v="6"/>
    <s v="Spotify Music Hub"/>
    <n v="1118.71"/>
    <n v="1501.04"/>
    <n v="-225.16"/>
    <n v="1048.44"/>
    <n v="1726.2"/>
  </r>
  <r>
    <s v="TXN200240"/>
    <x v="115"/>
    <s v="2025-11-05"/>
    <x v="1"/>
    <x v="3"/>
    <s v="Stark Retail Labs"/>
    <n v="5914.61"/>
    <n v="7619.89"/>
    <n v="1705.28"/>
    <n v="5941.47"/>
    <n v="5914.6100000000006"/>
  </r>
  <r>
    <s v="TXN200241"/>
    <x v="30"/>
    <s v="2025-11-27"/>
    <x v="1"/>
    <x v="5"/>
    <s v="Internal P2P Route"/>
    <n v="618.15"/>
    <n v="803.52"/>
    <n v="185.37"/>
    <n v="681.55"/>
    <n v="618.15"/>
  </r>
  <r>
    <s v="TXN200242"/>
    <x v="103"/>
    <s v="2025-03-08"/>
    <x v="1"/>
    <x v="0"/>
    <s v="Metropolitan Water Sewer"/>
    <n v="846.31"/>
    <n v="1064.5899999999999"/>
    <n v="218.28"/>
    <n v="977.8"/>
    <n v="846.31"/>
  </r>
  <r>
    <s v="TXN200243"/>
    <x v="105"/>
    <s v="2025-12-20"/>
    <x v="0"/>
    <x v="1"/>
    <s v="Ebay International"/>
    <n v="1067.6199999999999"/>
    <n v="1294.5999999999999"/>
    <n v="-194.19"/>
    <n v="1022.33"/>
    <n v="1488.79"/>
  </r>
  <r>
    <s v="TXN200244"/>
    <x v="33"/>
    <s v="2025-03-19"/>
    <x v="0"/>
    <x v="3"/>
    <s v="Stark Retail Labs"/>
    <n v="5534.32"/>
    <n v="7685.91"/>
    <n v="-1152.8900000000001"/>
    <n v="6248.52"/>
    <n v="8838.7999999999993"/>
  </r>
  <r>
    <s v="TXN200245"/>
    <x v="75"/>
    <s v="2025-07-22"/>
    <x v="0"/>
    <x v="0"/>
    <s v="Metropolitan Water Sewer"/>
    <n v="1134.6199999999999"/>
    <n v="1420.2638235294123"/>
    <n v="-197.22"/>
    <n v="1201.2"/>
    <n v="1617.4838235294123"/>
  </r>
  <r>
    <s v="TXN200246"/>
    <x v="21"/>
    <s v="2025-08-12"/>
    <x v="1"/>
    <x v="1"/>
    <s v="Target Direct Online"/>
    <n v="762.45"/>
    <n v="1033.6400000000001"/>
    <n v="271.19"/>
    <n v="692.23"/>
    <n v="762.45"/>
  </r>
  <r>
    <s v="TXN200247"/>
    <x v="85"/>
    <s v="2025-03-12"/>
    <x v="0"/>
    <x v="1"/>
    <s v="Target Direct Online"/>
    <n v="362.16"/>
    <n v="469.69"/>
    <n v="-70.45"/>
    <n v="351.9"/>
    <n v="540.14"/>
  </r>
  <r>
    <s v="TXN200248"/>
    <x v="112"/>
    <s v="CORRUPT_DATE_FLAG"/>
    <x v="0"/>
    <x v="5"/>
    <s v="Internal P2P Route"/>
    <n v="184.64"/>
    <n v="252.81"/>
    <n v="-37.92"/>
    <n v="219.02"/>
    <n v="290.73"/>
  </r>
  <r>
    <s v="TXN200249"/>
    <x v="73"/>
    <s v="2025-08-22"/>
    <x v="1"/>
    <x v="6"/>
    <s v="Netflix Streaming Premium"/>
    <n v="305.86"/>
    <n v="355.98"/>
    <n v="50.12"/>
    <n v="321.52"/>
    <n v="305.86"/>
  </r>
  <r>
    <s v="TXN200250"/>
    <x v="116"/>
    <s v="2025-10-29"/>
    <x v="1"/>
    <x v="2"/>
    <s v="Fresh &amp; Fast Logistics"/>
    <n v="1000.52"/>
    <n v="1223.2"/>
    <n v="222.68"/>
    <n v="1195.92"/>
    <n v="1000.52"/>
  </r>
  <r>
    <s v="TXN200251"/>
    <x v="117"/>
    <s v="2025-12-17"/>
    <x v="0"/>
    <x v="5"/>
    <s v="Zelle Payment Engine"/>
    <n v="273.69"/>
    <n v="318.99"/>
    <n v="-47.85"/>
    <n v="308.3"/>
    <n v="366.84000000000003"/>
  </r>
  <r>
    <s v="TXN200252"/>
    <x v="97"/>
    <s v="2025-03-16"/>
    <x v="1"/>
    <x v="3"/>
    <s v="Stark Retail Labs"/>
    <n v="6205.86"/>
    <n v="7887.63"/>
    <n v="1681.77"/>
    <n v="6361.35"/>
    <n v="6205.8600000000006"/>
  </r>
  <r>
    <s v="TXN200253"/>
    <x v="25"/>
    <s v="2025-03-09"/>
    <x v="1"/>
    <x v="0"/>
    <s v="State Hydro Grid"/>
    <n v="158.31"/>
    <n v="191.19"/>
    <n v="32.880000000000003"/>
    <n v="189.74"/>
    <n v="158.31"/>
  </r>
  <r>
    <s v="TXN200254"/>
    <x v="111"/>
    <s v="2025-12-18"/>
    <x v="1"/>
    <x v="2"/>
    <s v="Whole Foods Store"/>
    <n v="50.67"/>
    <n v="58.31"/>
    <n v="7.64"/>
    <n v="56.93"/>
    <n v="50.67"/>
  </r>
  <r>
    <s v="TXN200255"/>
    <x v="118"/>
    <s v="CORRUPT_DATE_FLAG"/>
    <x v="0"/>
    <x v="5"/>
    <s v="Zelle Payment Engine"/>
    <n v="617.29999999999995"/>
    <n v="728.41"/>
    <n v="-109.26"/>
    <n v="630.44000000000005"/>
    <n v="837.67"/>
  </r>
  <r>
    <s v="TXN200256"/>
    <x v="90"/>
    <s v="2025-01-25"/>
    <x v="1"/>
    <x v="3"/>
    <s v="Stark Retail Labs"/>
    <n v="7853.62"/>
    <n v="10498.53"/>
    <n v="2644.91"/>
    <n v="7593.03"/>
    <n v="7853.6200000000008"/>
  </r>
  <r>
    <s v="TXN200257"/>
    <x v="74"/>
    <s v="2025-12-21"/>
    <x v="0"/>
    <x v="2"/>
    <s v="Whole Foods Store"/>
    <n v="1092.52"/>
    <n v="1504.52"/>
    <n v="-225.68"/>
    <n v="1058.3699999999999"/>
    <n v="1730.2"/>
  </r>
  <r>
    <s v="TXN200258"/>
    <x v="66"/>
    <s v="2025-07-12"/>
    <x v="0"/>
    <x v="4"/>
    <s v="Starbucks Hub Cafe"/>
    <n v="94.47"/>
    <n v="109.42"/>
    <n v="-16.41"/>
    <n v="105.78"/>
    <n v="125.83"/>
  </r>
  <r>
    <s v="TXN200259"/>
    <x v="90"/>
    <s v="2025-08-27"/>
    <x v="1"/>
    <x v="2"/>
    <s v="Supermart Marketplace"/>
    <n v="137.28"/>
    <n v="164.55"/>
    <n v="27.27"/>
    <n v="161.36000000000001"/>
    <n v="137.28"/>
  </r>
  <r>
    <s v="TXN200260"/>
    <x v="119"/>
    <s v="2025-08-10"/>
    <x v="1"/>
    <x v="1"/>
    <s v="Amazon Digital Supply"/>
    <n v="1193.6500000000001"/>
    <n v="1665.68"/>
    <n v="472.03"/>
    <n v="1082.2"/>
    <n v="1193.6500000000001"/>
  </r>
  <r>
    <s v="TXN200261"/>
    <x v="111"/>
    <s v="2025-03-09"/>
    <x v="0"/>
    <x v="4"/>
    <s v="Olive Garden Gourmet"/>
    <n v="549.61"/>
    <n v="749.31"/>
    <n v="-112.4"/>
    <n v="613.6"/>
    <n v="861.70999999999992"/>
  </r>
  <r>
    <s v="TXN200262"/>
    <x v="77"/>
    <s v="02/02/2025"/>
    <x v="1"/>
    <x v="0"/>
    <s v="State Hydro Grid"/>
    <n v="564.47"/>
    <n v="760.65"/>
    <n v="196.18"/>
    <n v="622.88"/>
    <n v="564.47"/>
  </r>
  <r>
    <s v="TXN200263"/>
    <x v="15"/>
    <s v="2025-02-04"/>
    <x v="0"/>
    <x v="3"/>
    <s v="Global Industries Llc"/>
    <n v="4675.33"/>
    <n v="5687.23"/>
    <n v="-853.08"/>
    <n v="4597.4399999999996"/>
    <n v="6540.3099999999995"/>
  </r>
  <r>
    <s v="TXN200264"/>
    <x v="120"/>
    <s v="2025-03-14"/>
    <x v="0"/>
    <x v="0"/>
    <s v="State Hydro Grid"/>
    <n v="1049.49"/>
    <n v="1228.57"/>
    <n v="-184.29"/>
    <n v="1145.69"/>
    <n v="1412.86"/>
  </r>
  <r>
    <s v="TXN200265"/>
    <x v="96"/>
    <s v="2025-11-12"/>
    <x v="0"/>
    <x v="2"/>
    <s v="Whole Foods Store"/>
    <n v="619.13"/>
    <n v="758.19"/>
    <n v="-113.73"/>
    <n v="671.45"/>
    <n v="871.92000000000007"/>
  </r>
  <r>
    <s v="TXN200266"/>
    <x v="93"/>
    <s v="26/12/2025"/>
    <x v="0"/>
    <x v="5"/>
    <s v="External Wire Clearance"/>
    <n v="129.68"/>
    <n v="178.25"/>
    <n v="-26.74"/>
    <n v="152.87"/>
    <n v="204.99"/>
  </r>
  <r>
    <s v="TXN200267"/>
    <x v="94"/>
    <s v="2025-08-01"/>
    <x v="1"/>
    <x v="1"/>
    <s v="Target Direct Online"/>
    <n v="1182.81"/>
    <n v="1609.15"/>
    <n v="426.34"/>
    <n v="1178.2"/>
    <n v="1182.8100000000002"/>
  </r>
  <r>
    <s v="TXN200268"/>
    <x v="91"/>
    <s v="2025-09-19"/>
    <x v="0"/>
    <x v="4"/>
    <s v="Mcdonalds Corp Express"/>
    <n v="405.38"/>
    <n v="505.65"/>
    <n v="-75.849999999999994"/>
    <n v="384.44"/>
    <n v="581.5"/>
  </r>
  <r>
    <s v="TXN200269"/>
    <x v="84"/>
    <s v="2025-07-09"/>
    <x v="1"/>
    <x v="3"/>
    <s v="Techcorp Payroll Inc"/>
    <n v="9294.39"/>
    <n v="12393.49"/>
    <n v="3099.1"/>
    <n v="9088.9699999999993"/>
    <n v="9294.39"/>
  </r>
  <r>
    <s v="TXN200270"/>
    <x v="101"/>
    <s v="2025-09-21"/>
    <x v="0"/>
    <x v="0"/>
    <s v="State Hydro Grid"/>
    <n v="125.16"/>
    <n v="146.58000000000001"/>
    <n v="-21.99"/>
    <n v="131.78"/>
    <n v="168.57000000000002"/>
  </r>
  <r>
    <s v="TXN200271"/>
    <x v="89"/>
    <s v="2025-06-23"/>
    <x v="1"/>
    <x v="2"/>
    <s v="Supermart Marketplace"/>
    <n v="124.12"/>
    <n v="167.68"/>
    <n v="43.56"/>
    <n v="117.46"/>
    <n v="124.12"/>
  </r>
  <r>
    <s v="TXN200272"/>
    <x v="68"/>
    <s v="CORRUPT_DATE_FLAG"/>
    <x v="1"/>
    <x v="2"/>
    <s v="Whole Foods Store"/>
    <n v="255.56"/>
    <n v="305.26"/>
    <n v="49.7"/>
    <n v="231.4"/>
    <n v="255.56"/>
  </r>
  <r>
    <s v="TXN200273"/>
    <x v="13"/>
    <s v="2025-12-25"/>
    <x v="0"/>
    <x v="2"/>
    <s v="Supermart Marketplace"/>
    <n v="995.1"/>
    <n v="1368.95"/>
    <n v="-205.34"/>
    <n v="1121.6199999999999"/>
    <n v="1574.29"/>
  </r>
  <r>
    <s v="TXN200274"/>
    <x v="121"/>
    <s v="2025-07-11"/>
    <x v="1"/>
    <x v="4"/>
    <s v="Olive Garden Gourmet"/>
    <n v="670.74"/>
    <n v="792.08"/>
    <n v="121.34"/>
    <n v="732.84"/>
    <n v="670.74"/>
  </r>
  <r>
    <s v="TXN200275"/>
    <x v="80"/>
    <s v="2025-10-19"/>
    <x v="0"/>
    <x v="0"/>
    <s v="City Power &amp; Gas Co"/>
    <n v="1156.98"/>
    <n v="1527.46"/>
    <n v="-229.12"/>
    <n v="1078.23"/>
    <n v="1756.58"/>
  </r>
  <r>
    <s v="TXN200276"/>
    <x v="50"/>
    <s v="CORRUPT_DATE_FLAG"/>
    <x v="1"/>
    <x v="6"/>
    <s v="Netflix Streaming Premium"/>
    <n v="522.29"/>
    <n v="690.65"/>
    <n v="168.36"/>
    <n v="546.75"/>
    <n v="522.29"/>
  </r>
  <r>
    <s v="TXN200277"/>
    <x v="108"/>
    <s v="2025-01-30"/>
    <x v="1"/>
    <x v="2"/>
    <s v="Supermart Marketplace"/>
    <n v="303.45"/>
    <n v="366.17"/>
    <n v="62.72"/>
    <n v="305.60000000000002"/>
    <n v="303.45000000000005"/>
  </r>
  <r>
    <s v="TXN200278"/>
    <x v="39"/>
    <s v="2025-06-10"/>
    <x v="1"/>
    <x v="0"/>
    <s v="State Hydro Grid"/>
    <n v="1022.11"/>
    <n v="1409.71"/>
    <n v="387.6"/>
    <n v="990.35"/>
    <n v="1022.11"/>
  </r>
  <r>
    <s v="TXN200279"/>
    <x v="88"/>
    <s v="2025-09-23"/>
    <x v="0"/>
    <x v="2"/>
    <s v="Fresh &amp; Fast Logistics"/>
    <n v="789.61"/>
    <n v="1047.6300000000001"/>
    <n v="-157.13999999999999"/>
    <n v="719.26"/>
    <n v="1204.77"/>
  </r>
  <r>
    <s v="TXN200280"/>
    <x v="36"/>
    <s v="2025-11-13"/>
    <x v="1"/>
    <x v="5"/>
    <s v="Internal P2P Route"/>
    <n v="127.85"/>
    <n v="151.94999999999999"/>
    <n v="24.1"/>
    <n v="116.74"/>
    <n v="127.85"/>
  </r>
  <r>
    <s v="TXN200281"/>
    <x v="34"/>
    <s v="2025-08-17"/>
    <x v="0"/>
    <x v="5"/>
    <s v="External Wire Clearance"/>
    <n v="796.55"/>
    <n v="960.01"/>
    <n v="-144"/>
    <n v="793.71"/>
    <n v="1104.01"/>
  </r>
  <r>
    <s v="TXN200282"/>
    <x v="114"/>
    <s v="2025-01-02"/>
    <x v="0"/>
    <x v="0"/>
    <s v="Metropolitan Water Sewer"/>
    <n v="866.2"/>
    <n v="1186.08"/>
    <n v="-177.91"/>
    <n v="1021.44"/>
    <n v="1363.99"/>
  </r>
  <r>
    <s v="TXN200283"/>
    <x v="122"/>
    <s v="2025-08-28"/>
    <x v="1"/>
    <x v="6"/>
    <s v="Spotify Music Hub"/>
    <n v="165.38"/>
    <n v="224.63"/>
    <n v="59.25"/>
    <n v="159.75"/>
    <n v="165.38"/>
  </r>
  <r>
    <s v="TXN200284"/>
    <x v="63"/>
    <s v="2025-07-06"/>
    <x v="1"/>
    <x v="6"/>
    <s v="Amc Cinema Network"/>
    <n v="854.39"/>
    <n v="1143.6300000000001"/>
    <n v="289.24"/>
    <n v="955.53"/>
    <n v="854.3900000000001"/>
  </r>
  <r>
    <s v="TXN200285"/>
    <x v="111"/>
    <s v="2025-11-22"/>
    <x v="1"/>
    <x v="4"/>
    <s v="Mcdonalds Corp Express"/>
    <n v="986.51"/>
    <n v="1180.9000000000001"/>
    <n v="194.39"/>
    <n v="1009.69"/>
    <n v="986.5100000000001"/>
  </r>
  <r>
    <s v="TXN200286"/>
    <x v="123"/>
    <s v="2025-08-26"/>
    <x v="0"/>
    <x v="0"/>
    <s v="City Power &amp; Gas Co"/>
    <n v="124.56"/>
    <n v="149.04"/>
    <n v="-22.36"/>
    <n v="141.44999999999999"/>
    <n v="171.39999999999998"/>
  </r>
  <r>
    <s v="TXN200287"/>
    <x v="73"/>
    <s v="2025-02-02"/>
    <x v="0"/>
    <x v="2"/>
    <s v="Fresh &amp; Fast Logistics"/>
    <n v="961.06"/>
    <n v="1195.58"/>
    <n v="-179.34"/>
    <n v="1022.17"/>
    <n v="1374.9199999999998"/>
  </r>
  <r>
    <s v="TXN200288"/>
    <x v="83"/>
    <s v="2025-08-26"/>
    <x v="0"/>
    <x v="2"/>
    <s v="Fresh &amp; Fast Logistics"/>
    <n v="142.87"/>
    <n v="174.59"/>
    <n v="-26.19"/>
    <n v="154.19"/>
    <n v="200.78"/>
  </r>
  <r>
    <s v="TXN200289"/>
    <x v="56"/>
    <s v="2025-07-15"/>
    <x v="1"/>
    <x v="4"/>
    <s v="Mcdonalds Corp Express"/>
    <n v="1095.71"/>
    <n v="1261.1400000000001"/>
    <n v="165.43"/>
    <n v="1016.07"/>
    <n v="1095.71"/>
  </r>
  <r>
    <s v="TXN200290"/>
    <x v="7"/>
    <s v="2025-10-21"/>
    <x v="1"/>
    <x v="4"/>
    <s v="Mcdonalds Corp Express"/>
    <n v="337.28"/>
    <n v="438.35"/>
    <n v="101.07"/>
    <n v="373.38"/>
    <n v="337.28000000000003"/>
  </r>
  <r>
    <s v="TXN200291"/>
    <x v="29"/>
    <s v="28/10/2025"/>
    <x v="0"/>
    <x v="5"/>
    <s v="Internal P2P Route"/>
    <n v="1005.15"/>
    <n v="1373.37"/>
    <n v="-206.01"/>
    <n v="967.54"/>
    <n v="1579.3799999999999"/>
  </r>
  <r>
    <s v="TXN200292"/>
    <x v="98"/>
    <s v="2025-06-04"/>
    <x v="1"/>
    <x v="5"/>
    <s v="Zelle Payment Engine"/>
    <n v="751.87"/>
    <n v="889.38"/>
    <n v="137.51"/>
    <n v="692.59"/>
    <n v="751.87"/>
  </r>
  <r>
    <s v="TXN200293"/>
    <x v="114"/>
    <s v="2025-01-07"/>
    <x v="1"/>
    <x v="4"/>
    <s v="Olive Garden Gourmet"/>
    <n v="659.69"/>
    <n v="857.61"/>
    <n v="197.92"/>
    <n v="681.72"/>
    <n v="659.69"/>
  </r>
  <r>
    <s v="TXN200294"/>
    <x v="117"/>
    <s v="2025-05-06"/>
    <x v="0"/>
    <x v="0"/>
    <s v="State Hydro Grid"/>
    <n v="345.63"/>
    <n v="421.47"/>
    <n v="-44.182985074626863"/>
    <n v="391.48"/>
    <n v="465.65298507462688"/>
  </r>
  <r>
    <s v="TXN200295"/>
    <x v="90"/>
    <s v="2025-11-13"/>
    <x v="1"/>
    <x v="4"/>
    <s v="Olive Garden Gourmet"/>
    <n v="68.13"/>
    <n v="84.94"/>
    <n v="16.809999999999999"/>
    <n v="66.38"/>
    <n v="68.13"/>
  </r>
  <r>
    <s v="TXN200296"/>
    <x v="8"/>
    <s v="2025-08-08"/>
    <x v="0"/>
    <x v="0"/>
    <s v="City Power &amp; Gas Co"/>
    <n v="456.74"/>
    <n v="559.14"/>
    <n v="-83.87"/>
    <n v="519.02"/>
    <n v="643.01"/>
  </r>
  <r>
    <s v="TXN200297"/>
    <x v="1"/>
    <s v="2025-08-17"/>
    <x v="1"/>
    <x v="4"/>
    <s v="Olive Garden Gourmet"/>
    <n v="260.41000000000003"/>
    <n v="360.78"/>
    <n v="100.37"/>
    <n v="305.57"/>
    <n v="260.40999999999997"/>
  </r>
  <r>
    <s v="TXN200298"/>
    <x v="114"/>
    <s v="26/03/2025"/>
    <x v="0"/>
    <x v="6"/>
    <s v="Spotify Music Hub"/>
    <n v="609.28"/>
    <n v="701.24"/>
    <n v="-105.19"/>
    <n v="575.63"/>
    <n v="806.43000000000006"/>
  </r>
  <r>
    <s v="TXN200299"/>
    <x v="64"/>
    <s v="2025-10-03"/>
    <x v="0"/>
    <x v="1"/>
    <s v="Amazon Digital Supply"/>
    <n v="920.85"/>
    <n v="1065.73"/>
    <n v="-159.86000000000001"/>
    <n v="829.31"/>
    <n v="1225.5900000000001"/>
  </r>
  <r>
    <s v="TXN200300"/>
    <x v="124"/>
    <s v="2025-10-19"/>
    <x v="0"/>
    <x v="6"/>
    <s v="Spotify Music Hub"/>
    <n v="547.02"/>
    <n v="630.91999999999996"/>
    <n v="-94.64"/>
    <n v="543.26"/>
    <n v="725.56"/>
  </r>
  <r>
    <s v="TXN200301"/>
    <x v="19"/>
    <s v="2025-09-08"/>
    <x v="1"/>
    <x v="6"/>
    <s v="Amc Cinema Network"/>
    <n v="486.05"/>
    <n v="596.86"/>
    <n v="110.81"/>
    <n v="493.23"/>
    <n v="486.05"/>
  </r>
  <r>
    <s v="TXN200302"/>
    <x v="92"/>
    <s v="15/02/2025"/>
    <x v="0"/>
    <x v="1"/>
    <s v="Ebay International"/>
    <n v="1121.49"/>
    <n v="1378.14"/>
    <n v="-206.72"/>
    <n v="1183.08"/>
    <n v="1584.8600000000001"/>
  </r>
  <r>
    <s v="TXN200303"/>
    <x v="3"/>
    <s v="13/06/2025"/>
    <x v="0"/>
    <x v="2"/>
    <s v="Whole Foods Store"/>
    <n v="244.66"/>
    <n v="310.49"/>
    <n v="-46.57"/>
    <n v="240.06"/>
    <n v="357.06"/>
  </r>
  <r>
    <s v="TXN200304"/>
    <x v="21"/>
    <s v="2025-08-08"/>
    <x v="1"/>
    <x v="0"/>
    <s v="State Hydro Grid"/>
    <n v="1087.9100000000001"/>
    <n v="1360.05"/>
    <n v="272.14"/>
    <n v="1224.3599999999999"/>
    <n v="1087.9099999999999"/>
  </r>
  <r>
    <s v="TXN200305"/>
    <x v="47"/>
    <s v="2025-11-18"/>
    <x v="0"/>
    <x v="0"/>
    <s v="City Power &amp; Gas Co"/>
    <n v="42.56"/>
    <n v="53.87"/>
    <n v="-8.08"/>
    <n v="42.33"/>
    <n v="61.949999999999996"/>
  </r>
  <r>
    <s v="TXN200306"/>
    <x v="94"/>
    <s v="2025-09-26"/>
    <x v="1"/>
    <x v="3"/>
    <s v="Stark Retail Labs"/>
    <n v="7348.47"/>
    <n v="9029.4599999999991"/>
    <n v="1680.99"/>
    <n v="7365.87"/>
    <n v="7348.4699999999993"/>
  </r>
  <r>
    <s v="TXN200307"/>
    <x v="24"/>
    <s v="2025-06-10"/>
    <x v="1"/>
    <x v="1"/>
    <s v="Amazon Digital Supply"/>
    <n v="898.36"/>
    <n v="1176.05"/>
    <n v="277.69"/>
    <n v="854.33"/>
    <n v="898.3599999999999"/>
  </r>
  <r>
    <s v="TXN200308"/>
    <x v="32"/>
    <s v="2025-07-28"/>
    <x v="1"/>
    <x v="3"/>
    <s v="Stark Retail Labs"/>
    <n v="5445.25"/>
    <n v="6550.97"/>
    <n v="1105.72"/>
    <n v="6196.76"/>
    <n v="5445.25"/>
  </r>
  <r>
    <s v="TXN200309"/>
    <x v="25"/>
    <s v="2025-08-27"/>
    <x v="0"/>
    <x v="5"/>
    <s v="External Wire Clearance"/>
    <n v="456.03"/>
    <n v="579.96"/>
    <n v="-86.99"/>
    <n v="502.9"/>
    <n v="666.95"/>
  </r>
  <r>
    <s v="TXN200310"/>
    <x v="72"/>
    <s v="2025-12-17"/>
    <x v="1"/>
    <x v="4"/>
    <s v="Olive Garden Gourmet"/>
    <n v="409"/>
    <n v="553.52"/>
    <n v="144.52000000000001"/>
    <n v="424.86"/>
    <n v="409"/>
  </r>
  <r>
    <s v="TXN200311"/>
    <x v="67"/>
    <s v="CORRUPT_DATE_FLAG"/>
    <x v="0"/>
    <x v="5"/>
    <s v="Zelle Payment Engine"/>
    <n v="550.08000000000004"/>
    <n v="660.37"/>
    <n v="-99.06"/>
    <n v="613.41999999999996"/>
    <n v="759.43000000000006"/>
  </r>
  <r>
    <s v="TXN200312"/>
    <x v="10"/>
    <s v="2025-04-20"/>
    <x v="0"/>
    <x v="4"/>
    <s v="Olive Garden Gourmet"/>
    <n v="393.07"/>
    <n v="537.48"/>
    <n v="-80.62"/>
    <n v="397.73"/>
    <n v="618.1"/>
  </r>
  <r>
    <s v="TXN200313"/>
    <x v="115"/>
    <s v="2025-04-15"/>
    <x v="0"/>
    <x v="3"/>
    <s v="Stark Retail Labs"/>
    <n v="9137.4699999999993"/>
    <n v="12370.75"/>
    <n v="-1855.61"/>
    <n v="10306.299999999999"/>
    <n v="14226.36"/>
  </r>
  <r>
    <s v="TXN200314"/>
    <x v="125"/>
    <s v="2025-10-04"/>
    <x v="1"/>
    <x v="4"/>
    <s v="Olive Garden Gourmet"/>
    <n v="394.47"/>
    <n v="466.96"/>
    <n v="72.489999999999995"/>
    <n v="470.97"/>
    <n v="394.46999999999997"/>
  </r>
  <r>
    <s v="TXN200315"/>
    <x v="81"/>
    <s v="2025-07-07"/>
    <x v="1"/>
    <x v="0"/>
    <s v="City Power &amp; Gas Co"/>
    <n v="906.71"/>
    <n v="1130.77"/>
    <n v="224.06"/>
    <n v="1046.45"/>
    <n v="906.71"/>
  </r>
  <r>
    <s v="TXN200316"/>
    <x v="99"/>
    <s v="2025-05-25"/>
    <x v="0"/>
    <x v="2"/>
    <s v="Fresh &amp; Fast Logistics"/>
    <n v="753.54"/>
    <n v="1020.49"/>
    <n v="-153.07"/>
    <n v="684.36"/>
    <n v="1173.56"/>
  </r>
  <r>
    <s v="TXN200317"/>
    <x v="102"/>
    <s v="2025-10-01"/>
    <x v="1"/>
    <x v="6"/>
    <s v="Netflix Streaming Premium"/>
    <n v="598.87"/>
    <n v="751.1"/>
    <n v="152.22999999999999"/>
    <n v="541.47"/>
    <n v="598.87"/>
  </r>
  <r>
    <s v="TXN200318"/>
    <x v="120"/>
    <s v="10/07/2025"/>
    <x v="0"/>
    <x v="2"/>
    <s v="Fresh &amp; Fast Logistics"/>
    <n v="719.98"/>
    <n v="888.83"/>
    <n v="-133.32"/>
    <n v="774.08"/>
    <n v="1022.1500000000001"/>
  </r>
  <r>
    <s v="TXN200319"/>
    <x v="125"/>
    <s v="2025-02-27"/>
    <x v="1"/>
    <x v="2"/>
    <s v="Fresh &amp; Fast Logistics"/>
    <n v="834.11"/>
    <n v="1022.15"/>
    <n v="188.04"/>
    <n v="764.32"/>
    <n v="834.11"/>
  </r>
  <r>
    <s v="TXN200320"/>
    <x v="97"/>
    <s v="2025-08-31"/>
    <x v="0"/>
    <x v="3"/>
    <s v="Global Industries Llc"/>
    <n v="7296.32"/>
    <n v="8457.56"/>
    <n v="-1268.6300000000001"/>
    <n v="6664.36"/>
    <n v="9726.1899999999987"/>
  </r>
  <r>
    <s v="TXN200321"/>
    <x v="98"/>
    <s v="CORRUPT_DATE_FLAG"/>
    <x v="1"/>
    <x v="3"/>
    <s v="Techcorp Payroll Inc"/>
    <n v="9215.35"/>
    <n v="12416.47"/>
    <n v="3201.12"/>
    <n v="10062.51"/>
    <n v="9215.3499999999985"/>
  </r>
  <r>
    <s v="TXN200322"/>
    <x v="85"/>
    <s v="2025-06-25"/>
    <x v="0"/>
    <x v="1"/>
    <s v="Ebay International"/>
    <n v="190.79"/>
    <n v="232.68"/>
    <n v="-34.9"/>
    <n v="195.29"/>
    <n v="267.58"/>
  </r>
  <r>
    <s v="TXN200323"/>
    <x v="126"/>
    <s v="2025-05-30"/>
    <x v="0"/>
    <x v="2"/>
    <s v="Whole Foods Store"/>
    <n v="187.39"/>
    <n v="249.11"/>
    <n v="-37.369999999999997"/>
    <n v="197.95"/>
    <n v="286.48"/>
  </r>
  <r>
    <s v="TXN200324"/>
    <x v="94"/>
    <s v="2025-07-28"/>
    <x v="0"/>
    <x v="1"/>
    <s v="Amazon Digital Supply"/>
    <n v="1053.8"/>
    <n v="1288.05"/>
    <n v="-193.21"/>
    <n v="1233.8900000000001"/>
    <n v="1481.26"/>
  </r>
  <r>
    <s v="TXN200325"/>
    <x v="88"/>
    <s v="2025-12-31"/>
    <x v="0"/>
    <x v="4"/>
    <s v="Olive Garden Gourmet"/>
    <n v="790.59"/>
    <n v="924.67"/>
    <n v="-138.69999999999999"/>
    <n v="796.92"/>
    <n v="1063.3699999999999"/>
  </r>
  <r>
    <s v="TXN200326"/>
    <x v="120"/>
    <s v="2025-06-10"/>
    <x v="1"/>
    <x v="1"/>
    <s v="Target Direct Online"/>
    <n v="288.57"/>
    <n v="400.31"/>
    <n v="111.74"/>
    <n v="320.02"/>
    <n v="288.57"/>
  </r>
  <r>
    <s v="TXN200327"/>
    <x v="16"/>
    <s v="2025-08-15"/>
    <x v="1"/>
    <x v="6"/>
    <s v="Spotify Music Hub"/>
    <n v="126.75"/>
    <n v="158.85"/>
    <n v="32.1"/>
    <n v="144.80000000000001"/>
    <n v="126.75"/>
  </r>
  <r>
    <s v="TXN200328"/>
    <x v="23"/>
    <s v="2025-01-07"/>
    <x v="0"/>
    <x v="3"/>
    <s v="Techcorp Payroll Inc"/>
    <n v="5127.05"/>
    <n v="6752.05"/>
    <n v="-1012.81"/>
    <n v="5714.81"/>
    <n v="7764.8600000000006"/>
  </r>
  <r>
    <s v="TXN200329"/>
    <x v="125"/>
    <s v="2025-12-19"/>
    <x v="1"/>
    <x v="5"/>
    <s v="Zelle Payment Engine"/>
    <n v="1173.9000000000001"/>
    <n v="1431.78"/>
    <n v="257.88"/>
    <n v="1130.6500000000001"/>
    <n v="1173.9000000000001"/>
  </r>
  <r>
    <s v="TXN200330"/>
    <x v="109"/>
    <s v="2025-03-23"/>
    <x v="0"/>
    <x v="4"/>
    <s v="Starbucks Hub Cafe"/>
    <n v="153.31"/>
    <n v="182.5"/>
    <n v="-27.38"/>
    <n v="175.52"/>
    <n v="209.88"/>
  </r>
  <r>
    <s v="TXN200331"/>
    <x v="83"/>
    <s v="2025-05-25"/>
    <x v="1"/>
    <x v="3"/>
    <s v="Techcorp Payroll Inc"/>
    <n v="4691.96"/>
    <n v="5971.35"/>
    <n v="1279.3900000000001"/>
    <n v="5356.43"/>
    <n v="4691.96"/>
  </r>
  <r>
    <s v="TXN200332"/>
    <x v="114"/>
    <s v="2025-10-05"/>
    <x v="0"/>
    <x v="4"/>
    <s v="Olive Garden Gourmet"/>
    <n v="1038.03"/>
    <n v="1225.1199999999999"/>
    <n v="-183.77"/>
    <n v="987.09"/>
    <n v="1408.8899999999999"/>
  </r>
  <r>
    <s v="TXN200333"/>
    <x v="79"/>
    <s v="2025-05-06"/>
    <x v="1"/>
    <x v="4"/>
    <s v="Olive Garden Gourmet"/>
    <n v="616.42999999999995"/>
    <n v="761.56"/>
    <n v="145.13"/>
    <n v="586.98"/>
    <n v="616.42999999999995"/>
  </r>
  <r>
    <s v="TXN200334"/>
    <x v="127"/>
    <s v="2025-03-26"/>
    <x v="0"/>
    <x v="1"/>
    <s v="Target Direct Online"/>
    <n v="743.45"/>
    <n v="957.3"/>
    <n v="-143.59"/>
    <n v="843.11"/>
    <n v="1100.8899999999999"/>
  </r>
  <r>
    <s v="TXN200335"/>
    <x v="18"/>
    <s v="2025-04-22"/>
    <x v="0"/>
    <x v="5"/>
    <s v="External Wire Clearance"/>
    <n v="166.11"/>
    <n v="216.04"/>
    <n v="-32.409999999999997"/>
    <n v="188.93"/>
    <n v="248.45"/>
  </r>
  <r>
    <s v="TXN200336"/>
    <x v="49"/>
    <s v="2025-01-30"/>
    <x v="0"/>
    <x v="6"/>
    <s v="Netflix Streaming Premium"/>
    <n v="1059.99"/>
    <n v="1314.23"/>
    <n v="-197.13"/>
    <n v="1217.1099999999999"/>
    <n v="1511.3600000000001"/>
  </r>
  <r>
    <s v="TXN200337"/>
    <x v="54"/>
    <s v="2025-09-25"/>
    <x v="0"/>
    <x v="2"/>
    <s v="Fresh &amp; Fast Logistics"/>
    <n v="1219.4163333333336"/>
    <n v="119.33"/>
    <n v="-17.899999999999999"/>
    <n v="119.13"/>
    <n v="137.22999999999999"/>
  </r>
  <r>
    <s v="TXN200338"/>
    <x v="79"/>
    <s v="2025-07-09"/>
    <x v="1"/>
    <x v="4"/>
    <s v="Starbucks Hub Cafe"/>
    <n v="189.22"/>
    <n v="226.78"/>
    <n v="37.56"/>
    <n v="200.28"/>
    <n v="189.22"/>
  </r>
  <r>
    <s v="TXN200339"/>
    <x v="36"/>
    <s v="2025-07-20"/>
    <x v="0"/>
    <x v="0"/>
    <s v="Metropolitan Water Sewer"/>
    <n v="543.02"/>
    <n v="638.65"/>
    <n v="-95.8"/>
    <n v="622.76"/>
    <n v="734.44999999999993"/>
  </r>
  <r>
    <s v="TXN200340"/>
    <x v="18"/>
    <s v="2025-06-29"/>
    <x v="0"/>
    <x v="6"/>
    <s v="Netflix Streaming Premium"/>
    <n v="279.48"/>
    <n v="384.73"/>
    <n v="-57.71"/>
    <n v="325.18"/>
    <n v="442.44"/>
  </r>
  <r>
    <s v="TXN200341"/>
    <x v="128"/>
    <s v="2025-12-07"/>
    <x v="0"/>
    <x v="3"/>
    <s v="Stark Retail Labs"/>
    <n v="7450.72"/>
    <n v="9216.08"/>
    <n v="-1382.41"/>
    <n v="6813.5"/>
    <n v="10598.49"/>
  </r>
  <r>
    <s v="TXN200342"/>
    <x v="85"/>
    <s v="2025-06-08"/>
    <x v="1"/>
    <x v="4"/>
    <s v="Olive Garden Gourmet"/>
    <n v="786.87"/>
    <n v="1089.78"/>
    <n v="302.91000000000003"/>
    <n v="862.53"/>
    <n v="786.86999999999989"/>
  </r>
  <r>
    <s v="TXN200343"/>
    <x v="0"/>
    <s v="2025-02-23"/>
    <x v="0"/>
    <x v="3"/>
    <s v="Techcorp Payroll Inc"/>
    <n v="8212.48"/>
    <n v="10287.52"/>
    <n v="-1543.13"/>
    <n v="9316.0300000000007"/>
    <n v="11830.650000000001"/>
  </r>
  <r>
    <s v="TXN200344"/>
    <x v="129"/>
    <s v="2025-06-07"/>
    <x v="0"/>
    <x v="2"/>
    <s v="Whole Foods Store"/>
    <n v="851.86"/>
    <n v="1026.92"/>
    <n v="-154.04"/>
    <n v="894.05"/>
    <n v="1180.96"/>
  </r>
  <r>
    <s v="TXN200345"/>
    <x v="38"/>
    <s v="2025-09-19"/>
    <x v="0"/>
    <x v="1"/>
    <s v="Ebay International"/>
    <n v="25.09"/>
    <n v="34.99"/>
    <n v="-5.25"/>
    <n v="29.51"/>
    <n v="40.24"/>
  </r>
  <r>
    <s v="TXN200346"/>
    <x v="105"/>
    <s v="2025-05-25"/>
    <x v="0"/>
    <x v="6"/>
    <s v="Netflix Streaming Premium"/>
    <n v="1073.3699999999999"/>
    <n v="1374.9"/>
    <n v="-206.24"/>
    <n v="1181.08"/>
    <n v="1581.14"/>
  </r>
  <r>
    <s v="TXN200347"/>
    <x v="80"/>
    <s v="2025-08-11"/>
    <x v="1"/>
    <x v="6"/>
    <s v="Spotify Music Hub"/>
    <n v="446.77"/>
    <n v="598.79999999999995"/>
    <n v="152.03"/>
    <n v="428.34"/>
    <n v="446.77"/>
  </r>
  <r>
    <s v="TXN200348"/>
    <x v="31"/>
    <s v="30/01/2025"/>
    <x v="0"/>
    <x v="3"/>
    <s v="Global Industries Llc"/>
    <n v="8880.89"/>
    <n v="10466.36"/>
    <n v="-1569.95"/>
    <n v="9071.0300000000007"/>
    <n v="12036.310000000001"/>
  </r>
  <r>
    <s v="TXN200349"/>
    <x v="43"/>
    <s v="2025-01-18"/>
    <x v="0"/>
    <x v="4"/>
    <s v="Olive Garden Gourmet"/>
    <n v="571.14"/>
    <n v="666.5"/>
    <n v="-99.97"/>
    <n v="610.47"/>
    <n v="766.47"/>
  </r>
  <r>
    <s v="TXN200350"/>
    <x v="75"/>
    <s v="2025-03-30"/>
    <x v="0"/>
    <x v="4"/>
    <s v="Starbucks Hub Cafe"/>
    <n v="671.95"/>
    <n v="903.89"/>
    <n v="-135.58000000000001"/>
    <n v="620.92999999999995"/>
    <n v="1039.47"/>
  </r>
  <r>
    <s v="TXN200351"/>
    <x v="75"/>
    <s v="2025-05-31"/>
    <x v="1"/>
    <x v="1"/>
    <s v="Ebay International"/>
    <n v="588.24"/>
    <n v="717.13"/>
    <n v="128.88999999999999"/>
    <n v="573.21"/>
    <n v="588.24"/>
  </r>
  <r>
    <s v="TXN200352"/>
    <x v="63"/>
    <s v="2025-12-14"/>
    <x v="0"/>
    <x v="4"/>
    <s v="Mcdonalds Corp Express"/>
    <n v="787.16"/>
    <n v="1069.97"/>
    <n v="-160.5"/>
    <n v="879.09"/>
    <n v="1230.47"/>
  </r>
  <r>
    <s v="TXN200353"/>
    <x v="112"/>
    <s v="2025-03-24"/>
    <x v="1"/>
    <x v="3"/>
    <s v="Stark Retail Labs"/>
    <n v="7466.6"/>
    <n v="9445.7999999999993"/>
    <n v="1979.2"/>
    <n v="7306"/>
    <n v="7466.5999999999995"/>
  </r>
  <r>
    <s v="TXN200354"/>
    <x v="48"/>
    <s v="2025-08-09"/>
    <x v="1"/>
    <x v="2"/>
    <s v="Supermart Marketplace"/>
    <n v="695.37"/>
    <n v="972.59"/>
    <n v="277.22000000000003"/>
    <n v="663.8"/>
    <n v="695.37"/>
  </r>
  <r>
    <s v="TXN200355"/>
    <x v="130"/>
    <s v="2025-07-12"/>
    <x v="1"/>
    <x v="6"/>
    <s v="Spotify Music Hub"/>
    <n v="951.33"/>
    <n v="1259.47"/>
    <n v="308.14"/>
    <n v="875.48"/>
    <n v="951.33"/>
  </r>
  <r>
    <s v="TXN200356"/>
    <x v="120"/>
    <s v="2025-03-26"/>
    <x v="1"/>
    <x v="2"/>
    <s v="Supermart Marketplace"/>
    <n v="442.66"/>
    <n v="543.13"/>
    <n v="100.47"/>
    <n v="497.11"/>
    <n v="442.65999999999997"/>
  </r>
  <r>
    <s v="TXN200357"/>
    <x v="131"/>
    <s v="2025-02-22"/>
    <x v="0"/>
    <x v="3"/>
    <s v="Global Industries Llc"/>
    <n v="9280.85"/>
    <n v="12991.95"/>
    <n v="-44.182985074626863"/>
    <n v="9970.32"/>
    <n v="13036.132985074628"/>
  </r>
  <r>
    <s v="TXN200358"/>
    <x v="26"/>
    <s v="2025-02-07"/>
    <x v="1"/>
    <x v="0"/>
    <s v="State Hydro Grid"/>
    <n v="1007.52"/>
    <n v="1311.72"/>
    <n v="304.2"/>
    <n v="980.25"/>
    <n v="1007.52"/>
  </r>
  <r>
    <s v="TXN200359"/>
    <x v="113"/>
    <s v="2025-10-28"/>
    <x v="1"/>
    <x v="5"/>
    <s v="Internal P2P Route"/>
    <n v="554.46"/>
    <n v="671.47"/>
    <n v="117.01"/>
    <n v="563.32000000000005"/>
    <n v="554.46"/>
  </r>
  <r>
    <s v="TXN200360"/>
    <x v="56"/>
    <s v="2025-10-21"/>
    <x v="0"/>
    <x v="0"/>
    <s v="City Power &amp; Gas Co"/>
    <n v="660.32"/>
    <n v="821.85"/>
    <n v="-123.28"/>
    <n v="631.41"/>
    <n v="945.13"/>
  </r>
  <r>
    <s v="TXN200361"/>
    <x v="81"/>
    <s v="2025-03-06"/>
    <x v="1"/>
    <x v="6"/>
    <s v="Spotify Music Hub"/>
    <n v="1169.19"/>
    <n v="1475.76"/>
    <n v="-44.182985074626863"/>
    <n v="1379.91"/>
    <n v="1519.9429850746269"/>
  </r>
  <r>
    <s v="TXN200362"/>
    <x v="33"/>
    <s v="2025-12-22"/>
    <x v="1"/>
    <x v="4"/>
    <s v="Starbucks Hub Cafe"/>
    <n v="401.96"/>
    <n v="497.8"/>
    <n v="95.84"/>
    <n v="444.56"/>
    <n v="401.96000000000004"/>
  </r>
  <r>
    <s v="TXN200363"/>
    <x v="73"/>
    <s v="2025-02-05"/>
    <x v="1"/>
    <x v="2"/>
    <s v="Fresh &amp; Fast Logistics"/>
    <n v="301.88"/>
    <n v="354.1"/>
    <n v="52.22"/>
    <n v="320.36"/>
    <n v="301.88"/>
  </r>
  <r>
    <s v="TXN200364"/>
    <x v="51"/>
    <s v="2025-02-06"/>
    <x v="1"/>
    <x v="5"/>
    <s v="External Wire Clearance"/>
    <n v="551.38"/>
    <n v="660.01"/>
    <n v="108.63"/>
    <n v="507.89"/>
    <n v="551.38"/>
  </r>
  <r>
    <s v="TXN200365"/>
    <x v="122"/>
    <s v="2025-10-16"/>
    <x v="0"/>
    <x v="2"/>
    <s v="Fresh &amp; Fast Logistics"/>
    <n v="277.44"/>
    <n v="320.83999999999997"/>
    <n v="-48.13"/>
    <n v="270.36"/>
    <n v="368.96999999999997"/>
  </r>
  <r>
    <s v="TXN200366"/>
    <x v="100"/>
    <s v="2025-01-26"/>
    <x v="1"/>
    <x v="2"/>
    <s v="Whole Foods Store"/>
    <n v="1150.68"/>
    <n v="1551.28"/>
    <n v="400.6"/>
    <n v="1159.8399999999999"/>
    <n v="1150.6799999999998"/>
  </r>
  <r>
    <s v="TXN200367"/>
    <x v="19"/>
    <s v="2025-06-30"/>
    <x v="0"/>
    <x v="4"/>
    <s v="Starbucks Hub Cafe"/>
    <n v="913.11"/>
    <n v="1254.9000000000001"/>
    <n v="-188.24"/>
    <n v="1051.28"/>
    <n v="1443.14"/>
  </r>
  <r>
    <s v="TXN200368"/>
    <x v="57"/>
    <s v="2025-02-01"/>
    <x v="1"/>
    <x v="2"/>
    <s v="Supermart Marketplace"/>
    <n v="576"/>
    <n v="803.72"/>
    <n v="227.72"/>
    <n v="657.07"/>
    <n v="576"/>
  </r>
  <r>
    <s v="TXN200369"/>
    <x v="9"/>
    <s v="2025-04-19"/>
    <x v="0"/>
    <x v="5"/>
    <s v="Zelle Payment Engine"/>
    <n v="311.87"/>
    <n v="413.93"/>
    <n v="-62.09"/>
    <n v="320.54000000000002"/>
    <n v="476.02"/>
  </r>
  <r>
    <s v="TXN200370"/>
    <x v="93"/>
    <s v="2025-08-11"/>
    <x v="0"/>
    <x v="1"/>
    <s v="Target Direct Online"/>
    <n v="340.14"/>
    <n v="397.81"/>
    <n v="-59.67"/>
    <n v="386.45"/>
    <n v="457.48"/>
  </r>
  <r>
    <s v="TXN200371"/>
    <x v="14"/>
    <s v="2025-12-04"/>
    <x v="0"/>
    <x v="5"/>
    <s v="External Wire Clearance"/>
    <n v="880.9"/>
    <n v="1056.6300000000001"/>
    <n v="-158.49"/>
    <n v="835.51"/>
    <n v="1215.1200000000001"/>
  </r>
  <r>
    <s v="TXN200372"/>
    <x v="34"/>
    <s v="2025-01-24"/>
    <x v="0"/>
    <x v="3"/>
    <s v="Global Industries Llc"/>
    <n v="7025.07"/>
    <n v="9578.01"/>
    <n v="-1436.7"/>
    <n v="6459.5"/>
    <n v="11014.710000000001"/>
  </r>
  <r>
    <s v="TXN200373"/>
    <x v="60"/>
    <s v="2025-06-21"/>
    <x v="0"/>
    <x v="5"/>
    <s v="Zelle Payment Engine"/>
    <n v="1138.68"/>
    <n v="1394.12"/>
    <n v="-209.12"/>
    <n v="1049.5999999999999"/>
    <n v="1603.2399999999998"/>
  </r>
  <r>
    <s v="TXN200374"/>
    <x v="114"/>
    <s v="2025-05-11"/>
    <x v="1"/>
    <x v="0"/>
    <s v="City Power &amp; Gas Co"/>
    <n v="584.80999999999995"/>
    <n v="797.23"/>
    <n v="212.42"/>
    <n v="567.29999999999995"/>
    <n v="584.81000000000006"/>
  </r>
  <r>
    <s v="TXN200375"/>
    <x v="53"/>
    <s v="2025-02-23"/>
    <x v="1"/>
    <x v="0"/>
    <s v="State Hydro Grid"/>
    <n v="55.08"/>
    <n v="63.83"/>
    <n v="8.75"/>
    <n v="57.91"/>
    <n v="55.08"/>
  </r>
  <r>
    <s v="TXN200376"/>
    <x v="127"/>
    <s v="2025-04-11"/>
    <x v="0"/>
    <x v="1"/>
    <s v="Target Direct Online"/>
    <n v="799.44"/>
    <n v="936.52"/>
    <n v="-140.47999999999999"/>
    <n v="815.53"/>
    <n v="1077"/>
  </r>
  <r>
    <s v="TXN200377"/>
    <x v="50"/>
    <s v="2025-07-05"/>
    <x v="0"/>
    <x v="4"/>
    <s v="Mcdonalds Corp Express"/>
    <n v="588.87"/>
    <n v="744.31"/>
    <n v="-111.65"/>
    <n v="540.51"/>
    <n v="855.95999999999992"/>
  </r>
  <r>
    <s v="TXN200378"/>
    <x v="132"/>
    <s v="2025-07-16"/>
    <x v="0"/>
    <x v="1"/>
    <s v="Ebay International"/>
    <n v="742.62"/>
    <n v="1025.78"/>
    <n v="-153.87"/>
    <n v="870.75"/>
    <n v="1179.6500000000001"/>
  </r>
  <r>
    <s v="TXN200379"/>
    <x v="63"/>
    <s v="2025-08-13"/>
    <x v="0"/>
    <x v="6"/>
    <s v="Spotify Music Hub"/>
    <n v="1219.4163333333336"/>
    <n v="139.13999999999999"/>
    <n v="-20.87"/>
    <n v="104.39"/>
    <n v="160.01"/>
  </r>
  <r>
    <s v="TXN200380"/>
    <x v="16"/>
    <s v="2025-12-16"/>
    <x v="1"/>
    <x v="5"/>
    <s v="Zelle Payment Engine"/>
    <n v="1074.2"/>
    <n v="1308.1300000000001"/>
    <n v="233.93"/>
    <n v="1060.24"/>
    <n v="1074.2"/>
  </r>
  <r>
    <s v="TXN200381"/>
    <x v="108"/>
    <s v="2025-11-20"/>
    <x v="0"/>
    <x v="0"/>
    <s v="Metropolitan Water Sewer"/>
    <n v="388.61"/>
    <n v="485.3"/>
    <n v="-72.8"/>
    <n v="357.62"/>
    <n v="558.1"/>
  </r>
  <r>
    <s v="TXN200382"/>
    <x v="84"/>
    <s v="CORRUPT_DATE_FLAG"/>
    <x v="0"/>
    <x v="2"/>
    <s v="Whole Foods Store"/>
    <n v="429.71"/>
    <n v="518.83000000000004"/>
    <n v="-77.819999999999993"/>
    <n v="500.5"/>
    <n v="596.65000000000009"/>
  </r>
  <r>
    <s v="TXN200383"/>
    <x v="92"/>
    <s v="2025-10-24"/>
    <x v="1"/>
    <x v="6"/>
    <s v="Amc Cinema Network"/>
    <n v="995.44"/>
    <n v="1391.58"/>
    <n v="396.14"/>
    <n v="918.06"/>
    <n v="995.43999999999994"/>
  </r>
  <r>
    <s v="TXN200384"/>
    <x v="71"/>
    <s v="2025-08-29"/>
    <x v="1"/>
    <x v="5"/>
    <s v="External Wire Clearance"/>
    <n v="1040.8900000000001"/>
    <n v="1300.9100000000001"/>
    <n v="260.02"/>
    <n v="1068.6199999999999"/>
    <n v="1040.8900000000001"/>
  </r>
  <r>
    <s v="TXN200385"/>
    <x v="133"/>
    <s v="2025-02-11"/>
    <x v="0"/>
    <x v="3"/>
    <s v="Global Industries Llc"/>
    <n v="6237.65"/>
    <n v="8490.7800000000007"/>
    <n v="-1273.6199999999999"/>
    <n v="6572.72"/>
    <n v="9764.4000000000015"/>
  </r>
  <r>
    <s v="TXN200386"/>
    <x v="112"/>
    <s v="2025-08-15"/>
    <x v="1"/>
    <x v="5"/>
    <s v="External Wire Clearance"/>
    <n v="1015.46"/>
    <n v="1337.11"/>
    <n v="321.64999999999998"/>
    <n v="1216.2"/>
    <n v="1015.4599999999999"/>
  </r>
  <r>
    <s v="TXN200387"/>
    <x v="68"/>
    <s v="2025-06-17"/>
    <x v="1"/>
    <x v="0"/>
    <s v="Metropolitan Water Sewer"/>
    <n v="630.45000000000005"/>
    <n v="847.12"/>
    <n v="216.67"/>
    <n v="657.2"/>
    <n v="630.45000000000005"/>
  </r>
  <r>
    <s v="TXN200388"/>
    <x v="9"/>
    <s v="2025-01-13"/>
    <x v="0"/>
    <x v="5"/>
    <s v="Internal P2P Route"/>
    <n v="653.17999999999995"/>
    <n v="845.36"/>
    <n v="-126.8"/>
    <n v="617.84"/>
    <n v="972.16"/>
  </r>
  <r>
    <s v="TXN200389"/>
    <x v="85"/>
    <s v="2025-06-20"/>
    <x v="0"/>
    <x v="4"/>
    <s v="Mcdonalds Corp Express"/>
    <n v="1037.98"/>
    <n v="1254.07"/>
    <n v="-188.11"/>
    <n v="1229.78"/>
    <n v="1442.1799999999998"/>
  </r>
  <r>
    <s v="TXN200390"/>
    <x v="61"/>
    <s v="2025-02-14"/>
    <x v="1"/>
    <x v="1"/>
    <s v="Ebay International"/>
    <n v="785.95"/>
    <n v="1083.56"/>
    <n v="297.61"/>
    <n v="940.44"/>
    <n v="785.94999999999993"/>
  </r>
  <r>
    <s v="TXN200391"/>
    <x v="114"/>
    <s v="2025-08-18"/>
    <x v="0"/>
    <x v="4"/>
    <s v="Mcdonalds Corp Express"/>
    <n v="939.75"/>
    <n v="1274.74"/>
    <n v="-191.21"/>
    <n v="866.34"/>
    <n v="1465.95"/>
  </r>
  <r>
    <s v="TXN200392"/>
    <x v="21"/>
    <s v="2025-11-09"/>
    <x v="1"/>
    <x v="6"/>
    <s v="Spotify Music Hub"/>
    <n v="114.9"/>
    <n v="147"/>
    <n v="32.1"/>
    <n v="131.01"/>
    <n v="114.9"/>
  </r>
  <r>
    <s v="TXN200393"/>
    <x v="38"/>
    <s v="2025-06-08"/>
    <x v="0"/>
    <x v="5"/>
    <s v="Internal P2P Route"/>
    <n v="37.51"/>
    <n v="47.94"/>
    <n v="-7.19"/>
    <n v="38.36"/>
    <n v="55.129999999999995"/>
  </r>
  <r>
    <s v="TXN200394"/>
    <x v="97"/>
    <s v="2025-10-30"/>
    <x v="0"/>
    <x v="0"/>
    <s v="Metropolitan Water Sewer"/>
    <n v="1010.91"/>
    <n v="1165.0899999999999"/>
    <n v="-174.76"/>
    <n v="1068.46"/>
    <n v="1339.85"/>
  </r>
  <r>
    <s v="TXN200395"/>
    <x v="125"/>
    <s v="2025-03-21"/>
    <x v="1"/>
    <x v="3"/>
    <s v="Techcorp Payroll Inc"/>
    <n v="8331.17"/>
    <n v="10020.31"/>
    <n v="1689.14"/>
    <n v="9545.23"/>
    <n v="8331.17"/>
  </r>
  <r>
    <s v="TXN200396"/>
    <x v="129"/>
    <s v="2025-08-29"/>
    <x v="0"/>
    <x v="6"/>
    <s v="Amc Cinema Network"/>
    <n v="365.85"/>
    <n v="479.33"/>
    <n v="-71.900000000000006"/>
    <n v="422.48"/>
    <n v="551.23"/>
  </r>
  <r>
    <s v="TXN200397"/>
    <x v="74"/>
    <s v="2025-09-27"/>
    <x v="0"/>
    <x v="6"/>
    <s v="Amc Cinema Network"/>
    <n v="360.57"/>
    <n v="490.59"/>
    <n v="-73.59"/>
    <n v="355.15"/>
    <n v="564.17999999999995"/>
  </r>
  <r>
    <s v="TXN200398"/>
    <x v="7"/>
    <s v="2025-07-01"/>
    <x v="1"/>
    <x v="5"/>
    <s v="Internal P2P Route"/>
    <n v="393.3"/>
    <n v="501.37"/>
    <n v="108.07"/>
    <n v="383.64"/>
    <n v="393.3"/>
  </r>
  <r>
    <s v="TXN200399"/>
    <x v="60"/>
    <s v="2025-12-18"/>
    <x v="1"/>
    <x v="5"/>
    <s v="External Wire Clearance"/>
    <n v="297.81"/>
    <n v="408.01"/>
    <n v="110.2"/>
    <n v="277.77"/>
    <n v="297.81"/>
  </r>
  <r>
    <s v="TXN200400"/>
    <x v="134"/>
    <s v="2025-01-16"/>
    <x v="0"/>
    <x v="3"/>
    <s v="Techcorp Payroll Inc"/>
    <n v="8045.37"/>
    <n v="10044.049999999999"/>
    <n v="-1506.61"/>
    <n v="8551.82"/>
    <n v="11550.66"/>
  </r>
  <r>
    <s v="TXN200401"/>
    <x v="77"/>
    <s v="2025-12-26"/>
    <x v="1"/>
    <x v="6"/>
    <s v="Spotify Music Hub"/>
    <n v="1182.68"/>
    <n v="1530.59"/>
    <n v="-44.182985074626863"/>
    <n v="1208.1199999999999"/>
    <n v="1574.7729850746268"/>
  </r>
  <r>
    <s v="TXN200402"/>
    <x v="113"/>
    <s v="2025-04-21"/>
    <x v="1"/>
    <x v="0"/>
    <s v="Metropolitan Water Sewer"/>
    <n v="874.93"/>
    <n v="1122.9000000000001"/>
    <n v="247.97"/>
    <n v="921.95"/>
    <n v="874.93000000000006"/>
  </r>
  <r>
    <s v="TXN200403"/>
    <x v="16"/>
    <s v="2025-04-28"/>
    <x v="0"/>
    <x v="3"/>
    <s v="Global Industries Llc"/>
    <n v="9195.5499999999993"/>
    <n v="11401.85"/>
    <n v="-1710.28"/>
    <n v="8844.3700000000008"/>
    <n v="13112.130000000001"/>
  </r>
  <r>
    <s v="TXN200404"/>
    <x v="12"/>
    <s v="2025-09-14"/>
    <x v="1"/>
    <x v="5"/>
    <s v="Internal P2P Route"/>
    <n v="713.36"/>
    <n v="887.41"/>
    <n v="174.05"/>
    <n v="817.28"/>
    <n v="713.3599999999999"/>
  </r>
  <r>
    <s v="TXN200405"/>
    <x v="7"/>
    <s v="2025-07-26"/>
    <x v="0"/>
    <x v="6"/>
    <s v="Amc Cinema Network"/>
    <n v="948.53"/>
    <n v="1242.44"/>
    <n v="-186.37"/>
    <n v="946"/>
    <n v="1428.81"/>
  </r>
  <r>
    <s v="TXN200406"/>
    <x v="5"/>
    <s v="2025-05-05"/>
    <x v="0"/>
    <x v="2"/>
    <s v="Fresh &amp; Fast Logistics"/>
    <n v="1004.01"/>
    <n v="1342.67"/>
    <n v="-201.4"/>
    <n v="1107.1099999999999"/>
    <n v="1544.0700000000002"/>
  </r>
  <r>
    <s v="TXN200407"/>
    <x v="67"/>
    <s v="CORRUPT_DATE_FLAG"/>
    <x v="1"/>
    <x v="1"/>
    <s v="Ebay International"/>
    <n v="835.57"/>
    <n v="1420.2638235294123"/>
    <n v="233.27"/>
    <n v="978.25"/>
    <n v="1186.9938235294123"/>
  </r>
  <r>
    <s v="TXN200408"/>
    <x v="78"/>
    <s v="2025-12-16"/>
    <x v="0"/>
    <x v="3"/>
    <s v="Stark Retail Labs"/>
    <n v="4521.3100000000004"/>
    <n v="6209.83"/>
    <n v="-931.47"/>
    <n v="4182.49"/>
    <n v="7141.3"/>
  </r>
  <r>
    <s v="TXN200409"/>
    <x v="21"/>
    <s v="2025-04-15"/>
    <x v="0"/>
    <x v="3"/>
    <s v="Global Industries Llc"/>
    <n v="9011.26"/>
    <n v="11794.27"/>
    <n v="-1769.14"/>
    <n v="9786.07"/>
    <n v="13563.41"/>
  </r>
  <r>
    <s v="TXN200410"/>
    <x v="125"/>
    <s v="2025-08-23"/>
    <x v="0"/>
    <x v="5"/>
    <s v="Zelle Payment Engine"/>
    <n v="1180.3900000000001"/>
    <n v="1447.82"/>
    <n v="-217.17"/>
    <n v="1257.24"/>
    <n v="1664.99"/>
  </r>
  <r>
    <s v="TXN200411"/>
    <x v="12"/>
    <s v="2025-08-03"/>
    <x v="0"/>
    <x v="1"/>
    <s v="Target Direct Online"/>
    <n v="838.51"/>
    <n v="1120.8399999999999"/>
    <n v="-168.13"/>
    <n v="943.58"/>
    <n v="1288.9699999999998"/>
  </r>
  <r>
    <s v="TXN200412"/>
    <x v="28"/>
    <s v="2025-09-29"/>
    <x v="0"/>
    <x v="5"/>
    <s v="Internal P2P Route"/>
    <n v="1020.84"/>
    <n v="1252.71"/>
    <n v="-187.91"/>
    <n v="932.54"/>
    <n v="1440.6200000000001"/>
  </r>
  <r>
    <s v="TXN200413"/>
    <x v="11"/>
    <s v="2025-11-08"/>
    <x v="0"/>
    <x v="5"/>
    <s v="Zelle Payment Engine"/>
    <n v="429.49"/>
    <n v="522.01"/>
    <n v="-78.3"/>
    <n v="391.32"/>
    <n v="600.30999999999995"/>
  </r>
  <r>
    <s v="TXN200414"/>
    <x v="133"/>
    <s v="2025-02-15"/>
    <x v="0"/>
    <x v="6"/>
    <s v="Spotify Music Hub"/>
    <n v="705.8"/>
    <n v="886.25"/>
    <n v="-132.94"/>
    <n v="680.34"/>
    <n v="1019.19"/>
  </r>
  <r>
    <s v="TXN200415"/>
    <x v="96"/>
    <s v="02/04/2025"/>
    <x v="1"/>
    <x v="4"/>
    <s v="Olive Garden Gourmet"/>
    <n v="646.96"/>
    <n v="823.43"/>
    <n v="176.47"/>
    <n v="608.16999999999996"/>
    <n v="646.95999999999992"/>
  </r>
  <r>
    <s v="TXN200416"/>
    <x v="130"/>
    <s v="08/11/2025"/>
    <x v="1"/>
    <x v="1"/>
    <s v="Ebay International"/>
    <n v="483.36"/>
    <n v="662.32"/>
    <n v="178.96"/>
    <n v="549.54"/>
    <n v="483.36"/>
  </r>
  <r>
    <s v="TXN200417"/>
    <x v="120"/>
    <s v="2025-04-30"/>
    <x v="0"/>
    <x v="4"/>
    <s v="Starbucks Hub Cafe"/>
    <n v="998.21"/>
    <n v="1288.8"/>
    <n v="-193.32"/>
    <n v="1093.83"/>
    <n v="1482.12"/>
  </r>
  <r>
    <s v="TXN200418"/>
    <x v="68"/>
    <s v="2025-01-19"/>
    <x v="0"/>
    <x v="6"/>
    <s v="Spotify Music Hub"/>
    <n v="250.97"/>
    <n v="328.04"/>
    <n v="-49.21"/>
    <n v="272.18"/>
    <n v="377.25"/>
  </r>
  <r>
    <s v="TXN200419"/>
    <x v="135"/>
    <s v="2025-01-15"/>
    <x v="1"/>
    <x v="3"/>
    <s v="Stark Retail Labs"/>
    <n v="6929.34"/>
    <n v="8341.91"/>
    <n v="1412.57"/>
    <n v="6414.79"/>
    <n v="6929.34"/>
  </r>
  <r>
    <s v="TXN200420"/>
    <x v="10"/>
    <s v="24/02/2025"/>
    <x v="0"/>
    <x v="0"/>
    <s v="City Power &amp; Gas Co"/>
    <n v="1219.4163333333336"/>
    <n v="123.96"/>
    <n v="-18.59"/>
    <n v="112.12"/>
    <n v="142.54999999999998"/>
  </r>
  <r>
    <s v="TXN200421"/>
    <x v="30"/>
    <s v="2025-08-10"/>
    <x v="0"/>
    <x v="4"/>
    <s v="Olive Garden Gourmet"/>
    <n v="178.41"/>
    <n v="248.61"/>
    <n v="-37.29"/>
    <n v="175.13"/>
    <n v="285.90000000000003"/>
  </r>
  <r>
    <s v="TXN200422"/>
    <x v="136"/>
    <s v="2025-12-04"/>
    <x v="0"/>
    <x v="1"/>
    <s v="Amazon Digital Supply"/>
    <n v="1143.54"/>
    <n v="1393.92"/>
    <n v="-44.182985074626863"/>
    <n v="1074.51"/>
    <n v="1438.102985074627"/>
  </r>
  <r>
    <s v="TXN200423"/>
    <x v="18"/>
    <s v="2025-04-08"/>
    <x v="0"/>
    <x v="3"/>
    <s v="Stark Retail Labs"/>
    <n v="5524.92"/>
    <n v="6527.76"/>
    <n v="-979.16"/>
    <n v="5474.03"/>
    <n v="7506.92"/>
  </r>
  <r>
    <s v="TXN200424"/>
    <x v="6"/>
    <s v="2025-01-22"/>
    <x v="1"/>
    <x v="4"/>
    <s v="Mcdonalds Corp Express"/>
    <n v="677.87"/>
    <n v="803.84"/>
    <n v="125.97"/>
    <n v="717.7"/>
    <n v="677.87"/>
  </r>
  <r>
    <s v="TXN200425"/>
    <x v="79"/>
    <s v="2025-02-23"/>
    <x v="1"/>
    <x v="5"/>
    <s v="Internal P2P Route"/>
    <n v="537.57000000000005"/>
    <n v="673.18"/>
    <n v="135.61000000000001"/>
    <n v="599.32000000000005"/>
    <n v="537.56999999999994"/>
  </r>
  <r>
    <s v="TXN200426"/>
    <x v="74"/>
    <s v="2025-06-15"/>
    <x v="0"/>
    <x v="6"/>
    <s v="Spotify Music Hub"/>
    <n v="442"/>
    <n v="618.27"/>
    <n v="-92.74"/>
    <n v="514.22"/>
    <n v="711.01"/>
  </r>
  <r>
    <s v="TXN200427"/>
    <x v="137"/>
    <s v="2025-09-04"/>
    <x v="0"/>
    <x v="2"/>
    <s v="Supermart Marketplace"/>
    <n v="1219.4163333333336"/>
    <n v="116.66"/>
    <n v="-17.5"/>
    <n v="111.44"/>
    <n v="134.16"/>
  </r>
  <r>
    <s v="TXN200428"/>
    <x v="21"/>
    <s v="2025-10-05"/>
    <x v="0"/>
    <x v="2"/>
    <s v="Whole Foods Store"/>
    <n v="1137.6600000000001"/>
    <n v="1310.44"/>
    <n v="-196.57"/>
    <n v="1197.42"/>
    <n v="1507.01"/>
  </r>
  <r>
    <s v="TXN200429"/>
    <x v="88"/>
    <s v="2025-12-29"/>
    <x v="1"/>
    <x v="4"/>
    <s v="Mcdonalds Corp Express"/>
    <n v="158.63"/>
    <n v="209.45"/>
    <n v="50.82"/>
    <n v="182.53"/>
    <n v="158.63"/>
  </r>
  <r>
    <s v="TXN200430"/>
    <x v="85"/>
    <s v="2025-08-15"/>
    <x v="0"/>
    <x v="2"/>
    <s v="Supermart Marketplace"/>
    <n v="1034.51"/>
    <n v="1406.03"/>
    <n v="-210.9"/>
    <n v="1007.89"/>
    <n v="1616.93"/>
  </r>
  <r>
    <s v="TXN200431"/>
    <x v="102"/>
    <s v="2025-12-25"/>
    <x v="0"/>
    <x v="1"/>
    <s v="Ebay International"/>
    <n v="498.13"/>
    <n v="641.22"/>
    <n v="-96.18"/>
    <n v="562.47"/>
    <n v="737.40000000000009"/>
  </r>
  <r>
    <s v="TXN200432"/>
    <x v="127"/>
    <s v="2025-03-10"/>
    <x v="1"/>
    <x v="5"/>
    <s v="Internal P2P Route"/>
    <n v="848.24"/>
    <n v="1014.08"/>
    <n v="165.84"/>
    <n v="920.29"/>
    <n v="848.24"/>
  </r>
  <r>
    <s v="TXN200433"/>
    <x v="130"/>
    <s v="09/03/2025"/>
    <x v="0"/>
    <x v="4"/>
    <s v="Olive Garden Gourmet"/>
    <n v="1130.3599999999999"/>
    <n v="1519.78"/>
    <n v="-227.97"/>
    <n v="1287.21"/>
    <n v="1747.75"/>
  </r>
  <r>
    <s v="TXN200434"/>
    <x v="10"/>
    <s v="2025-09-23"/>
    <x v="1"/>
    <x v="4"/>
    <s v="Mcdonalds Corp Express"/>
    <n v="944.98"/>
    <n v="1110.6400000000001"/>
    <n v="165.66"/>
    <n v="886.57"/>
    <n v="944.98000000000013"/>
  </r>
  <r>
    <s v="TXN200435"/>
    <x v="23"/>
    <s v="2025-09-24"/>
    <x v="0"/>
    <x v="1"/>
    <s v="Ebay International"/>
    <n v="1072.9100000000001"/>
    <n v="1426.12"/>
    <n v="-213.92"/>
    <n v="1149.5899999999999"/>
    <n v="1640.04"/>
  </r>
  <r>
    <s v="TXN200436"/>
    <x v="30"/>
    <s v="2025-01-06"/>
    <x v="1"/>
    <x v="3"/>
    <s v="Techcorp Payroll Inc"/>
    <n v="8966.81"/>
    <n v="12523.95"/>
    <n v="3557.14"/>
    <n v="10715.86"/>
    <n v="8966.8100000000013"/>
  </r>
  <r>
    <s v="TXN200437"/>
    <x v="29"/>
    <s v="2025-01-04"/>
    <x v="1"/>
    <x v="6"/>
    <s v="Amc Cinema Network"/>
    <n v="612.19000000000005"/>
    <n v="748.58"/>
    <n v="136.38999999999999"/>
    <n v="693.56"/>
    <n v="612.19000000000005"/>
  </r>
  <r>
    <s v="TXN200438"/>
    <x v="41"/>
    <s v="2025-07-14"/>
    <x v="1"/>
    <x v="0"/>
    <s v="Metropolitan Water Sewer"/>
    <n v="126.64"/>
    <n v="165.29"/>
    <n v="38.65"/>
    <n v="142.13999999999999"/>
    <n v="126.63999999999999"/>
  </r>
  <r>
    <s v="TXN200439"/>
    <x v="89"/>
    <s v="28/11/2025"/>
    <x v="1"/>
    <x v="1"/>
    <s v="Ebay International"/>
    <n v="775.92"/>
    <n v="977.71"/>
    <n v="201.79"/>
    <n v="908.03"/>
    <n v="775.92000000000007"/>
  </r>
  <r>
    <s v="TXN200440"/>
    <x v="138"/>
    <s v="2025-08-16"/>
    <x v="0"/>
    <x v="0"/>
    <s v="Metropolitan Water Sewer"/>
    <n v="160.27000000000001"/>
    <n v="203.76"/>
    <n v="-30.56"/>
    <n v="153.87"/>
    <n v="234.32"/>
  </r>
  <r>
    <s v="TXN200441"/>
    <x v="58"/>
    <s v="2025-09-29"/>
    <x v="0"/>
    <x v="1"/>
    <s v="Target Direct Online"/>
    <n v="847.82"/>
    <n v="1126.07"/>
    <n v="-168.91"/>
    <n v="990.34"/>
    <n v="1294.98"/>
  </r>
  <r>
    <s v="TXN200442"/>
    <x v="31"/>
    <s v="2025-11-16"/>
    <x v="1"/>
    <x v="4"/>
    <s v="Starbucks Hub Cafe"/>
    <n v="922.69"/>
    <n v="1209.8900000000001"/>
    <n v="287.2"/>
    <n v="1061.79"/>
    <n v="922.69"/>
  </r>
  <r>
    <s v="TXN200443"/>
    <x v="62"/>
    <s v="29/11/2025"/>
    <x v="1"/>
    <x v="4"/>
    <s v="Starbucks Hub Cafe"/>
    <n v="1058.1099999999999"/>
    <n v="1243.46"/>
    <n v="185.35"/>
    <n v="1082.78"/>
    <n v="1058.1100000000001"/>
  </r>
  <r>
    <s v="TXN200444"/>
    <x v="77"/>
    <s v="2025-11-19"/>
    <x v="1"/>
    <x v="0"/>
    <s v="State Hydro Grid"/>
    <n v="1002.92"/>
    <n v="1202.2"/>
    <n v="-44.182985074626863"/>
    <n v="1190.4100000000001"/>
    <n v="1246.382985074627"/>
  </r>
  <r>
    <s v="TXN200445"/>
    <x v="49"/>
    <s v="2025-11-04"/>
    <x v="1"/>
    <x v="6"/>
    <s v="Netflix Streaming Premium"/>
    <n v="909.51"/>
    <n v="1068.23"/>
    <n v="158.72"/>
    <n v="1005.54"/>
    <n v="909.51"/>
  </r>
  <r>
    <s v="TXN200446"/>
    <x v="101"/>
    <s v="07/03/2025"/>
    <x v="0"/>
    <x v="5"/>
    <s v="External Wire Clearance"/>
    <n v="639.46"/>
    <n v="801"/>
    <n v="-120.15"/>
    <n v="696.72"/>
    <n v="921.15"/>
  </r>
  <r>
    <s v="TXN200447"/>
    <x v="107"/>
    <s v="2026-01-01"/>
    <x v="0"/>
    <x v="1"/>
    <s v="Target Direct Online"/>
    <n v="412.41"/>
    <n v="577.21"/>
    <n v="-86.58"/>
    <n v="373.18"/>
    <n v="663.79000000000008"/>
  </r>
  <r>
    <s v="TXN200448"/>
    <x v="24"/>
    <s v="2025-09-05"/>
    <x v="0"/>
    <x v="5"/>
    <s v="Zelle Payment Engine"/>
    <n v="425.12"/>
    <n v="489.97"/>
    <n v="-73.5"/>
    <n v="402.71"/>
    <n v="563.47"/>
  </r>
  <r>
    <s v="TXN200449"/>
    <x v="89"/>
    <s v="2025-09-20"/>
    <x v="1"/>
    <x v="3"/>
    <s v="Global Industries Llc"/>
    <n v="7104.92"/>
    <n v="9019.99"/>
    <n v="1915.07"/>
    <n v="7681.08"/>
    <n v="7104.92"/>
  </r>
  <r>
    <s v="TXN200450"/>
    <x v="41"/>
    <s v="2025-09-14"/>
    <x v="0"/>
    <x v="3"/>
    <s v="Global Industries Llc"/>
    <n v="6441.9"/>
    <n v="8383.2900000000009"/>
    <n v="-1257.49"/>
    <n v="6303.76"/>
    <n v="9640.7800000000007"/>
  </r>
  <r>
    <s v="TXN200451"/>
    <x v="130"/>
    <s v="2025-06-01"/>
    <x v="0"/>
    <x v="4"/>
    <s v="Starbucks Hub Cafe"/>
    <n v="298.26"/>
    <n v="366.6"/>
    <n v="-54.99"/>
    <n v="283.73"/>
    <n v="421.59000000000003"/>
  </r>
  <r>
    <s v="TXN200452"/>
    <x v="91"/>
    <s v="2025-06-04"/>
    <x v="1"/>
    <x v="1"/>
    <s v="Target Direct Online"/>
    <n v="827.26"/>
    <n v="1112.1500000000001"/>
    <n v="284.89"/>
    <n v="885.37"/>
    <n v="827.2600000000001"/>
  </r>
  <r>
    <s v="TXN200453"/>
    <x v="74"/>
    <s v="2025-02-02"/>
    <x v="1"/>
    <x v="6"/>
    <s v="Spotify Music Hub"/>
    <n v="45.72"/>
    <n v="60"/>
    <n v="14.28"/>
    <n v="54.07"/>
    <n v="45.72"/>
  </r>
  <r>
    <s v="TXN200454"/>
    <x v="15"/>
    <s v="2025-07-01"/>
    <x v="1"/>
    <x v="4"/>
    <s v="Mcdonalds Corp Express"/>
    <n v="556.26"/>
    <n v="687.32"/>
    <n v="131.06"/>
    <n v="524.21"/>
    <n v="556.26"/>
  </r>
  <r>
    <s v="TXN200455"/>
    <x v="132"/>
    <s v="2025-08-10"/>
    <x v="0"/>
    <x v="3"/>
    <s v="Techcorp Payroll Inc"/>
    <n v="5682.54"/>
    <n v="6778.73"/>
    <n v="-1016.81"/>
    <n v="5154.87"/>
    <n v="7795.5399999999991"/>
  </r>
  <r>
    <s v="TXN200456"/>
    <x v="133"/>
    <s v="CORRUPT_DATE_FLAG"/>
    <x v="1"/>
    <x v="1"/>
    <s v="Amazon Digital Supply"/>
    <n v="50.39"/>
    <n v="62.46"/>
    <n v="12.07"/>
    <n v="47.38"/>
    <n v="50.39"/>
  </r>
  <r>
    <s v="TXN200457"/>
    <x v="125"/>
    <s v="2025-10-12"/>
    <x v="1"/>
    <x v="0"/>
    <s v="City Power &amp; Gas Co"/>
    <n v="976.62"/>
    <n v="1344.54"/>
    <n v="367.92"/>
    <n v="1059.24"/>
    <n v="976.61999999999989"/>
  </r>
  <r>
    <s v="TXN200458"/>
    <x v="110"/>
    <s v="17/06/2025"/>
    <x v="1"/>
    <x v="3"/>
    <s v="Techcorp Payroll Inc"/>
    <n v="9013.9699999999993"/>
    <n v="10413.450000000001"/>
    <n v="1399.48"/>
    <n v="9877.5499999999993"/>
    <n v="9013.9700000000012"/>
  </r>
  <r>
    <s v="TXN200459"/>
    <x v="57"/>
    <s v="2025-11-28"/>
    <x v="0"/>
    <x v="5"/>
    <s v="External Wire Clearance"/>
    <n v="869.67"/>
    <n v="1129.1400000000001"/>
    <n v="-169.37"/>
    <n v="918.76"/>
    <n v="1298.5100000000002"/>
  </r>
  <r>
    <s v="TXN200460"/>
    <x v="89"/>
    <s v="2025-07-02"/>
    <x v="1"/>
    <x v="6"/>
    <s v="Spotify Music Hub"/>
    <n v="795.18"/>
    <n v="982.24"/>
    <n v="187.06"/>
    <n v="945.96"/>
    <n v="795.18000000000006"/>
  </r>
  <r>
    <s v="TXN200461"/>
    <x v="41"/>
    <s v="21/12/2025"/>
    <x v="0"/>
    <x v="3"/>
    <s v="Stark Retail Labs"/>
    <n v="8416.2000000000007"/>
    <n v="10819.32"/>
    <n v="-1622.9"/>
    <n v="8046.41"/>
    <n v="12442.22"/>
  </r>
  <r>
    <s v="TXN200462"/>
    <x v="119"/>
    <s v="2025-04-07"/>
    <x v="0"/>
    <x v="6"/>
    <s v="Amc Cinema Network"/>
    <n v="1143.8699999999999"/>
    <n v="1557.28"/>
    <n v="-233.59"/>
    <n v="1362.67"/>
    <n v="1790.87"/>
  </r>
  <r>
    <s v="TXN200463"/>
    <x v="23"/>
    <s v="2025-10-04"/>
    <x v="1"/>
    <x v="4"/>
    <s v="Mcdonalds Corp Express"/>
    <n v="954.99"/>
    <n v="1179.78"/>
    <n v="224.79"/>
    <n v="1077.27"/>
    <n v="954.99"/>
  </r>
  <r>
    <s v="TXN200464"/>
    <x v="119"/>
    <s v="2025-10-26"/>
    <x v="1"/>
    <x v="2"/>
    <s v="Fresh &amp; Fast Logistics"/>
    <n v="1219.4163333333336"/>
    <n v="132.15"/>
    <n v="32.15"/>
    <n v="95.58"/>
    <n v="100"/>
  </r>
  <r>
    <s v="TXN200465"/>
    <x v="139"/>
    <s v="2025-08-16"/>
    <x v="0"/>
    <x v="1"/>
    <s v="Target Direct Online"/>
    <n v="742.95"/>
    <n v="941.87"/>
    <n v="-141.28"/>
    <n v="724.45"/>
    <n v="1083.1500000000001"/>
  </r>
  <r>
    <s v="TXN200466"/>
    <x v="128"/>
    <s v="2025-04-07"/>
    <x v="1"/>
    <x v="4"/>
    <s v="Olive Garden Gourmet"/>
    <n v="1064.1600000000001"/>
    <n v="1459.28"/>
    <n v="395.12"/>
    <n v="1073.5"/>
    <n v="1064.1599999999999"/>
  </r>
  <r>
    <s v="TXN200467"/>
    <x v="62"/>
    <s v="2025-01-07"/>
    <x v="0"/>
    <x v="2"/>
    <s v="Whole Foods Store"/>
    <n v="1062.93"/>
    <n v="1319.45"/>
    <n v="-197.92"/>
    <n v="966.3"/>
    <n v="1517.3700000000001"/>
  </r>
  <r>
    <s v="TXN200468"/>
    <x v="139"/>
    <s v="2025-06-03"/>
    <x v="1"/>
    <x v="6"/>
    <s v="Spotify Music Hub"/>
    <n v="565.32000000000005"/>
    <n v="679.2"/>
    <n v="113.88"/>
    <n v="535.63"/>
    <n v="565.32000000000005"/>
  </r>
  <r>
    <s v="TXN200469"/>
    <x v="117"/>
    <s v="2025-06-14"/>
    <x v="1"/>
    <x v="5"/>
    <s v="Zelle Payment Engine"/>
    <n v="181.49"/>
    <n v="250.22"/>
    <n v="68.73"/>
    <n v="188.33"/>
    <n v="181.49"/>
  </r>
  <r>
    <s v="TXN200470"/>
    <x v="127"/>
    <s v="2025-02-11"/>
    <x v="0"/>
    <x v="2"/>
    <s v="Whole Foods Store"/>
    <n v="621.22"/>
    <n v="863.55"/>
    <n v="-129.53"/>
    <n v="564.59"/>
    <n v="993.07999999999993"/>
  </r>
  <r>
    <s v="TXN200471"/>
    <x v="103"/>
    <s v="2025-02-12"/>
    <x v="0"/>
    <x v="3"/>
    <s v="Global Industries Llc"/>
    <n v="4744.78"/>
    <n v="6627.52"/>
    <n v="-994.13"/>
    <n v="4783.12"/>
    <n v="7621.6500000000005"/>
  </r>
  <r>
    <s v="TXN200472"/>
    <x v="21"/>
    <s v="2025-11-12"/>
    <x v="1"/>
    <x v="0"/>
    <s v="Metropolitan Water Sewer"/>
    <n v="664.72"/>
    <n v="869.03"/>
    <n v="204.31"/>
    <n v="796.97"/>
    <n v="664.72"/>
  </r>
  <r>
    <s v="TXN200473"/>
    <x v="93"/>
    <s v="2025-04-24"/>
    <x v="1"/>
    <x v="2"/>
    <s v="Whole Foods Store"/>
    <n v="969.1"/>
    <n v="1228.8599999999999"/>
    <n v="259.76"/>
    <n v="1028.9100000000001"/>
    <n v="969.09999999999991"/>
  </r>
  <r>
    <s v="TXN200474"/>
    <x v="59"/>
    <s v="2025-10-06"/>
    <x v="0"/>
    <x v="1"/>
    <s v="Ebay International"/>
    <n v="873"/>
    <n v="1071.27"/>
    <n v="-160.69"/>
    <n v="820.67"/>
    <n v="1231.96"/>
  </r>
  <r>
    <s v="TXN200475"/>
    <x v="48"/>
    <s v="CORRUPT_DATE_FLAG"/>
    <x v="0"/>
    <x v="4"/>
    <s v="Olive Garden Gourmet"/>
    <n v="448.35"/>
    <n v="621.05999999999995"/>
    <n v="-93.16"/>
    <n v="533.61"/>
    <n v="714.21999999999991"/>
  </r>
  <r>
    <s v="TXN200476"/>
    <x v="115"/>
    <s v="2025-04-17"/>
    <x v="1"/>
    <x v="5"/>
    <s v="External Wire Clearance"/>
    <n v="247.44"/>
    <n v="322.75"/>
    <n v="75.31"/>
    <n v="249.67"/>
    <n v="247.44"/>
  </r>
  <r>
    <s v="TXN200477"/>
    <x v="77"/>
    <s v="2025-02-22"/>
    <x v="0"/>
    <x v="6"/>
    <s v="Spotify Music Hub"/>
    <n v="681.14"/>
    <n v="830.56"/>
    <n v="-124.58"/>
    <n v="673.95"/>
    <n v="955.14"/>
  </r>
  <r>
    <s v="TXN200478"/>
    <x v="21"/>
    <s v="2025-05-21"/>
    <x v="1"/>
    <x v="0"/>
    <s v="Metropolitan Water Sewer"/>
    <n v="984.35"/>
    <n v="1188.74"/>
    <n v="204.39"/>
    <n v="918.46"/>
    <n v="984.35"/>
  </r>
  <r>
    <s v="TXN200479"/>
    <x v="17"/>
    <s v="2025-01-29"/>
    <x v="1"/>
    <x v="6"/>
    <s v="Spotify Music Hub"/>
    <n v="844.58"/>
    <n v="1053.6300000000001"/>
    <n v="209.05"/>
    <n v="762.76"/>
    <n v="844.58000000000015"/>
  </r>
  <r>
    <s v="TXN200480"/>
    <x v="140"/>
    <s v="2025-12-17"/>
    <x v="1"/>
    <x v="0"/>
    <s v="State Hydro Grid"/>
    <n v="1064.1500000000001"/>
    <n v="1388"/>
    <n v="323.85000000000002"/>
    <n v="1244.21"/>
    <n v="1064.1500000000001"/>
  </r>
  <r>
    <s v="TXN200481"/>
    <x v="42"/>
    <s v="2025-07-02"/>
    <x v="0"/>
    <x v="6"/>
    <s v="Netflix Streaming Premium"/>
    <n v="290.39"/>
    <n v="335.24"/>
    <n v="-50.29"/>
    <n v="288.64999999999998"/>
    <n v="385.53000000000003"/>
  </r>
  <r>
    <s v="TXN200482"/>
    <x v="25"/>
    <s v="2025-09-27"/>
    <x v="1"/>
    <x v="3"/>
    <s v="Stark Retail Labs"/>
    <n v="5900.42"/>
    <n v="6850.23"/>
    <n v="949.81"/>
    <n v="6289.18"/>
    <n v="5900.42"/>
  </r>
  <r>
    <s v="TXN200483"/>
    <x v="109"/>
    <s v="2025-04-06"/>
    <x v="0"/>
    <x v="1"/>
    <s v="Target Direct Online"/>
    <n v="998.68"/>
    <n v="1197.47"/>
    <n v="-179.62"/>
    <n v="1001.07"/>
    <n v="1377.0900000000001"/>
  </r>
  <r>
    <s v="TXN200484"/>
    <x v="50"/>
    <s v="2025-04-15"/>
    <x v="1"/>
    <x v="1"/>
    <s v="Target Direct Online"/>
    <n v="124.04"/>
    <n v="161.29"/>
    <n v="37.25"/>
    <n v="129.54"/>
    <n v="124.03999999999999"/>
  </r>
  <r>
    <s v="TXN200485"/>
    <x v="1"/>
    <s v="2025-01-05"/>
    <x v="1"/>
    <x v="3"/>
    <s v="Stark Retail Labs"/>
    <n v="5720.65"/>
    <n v="6918.31"/>
    <n v="1197.6600000000001"/>
    <n v="5299.4"/>
    <n v="5720.6500000000005"/>
  </r>
  <r>
    <s v="TXN200486"/>
    <x v="131"/>
    <s v="2025-04-28"/>
    <x v="1"/>
    <x v="2"/>
    <s v="Fresh &amp; Fast Logistics"/>
    <n v="75.209999999999994"/>
    <n v="101.15"/>
    <n v="25.94"/>
    <n v="75.69"/>
    <n v="75.210000000000008"/>
  </r>
  <r>
    <s v="TXN200487"/>
    <x v="141"/>
    <s v="2025-09-12"/>
    <x v="0"/>
    <x v="3"/>
    <s v="Techcorp Payroll Inc"/>
    <n v="5716.77"/>
    <n v="6989.73"/>
    <n v="-1048.46"/>
    <n v="5512.82"/>
    <n v="8038.19"/>
  </r>
  <r>
    <s v="TXN200488"/>
    <x v="64"/>
    <s v="21/04/2025"/>
    <x v="1"/>
    <x v="5"/>
    <s v="Zelle Payment Engine"/>
    <n v="597.04"/>
    <n v="723.62"/>
    <n v="126.58"/>
    <n v="600.03"/>
    <n v="597.04"/>
  </r>
  <r>
    <s v="TXN200489"/>
    <x v="130"/>
    <s v="2025-06-14"/>
    <x v="0"/>
    <x v="4"/>
    <s v="Mcdonalds Corp Express"/>
    <n v="730.24"/>
    <n v="938.91"/>
    <n v="-140.84"/>
    <n v="828.74"/>
    <n v="1079.75"/>
  </r>
  <r>
    <s v="TXN200490"/>
    <x v="92"/>
    <s v="2025-12-28"/>
    <x v="0"/>
    <x v="1"/>
    <s v="Target Direct Online"/>
    <n v="129.61000000000001"/>
    <n v="152.13"/>
    <n v="-22.82"/>
    <n v="135.72999999999999"/>
    <n v="174.95"/>
  </r>
  <r>
    <s v="TXN200491"/>
    <x v="50"/>
    <s v="2025-07-31"/>
    <x v="0"/>
    <x v="6"/>
    <s v="Spotify Music Hub"/>
    <n v="546.41"/>
    <n v="740.43"/>
    <n v="-111.06"/>
    <n v="628.49"/>
    <n v="851.49"/>
  </r>
  <r>
    <s v="TXN200492"/>
    <x v="73"/>
    <s v="2025-04-23"/>
    <x v="1"/>
    <x v="0"/>
    <s v="State Hydro Grid"/>
    <n v="1195.3800000000001"/>
    <n v="1378.82"/>
    <n v="183.44"/>
    <n v="1355.54"/>
    <n v="1195.3799999999999"/>
  </r>
  <r>
    <s v="TXN200493"/>
    <x v="65"/>
    <s v="2025-02-18"/>
    <x v="1"/>
    <x v="1"/>
    <s v="Target Direct Online"/>
    <n v="294.19"/>
    <n v="384.64"/>
    <n v="90.45"/>
    <n v="264.98"/>
    <n v="294.19"/>
  </r>
  <r>
    <s v="TXN200494"/>
    <x v="27"/>
    <s v="2025-11-13"/>
    <x v="0"/>
    <x v="5"/>
    <s v="External Wire Clearance"/>
    <n v="564.33000000000004"/>
    <n v="761.74"/>
    <n v="-114.26"/>
    <n v="522.87"/>
    <n v="876"/>
  </r>
  <r>
    <s v="TXN200495"/>
    <x v="142"/>
    <s v="2025-10-21"/>
    <x v="0"/>
    <x v="0"/>
    <s v="City Power &amp; Gas Co"/>
    <n v="1149.54"/>
    <n v="1345.94"/>
    <n v="-201.89"/>
    <n v="1220.79"/>
    <n v="1547.83"/>
  </r>
  <r>
    <s v="TXN200496"/>
    <x v="18"/>
    <s v="2025-06-09"/>
    <x v="0"/>
    <x v="6"/>
    <s v="Netflix Streaming Premium"/>
    <n v="509.19"/>
    <n v="635.84"/>
    <n v="-95.38"/>
    <n v="474.28"/>
    <n v="731.22"/>
  </r>
  <r>
    <s v="TXN200497"/>
    <x v="38"/>
    <s v="2025-06-08"/>
    <x v="0"/>
    <x v="5"/>
    <s v="Zelle Payment Engine"/>
    <n v="614.21"/>
    <n v="737.72"/>
    <n v="-110.66"/>
    <n v="588.4"/>
    <n v="848.38"/>
  </r>
  <r>
    <s v="TXN200498"/>
    <x v="114"/>
    <s v="2025-06-12"/>
    <x v="1"/>
    <x v="1"/>
    <s v="Target Direct Online"/>
    <n v="723.05"/>
    <n v="907.67"/>
    <n v="184.62"/>
    <n v="790.08"/>
    <n v="723.05"/>
  </r>
  <r>
    <s v="TXN200499"/>
    <x v="142"/>
    <s v="2025-05-08"/>
    <x v="1"/>
    <x v="3"/>
    <s v="Stark Retail Labs"/>
    <n v="1219.4163333333336"/>
    <n v="118.65"/>
    <n v="18.649999999999999"/>
    <n v="103.55"/>
    <n v="100"/>
  </r>
  <r>
    <s v="TXN200500"/>
    <x v="8"/>
    <s v="2025-02-26"/>
    <x v="1"/>
    <x v="4"/>
    <s v="Starbucks Hub Cafe"/>
    <n v="1079.6300000000001"/>
    <n v="1503.2"/>
    <n v="423.57"/>
    <n v="1294.8699999999999"/>
    <n v="1079.6300000000001"/>
  </r>
  <r>
    <s v="TXN200501"/>
    <x v="111"/>
    <s v="2025-07-02"/>
    <x v="1"/>
    <x v="0"/>
    <s v="State Hydro Grid"/>
    <n v="890.07"/>
    <n v="1052.53"/>
    <n v="162.46"/>
    <n v="841"/>
    <n v="890.06999999999994"/>
  </r>
  <r>
    <s v="TXN200502"/>
    <x v="46"/>
    <s v="2025-06-26"/>
    <x v="1"/>
    <x v="1"/>
    <s v="Target Direct Online"/>
    <n v="681.43"/>
    <n v="881.82"/>
    <n v="200.39"/>
    <n v="636.28"/>
    <n v="681.43000000000006"/>
  </r>
  <r>
    <s v="TXN200503"/>
    <x v="71"/>
    <s v="2025-12-21"/>
    <x v="0"/>
    <x v="3"/>
    <s v="Techcorp Payroll Inc"/>
    <n v="5368.76"/>
    <n v="7439.48"/>
    <n v="-1115.92"/>
    <n v="5673.26"/>
    <n v="8555.4"/>
  </r>
  <r>
    <s v="TXN200504"/>
    <x v="140"/>
    <s v="2025-10-12"/>
    <x v="0"/>
    <x v="1"/>
    <s v="Ebay International"/>
    <n v="1079.6600000000001"/>
    <n v="1455.47"/>
    <n v="-218.32"/>
    <n v="1077.01"/>
    <n v="1673.79"/>
  </r>
  <r>
    <s v="TXN200505"/>
    <x v="43"/>
    <s v="2025-05-02"/>
    <x v="0"/>
    <x v="0"/>
    <s v="City Power &amp; Gas Co"/>
    <n v="114.1"/>
    <n v="132.02000000000001"/>
    <n v="-19.8"/>
    <n v="118.43"/>
    <n v="151.82000000000002"/>
  </r>
  <r>
    <s v="TXN200506"/>
    <x v="92"/>
    <s v="2025-04-26"/>
    <x v="1"/>
    <x v="2"/>
    <s v="Fresh &amp; Fast Logistics"/>
    <n v="791.33"/>
    <n v="938.49"/>
    <n v="147.16"/>
    <n v="763.43"/>
    <n v="791.33"/>
  </r>
  <r>
    <s v="TXN200507"/>
    <x v="125"/>
    <s v="2025-10-18"/>
    <x v="1"/>
    <x v="2"/>
    <s v="Fresh &amp; Fast Logistics"/>
    <n v="932.41"/>
    <n v="1174.3599999999999"/>
    <n v="241.95"/>
    <n v="1038.5999999999999"/>
    <n v="932.40999999999985"/>
  </r>
  <r>
    <s v="TXN200508"/>
    <x v="4"/>
    <s v="2025-08-05"/>
    <x v="1"/>
    <x v="2"/>
    <s v="Supermart Marketplace"/>
    <n v="57.19"/>
    <n v="67.37"/>
    <n v="10.18"/>
    <n v="64.48"/>
    <n v="57.190000000000005"/>
  </r>
  <r>
    <s v="TXN200509"/>
    <x v="61"/>
    <s v="2025-01-20"/>
    <x v="0"/>
    <x v="0"/>
    <s v="State Hydro Grid"/>
    <n v="905.43"/>
    <n v="1091.5999999999999"/>
    <n v="-163.74"/>
    <n v="992.02"/>
    <n v="1255.3399999999999"/>
  </r>
  <r>
    <s v="TXN200510"/>
    <x v="113"/>
    <s v="2025-12-18"/>
    <x v="0"/>
    <x v="0"/>
    <s v="Metropolitan Water Sewer"/>
    <n v="93.39"/>
    <n v="110.4"/>
    <n v="-16.559999999999999"/>
    <n v="105.46"/>
    <n v="126.96000000000001"/>
  </r>
  <r>
    <s v="TXN200511"/>
    <x v="82"/>
    <s v="2025-01-01"/>
    <x v="0"/>
    <x v="6"/>
    <s v="Netflix Streaming Premium"/>
    <n v="1186.1600000000001"/>
    <n v="1613.2"/>
    <n v="-241.98"/>
    <n v="1154.1099999999999"/>
    <n v="1855.18"/>
  </r>
  <r>
    <s v="TXN200512"/>
    <x v="52"/>
    <s v="2025-12-11"/>
    <x v="1"/>
    <x v="1"/>
    <s v="Target Direct Online"/>
    <n v="626.75"/>
    <n v="722.03"/>
    <n v="95.28"/>
    <n v="644.70000000000005"/>
    <n v="626.75"/>
  </r>
  <r>
    <s v="TXN200513"/>
    <x v="49"/>
    <s v="2025-08-01"/>
    <x v="0"/>
    <x v="1"/>
    <s v="Target Direct Online"/>
    <n v="658.24"/>
    <n v="862.22"/>
    <n v="-129.33000000000001"/>
    <n v="737.59"/>
    <n v="991.55000000000007"/>
  </r>
  <r>
    <s v="TXN200514"/>
    <x v="98"/>
    <s v="2025-10-24"/>
    <x v="1"/>
    <x v="1"/>
    <s v="Ebay International"/>
    <n v="667.39"/>
    <n v="791.59"/>
    <n v="124.2"/>
    <n v="792.42"/>
    <n v="667.39"/>
  </r>
  <r>
    <s v="TXN200515"/>
    <x v="112"/>
    <s v="2025-11-19"/>
    <x v="0"/>
    <x v="2"/>
    <s v="Whole Foods Store"/>
    <n v="1141.19"/>
    <n v="1571.32"/>
    <n v="-235.7"/>
    <n v="1055.3499999999999"/>
    <n v="1807.02"/>
  </r>
  <r>
    <s v="TXN200516"/>
    <x v="82"/>
    <s v="2025-03-17"/>
    <x v="1"/>
    <x v="5"/>
    <s v="External Wire Clearance"/>
    <n v="485.67"/>
    <n v="589.88"/>
    <n v="104.21"/>
    <n v="484.02"/>
    <n v="485.67"/>
  </r>
  <r>
    <s v="TXN200517"/>
    <x v="84"/>
    <s v="2025-11-02"/>
    <x v="0"/>
    <x v="0"/>
    <s v="State Hydro Grid"/>
    <n v="56.26"/>
    <n v="64.75"/>
    <n v="-9.7100000000000009"/>
    <n v="51.61"/>
    <n v="74.460000000000008"/>
  </r>
  <r>
    <s v="TXN200518"/>
    <x v="91"/>
    <s v="2025-01-02"/>
    <x v="0"/>
    <x v="2"/>
    <s v="Fresh &amp; Fast Logistics"/>
    <n v="811.54"/>
    <n v="967.3"/>
    <n v="-145.09"/>
    <n v="732.11"/>
    <n v="1112.3899999999999"/>
  </r>
  <r>
    <s v="TXN200519"/>
    <x v="1"/>
    <s v="2025-07-12"/>
    <x v="1"/>
    <x v="3"/>
    <s v="Global Industries Llc"/>
    <n v="4737.96"/>
    <n v="6632.14"/>
    <n v="1894.18"/>
    <n v="4620.32"/>
    <n v="4737.96"/>
  </r>
  <r>
    <s v="TXN200520"/>
    <x v="143"/>
    <s v="2025-01-14"/>
    <x v="1"/>
    <x v="1"/>
    <s v="Ebay International"/>
    <n v="88.97"/>
    <n v="115.35"/>
    <n v="26.38"/>
    <n v="86.1"/>
    <n v="88.97"/>
  </r>
  <r>
    <s v="TXN200521"/>
    <x v="14"/>
    <s v="2025-04-11"/>
    <x v="0"/>
    <x v="1"/>
    <s v="Target Direct Online"/>
    <n v="252.56"/>
    <n v="338.33"/>
    <n v="-50.75"/>
    <n v="245.37"/>
    <n v="389.08"/>
  </r>
  <r>
    <s v="TXN200522"/>
    <x v="105"/>
    <s v="2025-05-15"/>
    <x v="0"/>
    <x v="5"/>
    <s v="Zelle Payment Engine"/>
    <n v="39.79"/>
    <n v="48.54"/>
    <n v="-7.28"/>
    <n v="36.450000000000003"/>
    <n v="55.82"/>
  </r>
  <r>
    <s v="TXN200523"/>
    <x v="50"/>
    <s v="2025-09-29"/>
    <x v="1"/>
    <x v="5"/>
    <s v="External Wire Clearance"/>
    <n v="966.75"/>
    <n v="1207.29"/>
    <n v="240.54"/>
    <n v="883.76"/>
    <n v="966.75"/>
  </r>
  <r>
    <s v="TXN200524"/>
    <x v="110"/>
    <s v="2025-07-08"/>
    <x v="0"/>
    <x v="2"/>
    <s v="Whole Foods Store"/>
    <n v="1173.55"/>
    <n v="1412.23"/>
    <n v="-211.83"/>
    <n v="1060.68"/>
    <n v="1624.06"/>
  </r>
  <r>
    <s v="TXN200525"/>
    <x v="102"/>
    <s v="2025-07-11"/>
    <x v="0"/>
    <x v="2"/>
    <s v="Fresh &amp; Fast Logistics"/>
    <n v="1102.52"/>
    <n v="1331.47"/>
    <n v="-199.72"/>
    <n v="1166.24"/>
    <n v="1531.19"/>
  </r>
  <r>
    <s v="TXN200526"/>
    <x v="33"/>
    <s v="CORRUPT_DATE_FLAG"/>
    <x v="0"/>
    <x v="4"/>
    <s v="Mcdonalds Corp Express"/>
    <n v="1219.4163333333336"/>
    <n v="121.7"/>
    <n v="-18.25"/>
    <n v="119.13"/>
    <n v="139.94999999999999"/>
  </r>
  <r>
    <s v="TXN200527"/>
    <x v="62"/>
    <s v="2025-03-09"/>
    <x v="0"/>
    <x v="3"/>
    <s v="Global Industries Llc"/>
    <n v="4636.45"/>
    <n v="6468.03"/>
    <n v="-970.2"/>
    <n v="4906.58"/>
    <n v="7438.23"/>
  </r>
  <r>
    <s v="TXN200528"/>
    <x v="134"/>
    <s v="2025-07-23"/>
    <x v="1"/>
    <x v="5"/>
    <s v="Internal P2P Route"/>
    <n v="803.58"/>
    <n v="962.39"/>
    <n v="158.81"/>
    <n v="872.66"/>
    <n v="803.57999999999993"/>
  </r>
  <r>
    <s v="TXN200529"/>
    <x v="73"/>
    <s v="2025-01-04"/>
    <x v="0"/>
    <x v="0"/>
    <s v="City Power &amp; Gas Co"/>
    <n v="359.89"/>
    <n v="493.06"/>
    <n v="-73.959999999999994"/>
    <n v="406.94"/>
    <n v="567.02"/>
  </r>
  <r>
    <s v="TXN200530"/>
    <x v="137"/>
    <s v="2025-11-04"/>
    <x v="0"/>
    <x v="0"/>
    <s v="City Power &amp; Gas Co"/>
    <n v="1081.57"/>
    <n v="1443.46"/>
    <n v="-216.52"/>
    <n v="1095.77"/>
    <n v="1659.98"/>
  </r>
  <r>
    <s v="TXN200531"/>
    <x v="55"/>
    <s v="2025-11-29"/>
    <x v="0"/>
    <x v="0"/>
    <s v="State Hydro Grid"/>
    <n v="1013.46"/>
    <n v="1190.29"/>
    <n v="-178.54"/>
    <n v="986.46"/>
    <n v="1368.83"/>
  </r>
  <r>
    <s v="TXN200532"/>
    <x v="54"/>
    <s v="2025-06-01"/>
    <x v="0"/>
    <x v="2"/>
    <s v="Whole Foods Store"/>
    <n v="792.16"/>
    <n v="992.87"/>
    <n v="-148.93"/>
    <n v="732.43"/>
    <n v="1141.8"/>
  </r>
  <r>
    <s v="TXN200533"/>
    <x v="27"/>
    <s v="2025-02-15"/>
    <x v="1"/>
    <x v="4"/>
    <s v="Starbucks Hub Cafe"/>
    <n v="150.63"/>
    <n v="186.79"/>
    <n v="36.159999999999997"/>
    <n v="160.22"/>
    <n v="150.63"/>
  </r>
  <r>
    <s v="TXN200534"/>
    <x v="8"/>
    <s v="2025-03-10"/>
    <x v="1"/>
    <x v="0"/>
    <s v="City Power &amp; Gas Co"/>
    <n v="594.22"/>
    <n v="822.1"/>
    <n v="227.88"/>
    <n v="581.28"/>
    <n v="594.22"/>
  </r>
  <r>
    <s v="TXN200535"/>
    <x v="136"/>
    <s v="2025-06-05"/>
    <x v="1"/>
    <x v="3"/>
    <s v="Techcorp Payroll Inc"/>
    <n v="5612.19"/>
    <n v="7807.43"/>
    <n v="2195.2399999999998"/>
    <n v="6565.51"/>
    <n v="5612.1900000000005"/>
  </r>
  <r>
    <s v="TXN200536"/>
    <x v="115"/>
    <s v="2025-08-31"/>
    <x v="0"/>
    <x v="1"/>
    <s v="Ebay International"/>
    <n v="579.21"/>
    <n v="692.02"/>
    <n v="-103.8"/>
    <n v="613.57000000000005"/>
    <n v="795.81999999999994"/>
  </r>
  <r>
    <s v="TXN200537"/>
    <x v="95"/>
    <s v="2025-06-14"/>
    <x v="1"/>
    <x v="5"/>
    <s v="External Wire Clearance"/>
    <n v="1101.3800000000001"/>
    <n v="1456.47"/>
    <n v="355.09"/>
    <n v="1286.32"/>
    <n v="1101.3800000000001"/>
  </r>
  <r>
    <s v="TXN200538"/>
    <x v="144"/>
    <s v="2025-06-03"/>
    <x v="0"/>
    <x v="6"/>
    <s v="Netflix Streaming Premium"/>
    <n v="1219.4163333333336"/>
    <n v="136.59"/>
    <n v="-20.49"/>
    <n v="103.89"/>
    <n v="157.08000000000001"/>
  </r>
  <r>
    <s v="TXN200539"/>
    <x v="145"/>
    <s v="2025-11-08"/>
    <x v="1"/>
    <x v="6"/>
    <s v="Amc Cinema Network"/>
    <n v="45.94"/>
    <n v="61.23"/>
    <n v="15.29"/>
    <n v="51.77"/>
    <n v="45.94"/>
  </r>
  <r>
    <s v="TXN200540"/>
    <x v="40"/>
    <s v="2025-04-26"/>
    <x v="0"/>
    <x v="5"/>
    <s v="External Wire Clearance"/>
    <n v="176.92"/>
    <n v="238.47"/>
    <n v="-35.770000000000003"/>
    <n v="164.6"/>
    <n v="274.24"/>
  </r>
  <r>
    <s v="TXN200541"/>
    <x v="77"/>
    <s v="2025-08-18"/>
    <x v="0"/>
    <x v="6"/>
    <s v="Amc Cinema Network"/>
    <n v="595.24"/>
    <n v="786.72"/>
    <n v="-118.01"/>
    <n v="607.47"/>
    <n v="904.73"/>
  </r>
  <r>
    <s v="TXN200542"/>
    <x v="116"/>
    <s v="2025-01-09"/>
    <x v="0"/>
    <x v="2"/>
    <s v="Whole Foods Store"/>
    <n v="648.41"/>
    <n v="865.81"/>
    <n v="-129.87"/>
    <n v="587.37"/>
    <n v="995.68"/>
  </r>
  <r>
    <s v="TXN200543"/>
    <x v="20"/>
    <s v="2025-10-15"/>
    <x v="0"/>
    <x v="2"/>
    <s v="Fresh &amp; Fast Logistics"/>
    <n v="819.91"/>
    <n v="1031.3599999999999"/>
    <n v="-154.69999999999999"/>
    <n v="899.5"/>
    <n v="1186.06"/>
  </r>
  <r>
    <s v="TXN200544"/>
    <x v="11"/>
    <s v="2025-03-29"/>
    <x v="1"/>
    <x v="3"/>
    <s v="Stark Retail Labs"/>
    <n v="1219.4163333333336"/>
    <n v="135.03"/>
    <n v="35.03"/>
    <n v="113.36"/>
    <n v="100"/>
  </r>
  <r>
    <s v="TXN200545"/>
    <x v="100"/>
    <s v="2025-09-04"/>
    <x v="1"/>
    <x v="1"/>
    <s v="Amazon Digital Supply"/>
    <n v="405.06"/>
    <n v="535.37"/>
    <n v="130.31"/>
    <n v="384.21"/>
    <n v="405.06"/>
  </r>
  <r>
    <s v="TXN200546"/>
    <x v="110"/>
    <s v="2025-01-22"/>
    <x v="0"/>
    <x v="3"/>
    <s v="Techcorp Payroll Inc"/>
    <n v="8836.74"/>
    <n v="11919.04"/>
    <n v="-1787.86"/>
    <n v="8714.92"/>
    <n v="13706.900000000001"/>
  </r>
  <r>
    <s v="TXN200547"/>
    <x v="49"/>
    <s v="2025-11-05"/>
    <x v="1"/>
    <x v="5"/>
    <s v="External Wire Clearance"/>
    <n v="1158.1199999999999"/>
    <n v="1372.34"/>
    <n v="214.22"/>
    <n v="1365.62"/>
    <n v="1158.1199999999999"/>
  </r>
  <r>
    <s v="TXN200548"/>
    <x v="76"/>
    <s v="2025-12-09"/>
    <x v="0"/>
    <x v="1"/>
    <s v="Ebay International"/>
    <n v="1106.2"/>
    <n v="1415.4"/>
    <n v="-212.31"/>
    <n v="1145.01"/>
    <n v="1627.71"/>
  </r>
  <r>
    <s v="TXN200549"/>
    <x v="3"/>
    <s v="2025-05-03"/>
    <x v="1"/>
    <x v="0"/>
    <s v="City Power &amp; Gas Co"/>
    <n v="1219.4163333333336"/>
    <n v="117.88"/>
    <n v="17.88"/>
    <n v="109.74"/>
    <n v="100"/>
  </r>
  <r>
    <s v="TXN200550"/>
    <x v="79"/>
    <s v="2025-04-26"/>
    <x v="0"/>
    <x v="6"/>
    <s v="Netflix Streaming Premium"/>
    <n v="607.41"/>
    <n v="760.34"/>
    <n v="-114.05"/>
    <n v="695.56"/>
    <n v="874.39"/>
  </r>
  <r>
    <s v="TXN200551"/>
    <x v="70"/>
    <s v="2025-02-08"/>
    <x v="0"/>
    <x v="4"/>
    <s v="Mcdonalds Corp Express"/>
    <n v="587.61"/>
    <n v="731.49"/>
    <n v="-109.72"/>
    <n v="619.21"/>
    <n v="841.21"/>
  </r>
  <r>
    <s v="TXN200552"/>
    <x v="52"/>
    <s v="2025-03-08"/>
    <x v="1"/>
    <x v="1"/>
    <s v="Target Direct Online"/>
    <n v="888.84"/>
    <n v="1064.07"/>
    <n v="-44.182985074626863"/>
    <n v="910.2"/>
    <n v="1108.2529850746268"/>
  </r>
  <r>
    <s v="TXN200553"/>
    <x v="77"/>
    <s v="2025-02-28"/>
    <x v="1"/>
    <x v="4"/>
    <s v="Starbucks Hub Cafe"/>
    <n v="42.78"/>
    <n v="57.75"/>
    <n v="14.97"/>
    <n v="47.46"/>
    <n v="42.78"/>
  </r>
  <r>
    <s v="TXN200554"/>
    <x v="58"/>
    <s v="2025-09-11"/>
    <x v="1"/>
    <x v="5"/>
    <s v="External Wire Clearance"/>
    <n v="269.33999999999997"/>
    <n v="321.56"/>
    <n v="52.22"/>
    <n v="317.61"/>
    <n v="269.34000000000003"/>
  </r>
  <r>
    <s v="TXN200555"/>
    <x v="31"/>
    <s v="2025-01-06"/>
    <x v="1"/>
    <x v="5"/>
    <s v="External Wire Clearance"/>
    <n v="936.37"/>
    <n v="1236.97"/>
    <n v="300.60000000000002"/>
    <n v="902.31"/>
    <n v="936.37"/>
  </r>
  <r>
    <s v="TXN200556"/>
    <x v="84"/>
    <s v="2025-05-18"/>
    <x v="1"/>
    <x v="5"/>
    <s v="External Wire Clearance"/>
    <n v="911.88"/>
    <n v="1056.6400000000001"/>
    <n v="144.76"/>
    <n v="1006.2"/>
    <n v="911.88000000000011"/>
  </r>
  <r>
    <s v="TXN200557"/>
    <x v="86"/>
    <s v="2025-04-03"/>
    <x v="0"/>
    <x v="1"/>
    <s v="Target Direct Online"/>
    <n v="1136.52"/>
    <n v="1337.4"/>
    <n v="-200.61"/>
    <n v="1249.55"/>
    <n v="1538.0100000000002"/>
  </r>
  <r>
    <s v="TXN200558"/>
    <x v="98"/>
    <s v="2025-05-05"/>
    <x v="0"/>
    <x v="3"/>
    <s v="Techcorp Payroll Inc"/>
    <n v="7737.57"/>
    <n v="9134.74"/>
    <n v="-1370.21"/>
    <n v="8929.16"/>
    <n v="10504.95"/>
  </r>
  <r>
    <s v="TXN200559"/>
    <x v="129"/>
    <s v="2025-07-13"/>
    <x v="0"/>
    <x v="0"/>
    <s v="State Hydro Grid"/>
    <n v="799.55"/>
    <n v="998.74"/>
    <n v="-149.81"/>
    <n v="762.82"/>
    <n v="1148.55"/>
  </r>
  <r>
    <s v="TXN200560"/>
    <x v="90"/>
    <s v="2025-01-21"/>
    <x v="0"/>
    <x v="3"/>
    <s v="Global Industries Llc"/>
    <n v="5365.7"/>
    <n v="7052.05"/>
    <n v="-1057.81"/>
    <n v="6014.13"/>
    <n v="8109.8600000000006"/>
  </r>
  <r>
    <s v="TXN200561"/>
    <x v="112"/>
    <s v="CORRUPT_DATE_FLAG"/>
    <x v="1"/>
    <x v="3"/>
    <s v="Techcorp Payroll Inc"/>
    <n v="5547.54"/>
    <n v="7580.66"/>
    <n v="2033.12"/>
    <n v="6003.61"/>
    <n v="5547.54"/>
  </r>
  <r>
    <s v="TXN200562"/>
    <x v="107"/>
    <s v="2025-10-29"/>
    <x v="1"/>
    <x v="1"/>
    <s v="Ebay International"/>
    <n v="450.8"/>
    <n v="620.58000000000004"/>
    <n v="169.78"/>
    <n v="516.1"/>
    <n v="450.80000000000007"/>
  </r>
  <r>
    <s v="TXN200563"/>
    <x v="82"/>
    <s v="2025-04-26"/>
    <x v="0"/>
    <x v="0"/>
    <s v="Metropolitan Water Sewer"/>
    <n v="963.81"/>
    <n v="1280.8499999999999"/>
    <n v="-192.13"/>
    <n v="1042.72"/>
    <n v="1472.98"/>
  </r>
  <r>
    <s v="TXN200564"/>
    <x v="123"/>
    <s v="2025-09-04"/>
    <x v="0"/>
    <x v="2"/>
    <s v="Supermart Marketplace"/>
    <n v="690.86"/>
    <n v="827.06"/>
    <n v="-124.06"/>
    <n v="643.76"/>
    <n v="951.11999999999989"/>
  </r>
  <r>
    <s v="TXN200565"/>
    <x v="69"/>
    <s v="2025-09-13"/>
    <x v="0"/>
    <x v="1"/>
    <s v="Ebay International"/>
    <n v="1074.71"/>
    <n v="1355.26"/>
    <n v="-203.29"/>
    <n v="1057.42"/>
    <n v="1558.55"/>
  </r>
  <r>
    <s v="TXN200566"/>
    <x v="70"/>
    <s v="2025-10-21"/>
    <x v="0"/>
    <x v="3"/>
    <s v="Stark Retail Labs"/>
    <n v="7867.01"/>
    <n v="9721.69"/>
    <n v="-1458.25"/>
    <n v="8473.76"/>
    <n v="11179.94"/>
  </r>
  <r>
    <s v="TXN200567"/>
    <x v="9"/>
    <s v="2025-08-07"/>
    <x v="1"/>
    <x v="6"/>
    <s v="Spotify Music Hub"/>
    <n v="128.91999999999999"/>
    <n v="158.66"/>
    <n v="29.74"/>
    <n v="154.16999999999999"/>
    <n v="128.91999999999999"/>
  </r>
  <r>
    <s v="TXN200568"/>
    <x v="1"/>
    <s v="2025-04-30"/>
    <x v="1"/>
    <x v="5"/>
    <s v="Zelle Payment Engine"/>
    <n v="35.76"/>
    <n v="47.61"/>
    <n v="11.85"/>
    <n v="36.99"/>
    <n v="35.76"/>
  </r>
  <r>
    <s v="TXN200569"/>
    <x v="144"/>
    <s v="14/01/2025"/>
    <x v="0"/>
    <x v="6"/>
    <s v="Spotify Music Hub"/>
    <n v="679.28"/>
    <n v="791.81"/>
    <n v="-118.77"/>
    <n v="652.57000000000005"/>
    <n v="910.57999999999993"/>
  </r>
  <r>
    <s v="TXN200570"/>
    <x v="5"/>
    <s v="2025-04-24"/>
    <x v="0"/>
    <x v="3"/>
    <s v="Stark Retail Labs"/>
    <n v="1219.4163333333336"/>
    <n v="129.55000000000001"/>
    <n v="-19.43"/>
    <n v="92.66"/>
    <n v="148.98000000000002"/>
  </r>
  <r>
    <s v="TXN200571"/>
    <x v="108"/>
    <s v="2025-08-23"/>
    <x v="1"/>
    <x v="4"/>
    <s v="Starbucks Hub Cafe"/>
    <n v="1018.57"/>
    <n v="1304.3599999999999"/>
    <n v="285.79000000000002"/>
    <n v="1024.68"/>
    <n v="1018.5699999999999"/>
  </r>
  <r>
    <s v="TXN200572"/>
    <x v="144"/>
    <s v="2025-01-28"/>
    <x v="0"/>
    <x v="3"/>
    <s v="Stark Retail Labs"/>
    <n v="5219.7"/>
    <n v="7225.42"/>
    <n v="-1083.81"/>
    <n v="6086.8"/>
    <n v="8309.23"/>
  </r>
  <r>
    <s v="TXN200573"/>
    <x v="92"/>
    <s v="2025-01-16"/>
    <x v="0"/>
    <x v="0"/>
    <s v="Metropolitan Water Sewer"/>
    <n v="1125.1199999999999"/>
    <n v="1317.92"/>
    <n v="-197.69"/>
    <n v="1197.28"/>
    <n v="1515.6100000000001"/>
  </r>
  <r>
    <s v="TXN200574"/>
    <x v="78"/>
    <s v="2025-11-11"/>
    <x v="1"/>
    <x v="1"/>
    <s v="Target Direct Online"/>
    <n v="936.01"/>
    <n v="1082.6300000000001"/>
    <n v="146.62"/>
    <n v="888.27"/>
    <n v="936.0100000000001"/>
  </r>
  <r>
    <s v="TXN200575"/>
    <x v="77"/>
    <s v="2025-11-13"/>
    <x v="0"/>
    <x v="6"/>
    <s v="Spotify Music Hub"/>
    <n v="372.44"/>
    <n v="492.45"/>
    <n v="-73.87"/>
    <n v="358.85"/>
    <n v="566.31999999999994"/>
  </r>
  <r>
    <s v="TXN200576"/>
    <x v="93"/>
    <s v="2025-08-31"/>
    <x v="0"/>
    <x v="3"/>
    <s v="Stark Retail Labs"/>
    <n v="6412.51"/>
    <n v="8240.7900000000009"/>
    <n v="-1236.1199999999999"/>
    <n v="6553.18"/>
    <n v="9476.91"/>
  </r>
  <r>
    <s v="TXN200577"/>
    <x v="90"/>
    <s v="2025-01-11"/>
    <x v="1"/>
    <x v="5"/>
    <s v="External Wire Clearance"/>
    <n v="512.92999999999995"/>
    <n v="681.79"/>
    <n v="168.86"/>
    <n v="569.72"/>
    <n v="512.92999999999995"/>
  </r>
  <r>
    <s v="TXN200578"/>
    <x v="18"/>
    <s v="2025-11-02"/>
    <x v="1"/>
    <x v="5"/>
    <s v="Zelle Payment Engine"/>
    <n v="984.25"/>
    <n v="1217.95"/>
    <n v="233.7"/>
    <n v="1084.45"/>
    <n v="984.25"/>
  </r>
  <r>
    <s v="TXN200579"/>
    <x v="55"/>
    <s v="2025-05-17"/>
    <x v="1"/>
    <x v="2"/>
    <s v="Whole Foods Store"/>
    <n v="360.49"/>
    <n v="425.08"/>
    <n v="64.59"/>
    <n v="335.53"/>
    <n v="360.49"/>
  </r>
  <r>
    <s v="TXN200580"/>
    <x v="26"/>
    <s v="2025-01-11"/>
    <x v="1"/>
    <x v="4"/>
    <s v="Starbucks Hub Cafe"/>
    <n v="426.93"/>
    <n v="525.41999999999996"/>
    <n v="98.49"/>
    <n v="490.21"/>
    <n v="426.92999999999995"/>
  </r>
  <r>
    <s v="TXN200581"/>
    <x v="117"/>
    <s v="2025-09-29"/>
    <x v="0"/>
    <x v="6"/>
    <s v="Amc Cinema Network"/>
    <n v="84.04"/>
    <n v="104.72"/>
    <n v="-15.71"/>
    <n v="95.36"/>
    <n v="120.43"/>
  </r>
  <r>
    <s v="TXN200582"/>
    <x v="55"/>
    <s v="2025-10-17"/>
    <x v="0"/>
    <x v="1"/>
    <s v="Target Direct Online"/>
    <n v="448.16"/>
    <n v="521.94000000000005"/>
    <n v="-78.290000000000006"/>
    <n v="451.51"/>
    <n v="600.23"/>
  </r>
  <r>
    <s v="TXN200583"/>
    <x v="93"/>
    <s v="2025-12-23"/>
    <x v="1"/>
    <x v="1"/>
    <s v="Ebay International"/>
    <n v="835.4"/>
    <n v="987.23"/>
    <n v="151.83000000000001"/>
    <n v="769.2"/>
    <n v="835.4"/>
  </r>
  <r>
    <s v="TXN200584"/>
    <x v="140"/>
    <s v="2025-05-24"/>
    <x v="0"/>
    <x v="2"/>
    <s v="Fresh &amp; Fast Logistics"/>
    <n v="164.4"/>
    <n v="219.37"/>
    <n v="-32.909999999999997"/>
    <n v="189.79"/>
    <n v="252.28"/>
  </r>
  <r>
    <s v="TXN200585"/>
    <x v="132"/>
    <s v="2025-09-05"/>
    <x v="0"/>
    <x v="1"/>
    <s v="Amazon Digital Supply"/>
    <n v="614.09"/>
    <n v="706.57"/>
    <n v="-105.99"/>
    <n v="587.09"/>
    <n v="812.56000000000006"/>
  </r>
  <r>
    <s v="TXN200586"/>
    <x v="9"/>
    <s v="2025-09-19"/>
    <x v="1"/>
    <x v="6"/>
    <s v="Amc Cinema Network"/>
    <n v="1069.32"/>
    <n v="1447.19"/>
    <n v="377.87"/>
    <n v="1082.82"/>
    <n v="1069.3200000000002"/>
  </r>
  <r>
    <s v="TXN200587"/>
    <x v="27"/>
    <s v="2025-11-23"/>
    <x v="1"/>
    <x v="6"/>
    <s v="Netflix Streaming Premium"/>
    <n v="1152.31"/>
    <n v="1512.49"/>
    <n v="360.18"/>
    <n v="1126.19"/>
    <n v="1152.31"/>
  </r>
  <r>
    <s v="TXN200588"/>
    <x v="146"/>
    <s v="2025-10-21"/>
    <x v="1"/>
    <x v="5"/>
    <s v="External Wire Clearance"/>
    <n v="359.23"/>
    <n v="415.49"/>
    <n v="56.26"/>
    <n v="340.07"/>
    <n v="359.23"/>
  </r>
  <r>
    <s v="TXN200589"/>
    <x v="83"/>
    <s v="2025-05-11"/>
    <x v="1"/>
    <x v="4"/>
    <s v="Mcdonalds Corp Express"/>
    <n v="1219.4163333333336"/>
    <n v="136.46"/>
    <n v="36.46"/>
    <n v="105.02"/>
    <n v="100"/>
  </r>
  <r>
    <s v="TXN200590"/>
    <x v="14"/>
    <s v="2025-12-07"/>
    <x v="0"/>
    <x v="4"/>
    <s v="Mcdonalds Corp Express"/>
    <n v="123.94"/>
    <n v="168.04"/>
    <n v="-25.21"/>
    <n v="139.03"/>
    <n v="193.25"/>
  </r>
  <r>
    <s v="TXN200591"/>
    <x v="90"/>
    <s v="2025-08-08"/>
    <x v="0"/>
    <x v="0"/>
    <s v="State Hydro Grid"/>
    <n v="1140.6300000000001"/>
    <n v="1565.55"/>
    <n v="-234.83"/>
    <n v="1076.53"/>
    <n v="1800.3799999999999"/>
  </r>
  <r>
    <s v="TXN200592"/>
    <x v="116"/>
    <s v="2025-02-05"/>
    <x v="1"/>
    <x v="0"/>
    <s v="City Power &amp; Gas Co"/>
    <n v="532.64"/>
    <n v="691.44"/>
    <n v="158.80000000000001"/>
    <n v="558.63"/>
    <n v="532.6400000000001"/>
  </r>
  <r>
    <s v="TXN200593"/>
    <x v="48"/>
    <s v="2025-04-09"/>
    <x v="1"/>
    <x v="0"/>
    <s v="City Power &amp; Gas Co"/>
    <n v="996.28"/>
    <n v="1261.3800000000001"/>
    <n v="265.10000000000002"/>
    <n v="1149.1500000000001"/>
    <n v="996.28000000000009"/>
  </r>
  <r>
    <s v="TXN200594"/>
    <x v="96"/>
    <s v="2025-11-12"/>
    <x v="0"/>
    <x v="6"/>
    <s v="Netflix Streaming Premium"/>
    <n v="1131.46"/>
    <n v="1572.98"/>
    <n v="-235.95"/>
    <n v="1332.68"/>
    <n v="1808.93"/>
  </r>
  <r>
    <s v="TXN200595"/>
    <x v="1"/>
    <s v="2025-07-28"/>
    <x v="1"/>
    <x v="0"/>
    <s v="City Power &amp; Gas Co"/>
    <n v="758.21"/>
    <n v="1053.03"/>
    <n v="294.82"/>
    <n v="770.96"/>
    <n v="758.21"/>
  </r>
  <r>
    <s v="TXN200596"/>
    <x v="57"/>
    <s v="2025-12-13"/>
    <x v="0"/>
    <x v="2"/>
    <s v="Supermart Marketplace"/>
    <n v="1112.56"/>
    <n v="1279.53"/>
    <n v="-191.93"/>
    <n v="1276.5999999999999"/>
    <n v="1471.46"/>
  </r>
  <r>
    <s v="TXN200597"/>
    <x v="28"/>
    <s v="03/08/2025"/>
    <x v="1"/>
    <x v="6"/>
    <s v="Netflix Streaming Premium"/>
    <n v="868.17"/>
    <n v="1159.98"/>
    <n v="291.81"/>
    <n v="826.98"/>
    <n v="868.17000000000007"/>
  </r>
  <r>
    <s v="TXN200598"/>
    <x v="73"/>
    <s v="2025-11-24"/>
    <x v="1"/>
    <x v="0"/>
    <s v="City Power &amp; Gas Co"/>
    <n v="990.97"/>
    <n v="1315.85"/>
    <n v="324.88"/>
    <n v="1134.78"/>
    <n v="990.96999999999991"/>
  </r>
  <r>
    <s v="TXN200599"/>
    <x v="15"/>
    <s v="2025-11-03"/>
    <x v="0"/>
    <x v="5"/>
    <s v="External Wire Clearance"/>
    <n v="37.39"/>
    <n v="46.21"/>
    <n v="-6.93"/>
    <n v="34.770000000000003"/>
    <n v="53.14"/>
  </r>
  <r>
    <s v="TXN200600"/>
    <x v="97"/>
    <s v="CORRUPT_DATE_FLAG"/>
    <x v="0"/>
    <x v="5"/>
    <s v="Internal P2P Route"/>
    <n v="114.14"/>
    <n v="138.5"/>
    <n v="-20.77"/>
    <n v="121.53"/>
    <n v="159.27000000000001"/>
  </r>
  <r>
    <s v="TXN200601"/>
    <x v="29"/>
    <s v="2025-03-23"/>
    <x v="0"/>
    <x v="0"/>
    <s v="Metropolitan Water Sewer"/>
    <n v="138.80000000000001"/>
    <n v="190.33"/>
    <n v="-28.55"/>
    <n v="125.63"/>
    <n v="218.88000000000002"/>
  </r>
  <r>
    <s v="TXN200602"/>
    <x v="131"/>
    <s v="2025-03-09"/>
    <x v="1"/>
    <x v="4"/>
    <s v="Olive Garden Gourmet"/>
    <n v="18.670000000000002"/>
    <n v="23.75"/>
    <n v="5.08"/>
    <n v="20.8"/>
    <n v="18.670000000000002"/>
  </r>
  <r>
    <s v="TXN200603"/>
    <x v="16"/>
    <s v="2025-10-23"/>
    <x v="1"/>
    <x v="3"/>
    <s v="Stark Retail Labs"/>
    <n v="9261.5"/>
    <n v="11015.41"/>
    <n v="1753.91"/>
    <n v="10753.66"/>
    <n v="9261.5"/>
  </r>
  <r>
    <s v="TXN200604"/>
    <x v="134"/>
    <s v="2025-12-18"/>
    <x v="1"/>
    <x v="6"/>
    <s v="Amc Cinema Network"/>
    <n v="1041.8"/>
    <n v="1261.92"/>
    <n v="-44.182985074626863"/>
    <n v="1060.04"/>
    <n v="1306.102985074627"/>
  </r>
  <r>
    <s v="TXN200605"/>
    <x v="70"/>
    <s v="2025-08-22"/>
    <x v="0"/>
    <x v="5"/>
    <s v="Zelle Payment Engine"/>
    <n v="777.87"/>
    <n v="936.7"/>
    <n v="-140.5"/>
    <n v="726.7"/>
    <n v="1077.2"/>
  </r>
  <r>
    <s v="TXN200606"/>
    <x v="147"/>
    <s v="2025-12-24"/>
    <x v="0"/>
    <x v="2"/>
    <s v="Supermart Marketplace"/>
    <n v="1065.3900000000001"/>
    <n v="1357.37"/>
    <n v="-203.61"/>
    <n v="1130.83"/>
    <n v="1560.98"/>
  </r>
  <r>
    <s v="TXN200607"/>
    <x v="5"/>
    <s v="2025-06-10"/>
    <x v="1"/>
    <x v="5"/>
    <s v="Internal P2P Route"/>
    <n v="632.51"/>
    <n v="809.24"/>
    <n v="176.73"/>
    <n v="576.95000000000005"/>
    <n v="632.51"/>
  </r>
  <r>
    <s v="TXN200608"/>
    <x v="84"/>
    <s v="2025-12-12"/>
    <x v="1"/>
    <x v="6"/>
    <s v="Netflix Streaming Premium"/>
    <n v="226.44"/>
    <n v="308.77999999999997"/>
    <n v="82.34"/>
    <n v="221.4"/>
    <n v="226.43999999999997"/>
  </r>
  <r>
    <s v="TXN200609"/>
    <x v="6"/>
    <s v="2025-11-22"/>
    <x v="1"/>
    <x v="5"/>
    <s v="Internal P2P Route"/>
    <n v="19.260000000000002"/>
    <n v="24.99"/>
    <n v="5.73"/>
    <n v="17.440000000000001"/>
    <n v="19.259999999999998"/>
  </r>
  <r>
    <s v="TXN200610"/>
    <x v="114"/>
    <s v="2025-01-29"/>
    <x v="1"/>
    <x v="5"/>
    <s v="Internal P2P Route"/>
    <n v="1152.27"/>
    <n v="1364.85"/>
    <n v="212.58"/>
    <n v="1363.66"/>
    <n v="1152.27"/>
  </r>
  <r>
    <s v="TXN200611"/>
    <x v="58"/>
    <s v="2025-07-02"/>
    <x v="1"/>
    <x v="5"/>
    <s v="Zelle Payment Engine"/>
    <n v="1023.62"/>
    <n v="1324.44"/>
    <n v="300.82"/>
    <n v="1173.53"/>
    <n v="1023.6200000000001"/>
  </r>
  <r>
    <s v="TXN200612"/>
    <x v="86"/>
    <s v="2025-10-30"/>
    <x v="0"/>
    <x v="3"/>
    <s v="Stark Retail Labs"/>
    <n v="6977.93"/>
    <n v="8814.48"/>
    <n v="-1322.17"/>
    <n v="7907.15"/>
    <n v="10136.65"/>
  </r>
  <r>
    <s v="TXN200613"/>
    <x v="31"/>
    <s v="2025-08-22"/>
    <x v="1"/>
    <x v="0"/>
    <s v="City Power &amp; Gas Co"/>
    <n v="456.51"/>
    <n v="595.46"/>
    <n v="138.94999999999999"/>
    <n v="541.96"/>
    <n v="456.51000000000005"/>
  </r>
  <r>
    <s v="TXN200614"/>
    <x v="29"/>
    <s v="27/11/2025"/>
    <x v="0"/>
    <x v="3"/>
    <s v="Techcorp Payroll Inc"/>
    <n v="7743.41"/>
    <n v="9319.61"/>
    <n v="-1397.94"/>
    <n v="9164.1"/>
    <n v="10717.550000000001"/>
  </r>
  <r>
    <s v="TXN200615"/>
    <x v="128"/>
    <s v="2025-08-18"/>
    <x v="1"/>
    <x v="1"/>
    <s v="Ebay International"/>
    <n v="67.23"/>
    <n v="90.88"/>
    <n v="23.65"/>
    <n v="69.959999999999994"/>
    <n v="67.22999999999999"/>
  </r>
  <r>
    <s v="TXN200616"/>
    <x v="131"/>
    <s v="2025-09-27"/>
    <x v="0"/>
    <x v="3"/>
    <s v="Techcorp Payroll Inc"/>
    <n v="4142.87"/>
    <n v="4800.0200000000004"/>
    <n v="-720"/>
    <n v="4874.88"/>
    <n v="5520.02"/>
  </r>
  <r>
    <s v="TXN200617"/>
    <x v="18"/>
    <s v="2025-11-17"/>
    <x v="1"/>
    <x v="1"/>
    <s v="Amazon Digital Supply"/>
    <n v="934.89"/>
    <n v="1228.46"/>
    <n v="293.57"/>
    <n v="1066.33"/>
    <n v="934.8900000000001"/>
  </r>
  <r>
    <s v="TXN200618"/>
    <x v="32"/>
    <s v="2025-10-17"/>
    <x v="0"/>
    <x v="3"/>
    <s v="Stark Retail Labs"/>
    <n v="5009.82"/>
    <n v="6897.12"/>
    <n v="-1034.57"/>
    <n v="5849.19"/>
    <n v="7931.69"/>
  </r>
  <r>
    <s v="TXN200619"/>
    <x v="102"/>
    <s v="2025-01-10"/>
    <x v="1"/>
    <x v="0"/>
    <s v="City Power &amp; Gas Co"/>
    <n v="776.83"/>
    <n v="1030.3800000000001"/>
    <n v="253.55"/>
    <n v="822.84"/>
    <n v="776.83000000000015"/>
  </r>
  <r>
    <s v="TXN200620"/>
    <x v="10"/>
    <s v="2025-01-29"/>
    <x v="0"/>
    <x v="2"/>
    <s v="Whole Foods Store"/>
    <n v="722.42"/>
    <n v="844.93"/>
    <n v="-126.74"/>
    <n v="787.81"/>
    <n v="971.67"/>
  </r>
  <r>
    <s v="TXN200621"/>
    <x v="146"/>
    <s v="2025-04-10"/>
    <x v="0"/>
    <x v="5"/>
    <s v="Zelle Payment Engine"/>
    <n v="793.06"/>
    <n v="923.7"/>
    <n v="-138.56"/>
    <n v="906.75"/>
    <n v="1062.26"/>
  </r>
  <r>
    <s v="TXN200622"/>
    <x v="77"/>
    <s v="2025-01-05"/>
    <x v="0"/>
    <x v="5"/>
    <s v="External Wire Clearance"/>
    <n v="873.6"/>
    <n v="1177.06"/>
    <n v="-176.56"/>
    <n v="1017.21"/>
    <n v="1353.62"/>
  </r>
  <r>
    <s v="TXN200623"/>
    <x v="76"/>
    <s v="2025-10-11"/>
    <x v="0"/>
    <x v="1"/>
    <s v="Target Direct Online"/>
    <n v="91.64"/>
    <n v="127.55"/>
    <n v="-19.13"/>
    <n v="98.71"/>
    <n v="146.68"/>
  </r>
  <r>
    <s v="TXN200624"/>
    <x v="61"/>
    <s v="2025-06-12"/>
    <x v="1"/>
    <x v="6"/>
    <s v="Spotify Music Hub"/>
    <n v="142.74"/>
    <n v="187.58"/>
    <n v="44.84"/>
    <n v="149.19"/>
    <n v="142.74"/>
  </r>
  <r>
    <s v="TXN200625"/>
    <x v="147"/>
    <s v="2025-04-15"/>
    <x v="0"/>
    <x v="3"/>
    <s v="Stark Retail Labs"/>
    <n v="9176.48"/>
    <n v="11685.72"/>
    <n v="-1752.86"/>
    <n v="9761.39"/>
    <n v="13438.58"/>
  </r>
  <r>
    <s v="TXN200626"/>
    <x v="130"/>
    <s v="CORRUPT_DATE_FLAG"/>
    <x v="1"/>
    <x v="5"/>
    <s v="External Wire Clearance"/>
    <n v="530.45000000000005"/>
    <n v="691.89"/>
    <n v="161.44"/>
    <n v="526.11"/>
    <n v="530.45000000000005"/>
  </r>
  <r>
    <s v="TXN200627"/>
    <x v="79"/>
    <s v="2025-02-06"/>
    <x v="1"/>
    <x v="0"/>
    <s v="State Hydro Grid"/>
    <n v="665.01"/>
    <n v="771.7"/>
    <n v="106.69"/>
    <n v="634.47"/>
    <n v="665.01"/>
  </r>
  <r>
    <s v="TXN200628"/>
    <x v="72"/>
    <s v="CORRUPT_DATE_FLAG"/>
    <x v="1"/>
    <x v="5"/>
    <s v="Zelle Payment Engine"/>
    <n v="890.68"/>
    <n v="1028.73"/>
    <n v="138.05000000000001"/>
    <n v="948.55"/>
    <n v="890.68000000000006"/>
  </r>
  <r>
    <s v="TXN200629"/>
    <x v="127"/>
    <s v="2025-02-28"/>
    <x v="0"/>
    <x v="4"/>
    <s v="Olive Garden Gourmet"/>
    <n v="539.80999999999995"/>
    <n v="626.61"/>
    <n v="-93.99"/>
    <n v="634.04"/>
    <n v="720.6"/>
  </r>
  <r>
    <s v="TXN200630"/>
    <x v="39"/>
    <s v="2025-07-03"/>
    <x v="1"/>
    <x v="6"/>
    <s v="Spotify Music Hub"/>
    <n v="1219.4163333333336"/>
    <n v="136.33000000000001"/>
    <n v="36.33"/>
    <n v="110.15"/>
    <n v="100.00000000000001"/>
  </r>
  <r>
    <s v="TXN200631"/>
    <x v="137"/>
    <s v="2025-05-19"/>
    <x v="0"/>
    <x v="6"/>
    <s v="Netflix Streaming Premium"/>
    <n v="118.51"/>
    <n v="138.79"/>
    <n v="-20.82"/>
    <n v="140.25"/>
    <n v="159.60999999999999"/>
  </r>
  <r>
    <s v="TXN200632"/>
    <x v="148"/>
    <s v="2025-03-22"/>
    <x v="1"/>
    <x v="2"/>
    <s v="Fresh &amp; Fast Logistics"/>
    <n v="513.66999999999996"/>
    <n v="639.82000000000005"/>
    <n v="126.15"/>
    <n v="520.32000000000005"/>
    <n v="513.67000000000007"/>
  </r>
  <r>
    <s v="TXN200633"/>
    <x v="63"/>
    <s v="2025-07-18"/>
    <x v="0"/>
    <x v="3"/>
    <s v="Stark Retail Labs"/>
    <n v="9129.56"/>
    <n v="11411.99"/>
    <n v="-1711.8"/>
    <n v="9008.4699999999993"/>
    <n v="13123.789999999999"/>
  </r>
  <r>
    <s v="TXN200634"/>
    <x v="103"/>
    <s v="2025-06-25"/>
    <x v="0"/>
    <x v="0"/>
    <s v="State Hydro Grid"/>
    <n v="1136.8900000000001"/>
    <n v="1573.01"/>
    <n v="-235.95"/>
    <n v="1288.25"/>
    <n v="1808.96"/>
  </r>
  <r>
    <s v="TXN200635"/>
    <x v="49"/>
    <s v="30/05/2025"/>
    <x v="0"/>
    <x v="2"/>
    <s v="Fresh &amp; Fast Logistics"/>
    <n v="249.69"/>
    <n v="299.13"/>
    <n v="-44.87"/>
    <n v="236.84"/>
    <n v="344"/>
  </r>
  <r>
    <s v="TXN200636"/>
    <x v="134"/>
    <s v="2025-05-05"/>
    <x v="1"/>
    <x v="4"/>
    <s v="Mcdonalds Corp Express"/>
    <n v="931.21"/>
    <n v="1295.3900000000001"/>
    <n v="364.18"/>
    <n v="1110.96"/>
    <n v="931.21"/>
  </r>
  <r>
    <s v="TXN200637"/>
    <x v="88"/>
    <s v="2025-03-23"/>
    <x v="0"/>
    <x v="5"/>
    <s v="External Wire Clearance"/>
    <n v="1049.3699999999999"/>
    <n v="1271.43"/>
    <n v="-190.71"/>
    <n v="1135.07"/>
    <n v="1462.14"/>
  </r>
  <r>
    <s v="TXN200638"/>
    <x v="95"/>
    <s v="2025-10-09"/>
    <x v="0"/>
    <x v="0"/>
    <s v="State Hydro Grid"/>
    <n v="326.66000000000003"/>
    <n v="425.76"/>
    <n v="-63.86"/>
    <n v="315.11"/>
    <n v="489.62"/>
  </r>
  <r>
    <s v="TXN200639"/>
    <x v="50"/>
    <s v="2025-02-01"/>
    <x v="0"/>
    <x v="0"/>
    <s v="City Power &amp; Gas Co"/>
    <n v="172.77"/>
    <n v="239.9"/>
    <n v="-35.979999999999997"/>
    <n v="182.56"/>
    <n v="275.88"/>
  </r>
  <r>
    <s v="TXN200640"/>
    <x v="149"/>
    <s v="2025-12-21"/>
    <x v="0"/>
    <x v="1"/>
    <s v="Amazon Digital Supply"/>
    <n v="731.11"/>
    <n v="910.19"/>
    <n v="-136.53"/>
    <n v="673.09"/>
    <n v="1046.72"/>
  </r>
  <r>
    <s v="TXN200641"/>
    <x v="35"/>
    <s v="2025-09-25"/>
    <x v="0"/>
    <x v="1"/>
    <s v="Ebay International"/>
    <n v="1186.97"/>
    <n v="1425.43"/>
    <n v="-213.81"/>
    <n v="1095.98"/>
    <n v="1639.24"/>
  </r>
  <r>
    <s v="TXN200642"/>
    <x v="62"/>
    <s v="2025-02-25"/>
    <x v="0"/>
    <x v="4"/>
    <s v="Mcdonalds Corp Express"/>
    <n v="156.33000000000001"/>
    <n v="212.46"/>
    <n v="-31.87"/>
    <n v="146.91999999999999"/>
    <n v="244.33"/>
  </r>
  <r>
    <s v="TXN200643"/>
    <x v="41"/>
    <s v="2025-07-03"/>
    <x v="0"/>
    <x v="1"/>
    <s v="Ebay International"/>
    <n v="174.57"/>
    <n v="1420.2638235294123"/>
    <n v="-31.47"/>
    <n v="195.36"/>
    <n v="1451.7338235294123"/>
  </r>
  <r>
    <s v="TXN200644"/>
    <x v="94"/>
    <s v="2025-12-17"/>
    <x v="0"/>
    <x v="5"/>
    <s v="Internal P2P Route"/>
    <n v="807.24"/>
    <n v="936.1"/>
    <n v="-140.41"/>
    <n v="894.76"/>
    <n v="1076.51"/>
  </r>
  <r>
    <s v="TXN200645"/>
    <x v="47"/>
    <s v="2025-03-13"/>
    <x v="1"/>
    <x v="3"/>
    <s v="Techcorp Payroll Inc"/>
    <n v="7396.14"/>
    <n v="9590.48"/>
    <n v="2194.34"/>
    <n v="7846.66"/>
    <n v="7396.1399999999994"/>
  </r>
  <r>
    <s v="TXN200646"/>
    <x v="100"/>
    <s v="2025-07-18"/>
    <x v="0"/>
    <x v="1"/>
    <s v="Amazon Digital Supply"/>
    <n v="375.1"/>
    <n v="464.87"/>
    <n v="-69.73"/>
    <n v="404.95"/>
    <n v="534.6"/>
  </r>
  <r>
    <s v="TXN200647"/>
    <x v="14"/>
    <s v="2025-03-08"/>
    <x v="1"/>
    <x v="2"/>
    <s v="Supermart Marketplace"/>
    <n v="330.82"/>
    <n v="380.47"/>
    <n v="49.65"/>
    <n v="319.8"/>
    <n v="330.82000000000005"/>
  </r>
  <r>
    <s v="TXN200648"/>
    <x v="148"/>
    <s v="2025-03-19"/>
    <x v="0"/>
    <x v="1"/>
    <s v="Target Direct Online"/>
    <n v="590.08000000000004"/>
    <n v="1420.2638235294123"/>
    <n v="-122.48"/>
    <n v="598.16999999999996"/>
    <n v="1542.7438235294123"/>
  </r>
  <r>
    <s v="TXN200649"/>
    <x v="64"/>
    <s v="2025-03-23"/>
    <x v="0"/>
    <x v="2"/>
    <s v="Fresh &amp; Fast Logistics"/>
    <n v="266.72000000000003"/>
    <n v="344.01"/>
    <n v="-51.6"/>
    <n v="276.57"/>
    <n v="395.61"/>
  </r>
  <r>
    <s v="TXN200650"/>
    <x v="107"/>
    <s v="2025-05-05"/>
    <x v="1"/>
    <x v="6"/>
    <s v="Amc Cinema Network"/>
    <n v="986.99"/>
    <n v="1380.88"/>
    <n v="393.89"/>
    <n v="951.62"/>
    <n v="986.99000000000012"/>
  </r>
  <r>
    <s v="TXN200651"/>
    <x v="138"/>
    <s v="2025-08-22"/>
    <x v="0"/>
    <x v="2"/>
    <s v="Fresh &amp; Fast Logistics"/>
    <n v="419"/>
    <n v="546.62"/>
    <n v="-81.99"/>
    <n v="496.48"/>
    <n v="628.61"/>
  </r>
  <r>
    <s v="TXN200652"/>
    <x v="93"/>
    <s v="2025-02-03"/>
    <x v="1"/>
    <x v="2"/>
    <s v="Whole Foods Store"/>
    <n v="132.04"/>
    <n v="162.93"/>
    <n v="30.89"/>
    <n v="156.08000000000001"/>
    <n v="132.04000000000002"/>
  </r>
  <r>
    <s v="TXN200653"/>
    <x v="6"/>
    <s v="2025-05-01"/>
    <x v="0"/>
    <x v="6"/>
    <s v="Spotify Music Hub"/>
    <n v="958.44"/>
    <n v="1168.9100000000001"/>
    <n v="-175.34"/>
    <n v="1101.32"/>
    <n v="1344.25"/>
  </r>
  <r>
    <s v="TXN200654"/>
    <x v="132"/>
    <s v="2025-04-14"/>
    <x v="0"/>
    <x v="1"/>
    <s v="Amazon Digital Supply"/>
    <n v="562.27"/>
    <n v="776.07"/>
    <n v="-116.41"/>
    <n v="604.57000000000005"/>
    <n v="892.48"/>
  </r>
  <r>
    <s v="TXN200655"/>
    <x v="0"/>
    <s v="2025-05-23"/>
    <x v="1"/>
    <x v="1"/>
    <s v="Target Direct Online"/>
    <n v="958.59"/>
    <n v="1190.77"/>
    <n v="232.18"/>
    <n v="1040.32"/>
    <n v="958.58999999999992"/>
  </r>
  <r>
    <s v="TXN200656"/>
    <x v="133"/>
    <s v="2025-11-16"/>
    <x v="0"/>
    <x v="6"/>
    <s v="Spotify Music Hub"/>
    <n v="170.52"/>
    <n v="212.2"/>
    <n v="-31.83"/>
    <n v="171.73"/>
    <n v="244.02999999999997"/>
  </r>
  <r>
    <s v="TXN200657"/>
    <x v="122"/>
    <s v="2025-07-12"/>
    <x v="0"/>
    <x v="6"/>
    <s v="Amc Cinema Network"/>
    <n v="637.37"/>
    <n v="766.91"/>
    <n v="-115.04"/>
    <n v="703.77"/>
    <n v="881.94999999999993"/>
  </r>
  <r>
    <s v="TXN200658"/>
    <x v="47"/>
    <s v="2026-01-01"/>
    <x v="1"/>
    <x v="5"/>
    <s v="Zelle Payment Engine"/>
    <n v="673.97"/>
    <n v="777.62"/>
    <n v="103.65"/>
    <n v="770.2"/>
    <n v="673.97"/>
  </r>
  <r>
    <s v="TXN200659"/>
    <x v="122"/>
    <s v="2025-09-15"/>
    <x v="1"/>
    <x v="3"/>
    <s v="Stark Retail Labs"/>
    <n v="8800.99"/>
    <n v="11935.15"/>
    <n v="3134.16"/>
    <n v="10518.06"/>
    <n v="8800.99"/>
  </r>
  <r>
    <s v="TXN200660"/>
    <x v="45"/>
    <s v="2025-12-31"/>
    <x v="1"/>
    <x v="5"/>
    <s v="External Wire Clearance"/>
    <n v="885.64"/>
    <n v="1037.3"/>
    <n v="151.66"/>
    <n v="1060.6199999999999"/>
    <n v="885.64"/>
  </r>
  <r>
    <s v="TXN200661"/>
    <x v="115"/>
    <s v="2025-09-19"/>
    <x v="0"/>
    <x v="3"/>
    <s v="Global Industries Llc"/>
    <n v="9399.4599999999991"/>
    <n v="12793.44"/>
    <n v="-1919.02"/>
    <n v="9397.73"/>
    <n v="14712.460000000001"/>
  </r>
  <r>
    <s v="TXN200662"/>
    <x v="66"/>
    <s v="CORRUPT_DATE_FLAG"/>
    <x v="0"/>
    <x v="2"/>
    <s v="Supermart Marketplace"/>
    <n v="103.75"/>
    <n v="128.12"/>
    <n v="-19.22"/>
    <n v="99.98"/>
    <n v="147.34"/>
  </r>
  <r>
    <s v="TXN200663"/>
    <x v="141"/>
    <s v="2025-05-17"/>
    <x v="0"/>
    <x v="5"/>
    <s v="Internal P2P Route"/>
    <n v="1103.56"/>
    <n v="1346.11"/>
    <n v="-201.92"/>
    <n v="1229.07"/>
    <n v="1548.03"/>
  </r>
  <r>
    <s v="TXN200664"/>
    <x v="71"/>
    <s v="2025-10-01"/>
    <x v="0"/>
    <x v="3"/>
    <s v="Techcorp Payroll Inc"/>
    <n v="1219.4163333333336"/>
    <n v="128.1"/>
    <n v="-19.21"/>
    <n v="107.52"/>
    <n v="147.31"/>
  </r>
  <r>
    <s v="TXN200665"/>
    <x v="69"/>
    <s v="2025-08-02"/>
    <x v="1"/>
    <x v="1"/>
    <s v="Target Direct Online"/>
    <n v="983.82"/>
    <n v="1150.77"/>
    <n v="166.95"/>
    <n v="1159.47"/>
    <n v="983.81999999999994"/>
  </r>
  <r>
    <s v="TXN200666"/>
    <x v="69"/>
    <s v="2025-03-03"/>
    <x v="1"/>
    <x v="6"/>
    <s v="Netflix Streaming Premium"/>
    <n v="948.95"/>
    <n v="1179.94"/>
    <n v="230.99"/>
    <n v="1036.71"/>
    <n v="948.95"/>
  </r>
  <r>
    <s v="TXN200667"/>
    <x v="101"/>
    <s v="2025-04-13"/>
    <x v="1"/>
    <x v="5"/>
    <s v="Internal P2P Route"/>
    <n v="886.96"/>
    <n v="1195.43"/>
    <n v="308.47000000000003"/>
    <n v="929.11"/>
    <n v="886.96"/>
  </r>
  <r>
    <s v="TXN200668"/>
    <x v="12"/>
    <s v="2025-04-09"/>
    <x v="0"/>
    <x v="4"/>
    <s v="Mcdonalds Corp Express"/>
    <n v="627.86"/>
    <n v="1420.2638235294123"/>
    <n v="-124.63"/>
    <n v="591.42999999999995"/>
    <n v="1544.8938235294122"/>
  </r>
  <r>
    <s v="TXN200669"/>
    <x v="100"/>
    <s v="2025-09-08"/>
    <x v="1"/>
    <x v="3"/>
    <s v="Stark Retail Labs"/>
    <n v="8902.6"/>
    <n v="10770.09"/>
    <n v="1867.49"/>
    <n v="9339.5400000000009"/>
    <n v="8902.6"/>
  </r>
  <r>
    <s v="TXN200670"/>
    <x v="31"/>
    <s v="2025-10-08"/>
    <x v="1"/>
    <x v="5"/>
    <s v="Internal P2P Route"/>
    <n v="386.03"/>
    <n v="507.57"/>
    <n v="121.54"/>
    <n v="349.72"/>
    <n v="386.03"/>
  </r>
  <r>
    <s v="TXN200671"/>
    <x v="140"/>
    <s v="04/03/2025"/>
    <x v="0"/>
    <x v="3"/>
    <s v="Global Industries Llc"/>
    <n v="7192.05"/>
    <n v="9626.34"/>
    <n v="-1443.95"/>
    <n v="7589.16"/>
    <n v="11070.29"/>
  </r>
  <r>
    <s v="TXN200672"/>
    <x v="59"/>
    <s v="2025-12-02"/>
    <x v="1"/>
    <x v="3"/>
    <s v="Global Industries Llc"/>
    <n v="5700.87"/>
    <n v="7068.84"/>
    <n v="1367.97"/>
    <n v="5873.9"/>
    <n v="5700.87"/>
  </r>
  <r>
    <s v="TXN200673"/>
    <x v="20"/>
    <s v="2025-06-22"/>
    <x v="0"/>
    <x v="6"/>
    <s v="Spotify Music Hub"/>
    <n v="612.13"/>
    <n v="760.54"/>
    <n v="-44.182985074626863"/>
    <n v="721.25"/>
    <n v="804.72298507462688"/>
  </r>
  <r>
    <s v="TXN200674"/>
    <x v="64"/>
    <s v="2025-04-06"/>
    <x v="1"/>
    <x v="4"/>
    <s v="Olive Garden Gourmet"/>
    <n v="708"/>
    <n v="891.3"/>
    <n v="183.3"/>
    <n v="670.72"/>
    <n v="708"/>
  </r>
  <r>
    <s v="TXN200675"/>
    <x v="135"/>
    <s v="2025-08-05"/>
    <x v="1"/>
    <x v="1"/>
    <s v="Target Direct Online"/>
    <n v="1042.92"/>
    <n v="1370.83"/>
    <n v="327.91"/>
    <n v="1053.92"/>
    <n v="1042.9199999999998"/>
  </r>
  <r>
    <s v="TXN200676"/>
    <x v="89"/>
    <s v="2025-01-04"/>
    <x v="1"/>
    <x v="4"/>
    <s v="Mcdonalds Corp Express"/>
    <n v="1219.4163333333336"/>
    <n v="1420.2638235294123"/>
    <n v="32.729999999999997"/>
    <n v="99.43"/>
    <n v="1387.5338235294123"/>
  </r>
  <r>
    <s v="TXN200677"/>
    <x v="99"/>
    <s v="2025-07-28"/>
    <x v="1"/>
    <x v="3"/>
    <s v="Stark Retail Labs"/>
    <n v="8552.57"/>
    <n v="11274.01"/>
    <n v="2721.44"/>
    <n v="8836.7199999999993"/>
    <n v="8552.57"/>
  </r>
  <r>
    <s v="TXN200678"/>
    <x v="144"/>
    <s v="2025-08-29"/>
    <x v="1"/>
    <x v="2"/>
    <s v="Fresh &amp; Fast Logistics"/>
    <n v="982.4"/>
    <n v="1370.96"/>
    <n v="388.56"/>
    <n v="939.09"/>
    <n v="982.40000000000009"/>
  </r>
  <r>
    <s v="TXN200679"/>
    <x v="79"/>
    <s v="2025-12-24"/>
    <x v="0"/>
    <x v="5"/>
    <s v="External Wire Clearance"/>
    <n v="632.35"/>
    <n v="829.59"/>
    <n v="-124.44"/>
    <n v="612.41999999999996"/>
    <n v="954.03"/>
  </r>
  <r>
    <s v="TXN200680"/>
    <x v="45"/>
    <s v="2025-01-17"/>
    <x v="1"/>
    <x v="1"/>
    <s v="Amazon Digital Supply"/>
    <n v="146.58000000000001"/>
    <n v="187.72"/>
    <n v="41.14"/>
    <n v="146.5"/>
    <n v="146.57999999999998"/>
  </r>
  <r>
    <s v="TXN200681"/>
    <x v="57"/>
    <s v="2025-08-30"/>
    <x v="1"/>
    <x v="1"/>
    <s v="Amazon Digital Supply"/>
    <n v="742.23"/>
    <n v="937.66"/>
    <n v="195.43"/>
    <n v="752.35"/>
    <n v="742.23"/>
  </r>
  <r>
    <s v="TXN200682"/>
    <x v="90"/>
    <s v="2025-11-04"/>
    <x v="0"/>
    <x v="1"/>
    <s v="Target Direct Online"/>
    <n v="101.38"/>
    <n v="126.83"/>
    <n v="-19.02"/>
    <n v="92.68"/>
    <n v="145.85"/>
  </r>
  <r>
    <s v="TXN200683"/>
    <x v="44"/>
    <s v="2025-06-02"/>
    <x v="0"/>
    <x v="1"/>
    <s v="Ebay International"/>
    <n v="791.79"/>
    <n v="1028.3"/>
    <n v="-154.24"/>
    <n v="722.26"/>
    <n v="1182.54"/>
  </r>
  <r>
    <s v="TXN200684"/>
    <x v="106"/>
    <s v="CORRUPT_DATE_FLAG"/>
    <x v="1"/>
    <x v="0"/>
    <s v="State Hydro Grid"/>
    <n v="550.41"/>
    <n v="664"/>
    <n v="113.59"/>
    <n v="559.41999999999996"/>
    <n v="550.41"/>
  </r>
  <r>
    <s v="TXN200685"/>
    <x v="45"/>
    <s v="2025-04-07"/>
    <x v="0"/>
    <x v="4"/>
    <s v="Mcdonalds Corp Express"/>
    <n v="1101.18"/>
    <n v="1441.18"/>
    <n v="-216.18"/>
    <n v="1206.1199999999999"/>
    <n v="1657.3600000000001"/>
  </r>
  <r>
    <s v="TXN200686"/>
    <x v="12"/>
    <s v="2025-07-17"/>
    <x v="0"/>
    <x v="6"/>
    <s v="Amc Cinema Network"/>
    <n v="797.91"/>
    <n v="1029.44"/>
    <n v="-154.41999999999999"/>
    <n v="737.92"/>
    <n v="1183.8600000000001"/>
  </r>
  <r>
    <s v="TXN200687"/>
    <x v="99"/>
    <s v="2025-02-07"/>
    <x v="1"/>
    <x v="2"/>
    <s v="Fresh &amp; Fast Logistics"/>
    <n v="1141.99"/>
    <n v="1505.54"/>
    <n v="363.55"/>
    <n v="1131.8"/>
    <n v="1141.99"/>
  </r>
  <r>
    <s v="TXN200688"/>
    <x v="108"/>
    <s v="2025-08-31"/>
    <x v="1"/>
    <x v="4"/>
    <s v="Mcdonalds Corp Express"/>
    <n v="818.14"/>
    <n v="1082.93"/>
    <n v="264.79000000000002"/>
    <n v="811.91"/>
    <n v="818.1400000000001"/>
  </r>
  <r>
    <s v="TXN200689"/>
    <x v="136"/>
    <s v="2025-11-13"/>
    <x v="0"/>
    <x v="1"/>
    <s v="Amazon Digital Supply"/>
    <n v="604.21"/>
    <n v="824.78"/>
    <n v="-123.72"/>
    <n v="650"/>
    <n v="948.5"/>
  </r>
  <r>
    <s v="TXN200690"/>
    <x v="37"/>
    <s v="2025-10-19"/>
    <x v="0"/>
    <x v="0"/>
    <s v="State Hydro Grid"/>
    <n v="345.17"/>
    <n v="405.53"/>
    <n v="-60.83"/>
    <n v="399.52"/>
    <n v="466.35999999999996"/>
  </r>
  <r>
    <s v="TXN200691"/>
    <x v="73"/>
    <s v="2025-09-07"/>
    <x v="0"/>
    <x v="0"/>
    <s v="City Power &amp; Gas Co"/>
    <n v="1102.79"/>
    <n v="1338.18"/>
    <n v="-200.73"/>
    <n v="1057.19"/>
    <n v="1538.91"/>
  </r>
  <r>
    <s v="TXN200692"/>
    <x v="113"/>
    <s v="2025-08-31"/>
    <x v="0"/>
    <x v="4"/>
    <s v="Olive Garden Gourmet"/>
    <n v="1219.4163333333336"/>
    <n v="136.28"/>
    <n v="-20.440000000000001"/>
    <n v="100.98"/>
    <n v="156.72"/>
  </r>
  <r>
    <s v="TXN200693"/>
    <x v="23"/>
    <s v="2025-01-26"/>
    <x v="1"/>
    <x v="3"/>
    <s v="Global Industries Llc"/>
    <n v="7617.66"/>
    <n v="10024.84"/>
    <n v="2407.1799999999998"/>
    <n v="6870.57"/>
    <n v="7617.66"/>
  </r>
  <r>
    <s v="TXN200694"/>
    <x v="58"/>
    <s v="2025-02-22"/>
    <x v="1"/>
    <x v="5"/>
    <s v="Zelle Payment Engine"/>
    <n v="1219.4163333333336"/>
    <n v="118.25"/>
    <n v="18.25"/>
    <n v="106.17"/>
    <n v="100"/>
  </r>
  <r>
    <s v="TXN200695"/>
    <x v="9"/>
    <s v="2025-11-14"/>
    <x v="1"/>
    <x v="2"/>
    <s v="Fresh &amp; Fast Logistics"/>
    <n v="268"/>
    <n v="372.32"/>
    <n v="104.32"/>
    <n v="299.27"/>
    <n v="268"/>
  </r>
  <r>
    <s v="TXN200696"/>
    <x v="121"/>
    <s v="2025-04-11"/>
    <x v="0"/>
    <x v="3"/>
    <s v="Stark Retail Labs"/>
    <n v="6754.68"/>
    <n v="8977.35"/>
    <n v="-1346.6"/>
    <n v="6388.2"/>
    <n v="10323.950000000001"/>
  </r>
  <r>
    <s v="TXN200697"/>
    <x v="130"/>
    <s v="2025-12-16"/>
    <x v="1"/>
    <x v="5"/>
    <s v="External Wire Clearance"/>
    <n v="1164.58"/>
    <n v="1355.06"/>
    <n v="190.48"/>
    <n v="1332.47"/>
    <n v="1164.58"/>
  </r>
  <r>
    <s v="TXN200698"/>
    <x v="144"/>
    <s v="2025-07-09"/>
    <x v="1"/>
    <x v="5"/>
    <s v="Internal P2P Route"/>
    <n v="51.09"/>
    <n v="66.86"/>
    <n v="15.77"/>
    <n v="55.92"/>
    <n v="51.09"/>
  </r>
  <r>
    <s v="TXN200699"/>
    <x v="86"/>
    <s v="2025-07-21"/>
    <x v="1"/>
    <x v="3"/>
    <s v="Techcorp Payroll Inc"/>
    <n v="4865.38"/>
    <n v="5786.93"/>
    <n v="921.55"/>
    <n v="5343.95"/>
    <n v="4865.38"/>
  </r>
  <r>
    <s v="TXN200700"/>
    <x v="65"/>
    <s v="2025-01-14"/>
    <x v="1"/>
    <x v="1"/>
    <s v="Amazon Digital Supply"/>
    <n v="538.82000000000005"/>
    <n v="666.83"/>
    <n v="128.01"/>
    <n v="557.80999999999995"/>
    <n v="538.82000000000005"/>
  </r>
  <r>
    <s v="TXN200701"/>
    <x v="85"/>
    <s v="2025-06-05"/>
    <x v="1"/>
    <x v="4"/>
    <s v="Mcdonalds Corp Express"/>
    <n v="78.19"/>
    <n v="105.63"/>
    <n v="27.44"/>
    <n v="87.2"/>
    <n v="78.19"/>
  </r>
  <r>
    <s v="TXN200702"/>
    <x v="45"/>
    <s v="2025-07-12"/>
    <x v="1"/>
    <x v="5"/>
    <s v="Zelle Payment Engine"/>
    <n v="170.17"/>
    <n v="202.07"/>
    <n v="31.9"/>
    <n v="202.48"/>
    <n v="170.17"/>
  </r>
  <r>
    <s v="TXN200703"/>
    <x v="112"/>
    <s v="2025-02-11"/>
    <x v="1"/>
    <x v="6"/>
    <s v="Netflix Streaming Premium"/>
    <n v="150.4"/>
    <n v="177.27"/>
    <n v="-44.182985074626863"/>
    <n v="149.61000000000001"/>
    <n v="221.45298507462687"/>
  </r>
  <r>
    <s v="TXN200704"/>
    <x v="126"/>
    <s v="2025-12-11"/>
    <x v="1"/>
    <x v="6"/>
    <s v="Spotify Music Hub"/>
    <n v="1048.78"/>
    <n v="1381.27"/>
    <n v="332.49"/>
    <n v="1227.21"/>
    <n v="1048.78"/>
  </r>
  <r>
    <s v="TXN200705"/>
    <x v="125"/>
    <s v="09/02/2025"/>
    <x v="1"/>
    <x v="5"/>
    <s v="Internal P2P Route"/>
    <n v="517.53"/>
    <n v="700.14"/>
    <n v="182.61"/>
    <n v="509.77"/>
    <n v="517.53"/>
  </r>
  <r>
    <s v="TXN200706"/>
    <x v="133"/>
    <s v="2025-10-30"/>
    <x v="1"/>
    <x v="3"/>
    <s v="Stark Retail Labs"/>
    <n v="7185.29"/>
    <n v="9089.2199999999993"/>
    <n v="1903.93"/>
    <n v="8160.34"/>
    <n v="7185.2899999999991"/>
  </r>
  <r>
    <s v="TXN200707"/>
    <x v="139"/>
    <s v="2025-05-21"/>
    <x v="0"/>
    <x v="3"/>
    <s v="Global Industries Llc"/>
    <n v="7387.22"/>
    <n v="10184.200000000001"/>
    <n v="-1527.63"/>
    <n v="8599.67"/>
    <n v="11711.830000000002"/>
  </r>
  <r>
    <s v="TXN200708"/>
    <x v="24"/>
    <s v="2025-07-29"/>
    <x v="1"/>
    <x v="5"/>
    <s v="Internal P2P Route"/>
    <n v="725.97"/>
    <n v="1002.05"/>
    <n v="276.08"/>
    <n v="788.63"/>
    <n v="725.97"/>
  </r>
  <r>
    <s v="TXN200709"/>
    <x v="80"/>
    <s v="2025-10-29"/>
    <x v="1"/>
    <x v="6"/>
    <s v="Spotify Music Hub"/>
    <n v="25.5"/>
    <n v="32.86"/>
    <n v="7.36"/>
    <n v="24.37"/>
    <n v="25.5"/>
  </r>
  <r>
    <s v="TXN200710"/>
    <x v="12"/>
    <s v="2025-03-20"/>
    <x v="1"/>
    <x v="0"/>
    <s v="State Hydro Grid"/>
    <n v="475.62"/>
    <n v="602.26"/>
    <n v="126.64"/>
    <n v="540.22"/>
    <n v="475.62"/>
  </r>
  <r>
    <s v="TXN200711"/>
    <x v="130"/>
    <s v="04/03/2025"/>
    <x v="0"/>
    <x v="3"/>
    <s v="Global Industries Llc"/>
    <n v="7671.06"/>
    <n v="9042.6200000000008"/>
    <n v="-1356.39"/>
    <n v="7308.85"/>
    <n v="10399.01"/>
  </r>
  <r>
    <s v="TXN200712"/>
    <x v="133"/>
    <s v="13/05/2025"/>
    <x v="1"/>
    <x v="2"/>
    <s v="Whole Foods Store"/>
    <n v="1199.49"/>
    <n v="1624.56"/>
    <n v="425.07"/>
    <n v="1338.38"/>
    <n v="1199.49"/>
  </r>
  <r>
    <s v="TXN200713"/>
    <x v="37"/>
    <s v="2025-08-27"/>
    <x v="1"/>
    <x v="4"/>
    <s v="Mcdonalds Corp Express"/>
    <n v="1099.07"/>
    <n v="1309.47"/>
    <n v="210.4"/>
    <n v="1200.94"/>
    <n v="1099.07"/>
  </r>
  <r>
    <s v="TXN200714"/>
    <x v="144"/>
    <s v="2025-04-19"/>
    <x v="1"/>
    <x v="5"/>
    <s v="Zelle Payment Engine"/>
    <n v="189.9"/>
    <n v="241.15"/>
    <n v="51.25"/>
    <n v="212.14"/>
    <n v="189.9"/>
  </r>
  <r>
    <s v="TXN200715"/>
    <x v="100"/>
    <s v="2025-07-05"/>
    <x v="0"/>
    <x v="4"/>
    <s v="Mcdonalds Corp Express"/>
    <n v="448.59"/>
    <n v="605.92999999999995"/>
    <n v="-90.89"/>
    <n v="408.69"/>
    <n v="696.81999999999994"/>
  </r>
  <r>
    <s v="TXN200716"/>
    <x v="56"/>
    <s v="2025-06-05"/>
    <x v="0"/>
    <x v="6"/>
    <s v="Amc Cinema Network"/>
    <n v="1025.72"/>
    <n v="1311.78"/>
    <n v="-196.77"/>
    <n v="987.23"/>
    <n v="1508.55"/>
  </r>
  <r>
    <s v="TXN200717"/>
    <x v="22"/>
    <s v="2025-09-30"/>
    <x v="1"/>
    <x v="1"/>
    <s v="Ebay International"/>
    <n v="89.32"/>
    <n v="117.39"/>
    <n v="28.07"/>
    <n v="99.68"/>
    <n v="89.32"/>
  </r>
  <r>
    <s v="TXN200718"/>
    <x v="46"/>
    <s v="2025-05-26"/>
    <x v="0"/>
    <x v="3"/>
    <s v="Global Industries Llc"/>
    <n v="8226.59"/>
    <n v="11302.48"/>
    <n v="-1695.37"/>
    <n v="7732.52"/>
    <n v="12997.849999999999"/>
  </r>
  <r>
    <s v="TXN200719"/>
    <x v="113"/>
    <s v="2025-04-23"/>
    <x v="1"/>
    <x v="6"/>
    <s v="Spotify Music Hub"/>
    <n v="1045.1400000000001"/>
    <n v="1211.7"/>
    <n v="166.56"/>
    <n v="993.48"/>
    <n v="1045.1400000000001"/>
  </r>
  <r>
    <s v="TXN200720"/>
    <x v="123"/>
    <s v="2025-12-18"/>
    <x v="1"/>
    <x v="5"/>
    <s v="Zelle Payment Engine"/>
    <n v="334.54"/>
    <n v="408.56"/>
    <n v="74.02"/>
    <n v="371.69"/>
    <n v="334.54"/>
  </r>
  <r>
    <s v="TXN200721"/>
    <x v="148"/>
    <s v="2025-02-21"/>
    <x v="1"/>
    <x v="5"/>
    <s v="Internal P2P Route"/>
    <n v="951.65"/>
    <n v="1130.45"/>
    <n v="178.8"/>
    <n v="1084.24"/>
    <n v="951.65000000000009"/>
  </r>
  <r>
    <s v="TXN200722"/>
    <x v="55"/>
    <s v="2025-02-25"/>
    <x v="0"/>
    <x v="5"/>
    <s v="Internal P2P Route"/>
    <n v="536.76"/>
    <n v="651.04"/>
    <n v="-97.66"/>
    <n v="599.15"/>
    <n v="748.69999999999993"/>
  </r>
  <r>
    <s v="TXN200723"/>
    <x v="44"/>
    <s v="2025-08-29"/>
    <x v="0"/>
    <x v="1"/>
    <s v="Ebay International"/>
    <n v="462.67"/>
    <n v="572.04"/>
    <n v="-85.81"/>
    <n v="520.80999999999995"/>
    <n v="657.84999999999991"/>
  </r>
  <r>
    <s v="TXN200724"/>
    <x v="77"/>
    <s v="2025-11-09"/>
    <x v="0"/>
    <x v="2"/>
    <s v="Supermart Marketplace"/>
    <n v="141.55000000000001"/>
    <n v="172.97"/>
    <n v="-25.95"/>
    <n v="169.22"/>
    <n v="198.92"/>
  </r>
  <r>
    <s v="TXN200725"/>
    <x v="126"/>
    <s v="2025-10-29"/>
    <x v="1"/>
    <x v="4"/>
    <s v="Starbucks Hub Cafe"/>
    <n v="1097.01"/>
    <n v="1396.27"/>
    <n v="299.26"/>
    <n v="1028.83"/>
    <n v="1097.01"/>
  </r>
  <r>
    <s v="TXN200726"/>
    <x v="147"/>
    <s v="2025-11-17"/>
    <x v="0"/>
    <x v="2"/>
    <s v="Fresh &amp; Fast Logistics"/>
    <n v="221.04"/>
    <n v="295.89999999999998"/>
    <n v="-44.38"/>
    <n v="253.37"/>
    <n v="340.28"/>
  </r>
  <r>
    <s v="TXN200727"/>
    <x v="112"/>
    <s v="2025-03-12"/>
    <x v="1"/>
    <x v="6"/>
    <s v="Netflix Streaming Premium"/>
    <n v="1061.3399999999999"/>
    <n v="1335.62"/>
    <n v="274.27999999999997"/>
    <n v="1241.19"/>
    <n v="1061.3399999999999"/>
  </r>
  <r>
    <s v="TXN200728"/>
    <x v="95"/>
    <s v="2025-04-23"/>
    <x v="1"/>
    <x v="4"/>
    <s v="Mcdonalds Corp Express"/>
    <n v="1030.05"/>
    <n v="1251.5999999999999"/>
    <n v="221.55"/>
    <n v="929.81"/>
    <n v="1030.05"/>
  </r>
  <r>
    <s v="TXN200729"/>
    <x v="53"/>
    <s v="2025-12-26"/>
    <x v="0"/>
    <x v="3"/>
    <s v="Techcorp Payroll Inc"/>
    <n v="7126.76"/>
    <n v="9415.5"/>
    <n v="-1412.33"/>
    <n v="7462.6"/>
    <n v="10827.83"/>
  </r>
  <r>
    <s v="TXN200730"/>
    <x v="138"/>
    <s v="2025-06-20"/>
    <x v="0"/>
    <x v="6"/>
    <s v="Spotify Music Hub"/>
    <n v="1137.4100000000001"/>
    <n v="1412.34"/>
    <n v="-211.85"/>
    <n v="1249.3699999999999"/>
    <n v="1624.1899999999998"/>
  </r>
  <r>
    <s v="TXN200731"/>
    <x v="40"/>
    <s v="19/07/2025"/>
    <x v="0"/>
    <x v="3"/>
    <s v="Techcorp Payroll Inc"/>
    <n v="7993.97"/>
    <n v="9967.5499999999993"/>
    <n v="-1495.13"/>
    <n v="8110.47"/>
    <n v="11462.68"/>
  </r>
  <r>
    <s v="TXN200732"/>
    <x v="10"/>
    <s v="CORRUPT_DATE_FLAG"/>
    <x v="0"/>
    <x v="4"/>
    <s v="Mcdonalds Corp Express"/>
    <n v="519.76"/>
    <n v="1420.2638235294123"/>
    <n v="-108.24"/>
    <n v="598.35"/>
    <n v="1528.5038235294123"/>
  </r>
  <r>
    <s v="TXN200733"/>
    <x v="129"/>
    <s v="19/04/2025"/>
    <x v="1"/>
    <x v="5"/>
    <s v="Internal P2P Route"/>
    <n v="991.56"/>
    <n v="1227.93"/>
    <n v="236.37"/>
    <n v="1119.07"/>
    <n v="991.56000000000006"/>
  </r>
  <r>
    <s v="TXN200734"/>
    <x v="125"/>
    <s v="2025-10-18"/>
    <x v="1"/>
    <x v="4"/>
    <s v="Starbucks Hub Cafe"/>
    <n v="521.14"/>
    <n v="678.98"/>
    <n v="157.84"/>
    <n v="481.44"/>
    <n v="521.14"/>
  </r>
  <r>
    <s v="TXN200735"/>
    <x v="104"/>
    <s v="2025-12-23"/>
    <x v="1"/>
    <x v="5"/>
    <s v="Zelle Payment Engine"/>
    <n v="776.18"/>
    <n v="917.44"/>
    <n v="141.26"/>
    <n v="870.73"/>
    <n v="776.18000000000006"/>
  </r>
  <r>
    <s v="TXN200736"/>
    <x v="144"/>
    <s v="2025-05-17"/>
    <x v="0"/>
    <x v="6"/>
    <s v="Amc Cinema Network"/>
    <n v="774.06"/>
    <n v="1065.95"/>
    <n v="-159.88999999999999"/>
    <n v="900.62"/>
    <n v="1225.8400000000001"/>
  </r>
  <r>
    <s v="TXN200737"/>
    <x v="140"/>
    <s v="2025-01-08"/>
    <x v="1"/>
    <x v="5"/>
    <s v="Zelle Payment Engine"/>
    <n v="633.52"/>
    <n v="877.35"/>
    <n v="243.83"/>
    <n v="658.24"/>
    <n v="633.52"/>
  </r>
  <r>
    <s v="TXN200738"/>
    <x v="68"/>
    <s v="16/05/2025"/>
    <x v="0"/>
    <x v="0"/>
    <s v="Metropolitan Water Sewer"/>
    <n v="886.02"/>
    <n v="1185.54"/>
    <n v="-177.83"/>
    <n v="1024.9100000000001"/>
    <n v="1363.37"/>
  </r>
  <r>
    <s v="TXN200739"/>
    <x v="87"/>
    <s v="05/06/2025"/>
    <x v="0"/>
    <x v="0"/>
    <s v="City Power &amp; Gas Co"/>
    <n v="31.52"/>
    <n v="36.28"/>
    <n v="-5.44"/>
    <n v="35.5"/>
    <n v="41.72"/>
  </r>
  <r>
    <s v="TXN200740"/>
    <x v="73"/>
    <s v="2025-08-12"/>
    <x v="0"/>
    <x v="6"/>
    <s v="Spotify Music Hub"/>
    <n v="681.84"/>
    <n v="943.34"/>
    <n v="-141.5"/>
    <n v="687.67"/>
    <n v="1084.8400000000001"/>
  </r>
  <r>
    <s v="TXN200741"/>
    <x v="106"/>
    <s v="2025-06-15"/>
    <x v="1"/>
    <x v="4"/>
    <s v="Mcdonalds Corp Express"/>
    <n v="772.17"/>
    <n v="1079.7"/>
    <n v="307.52999999999997"/>
    <n v="918.13"/>
    <n v="772.17000000000007"/>
  </r>
  <r>
    <s v="TXN200742"/>
    <x v="19"/>
    <s v="2025-11-05"/>
    <x v="0"/>
    <x v="3"/>
    <s v="Global Industries Llc"/>
    <n v="5588.41"/>
    <n v="7807.24"/>
    <n v="-1171.0899999999999"/>
    <n v="5972.88"/>
    <n v="8978.33"/>
  </r>
  <r>
    <s v="TXN200743"/>
    <x v="35"/>
    <s v="2025-01-06"/>
    <x v="0"/>
    <x v="3"/>
    <s v="Stark Retail Labs"/>
    <n v="8396.69"/>
    <n v="9796.7800000000007"/>
    <n v="-1469.52"/>
    <n v="8391.9599999999991"/>
    <n v="11266.300000000001"/>
  </r>
  <r>
    <s v="TXN200744"/>
    <x v="115"/>
    <s v="2025-07-15"/>
    <x v="1"/>
    <x v="3"/>
    <s v="Stark Retail Labs"/>
    <n v="4752.47"/>
    <n v="5517.98"/>
    <n v="765.51"/>
    <n v="4440.42"/>
    <n v="4752.4699999999993"/>
  </r>
  <r>
    <s v="TXN200745"/>
    <x v="101"/>
    <s v="2025-09-19"/>
    <x v="1"/>
    <x v="4"/>
    <s v="Mcdonalds Corp Express"/>
    <n v="96.12"/>
    <n v="113.46"/>
    <n v="17.34"/>
    <n v="103.99"/>
    <n v="96.11999999999999"/>
  </r>
  <r>
    <s v="TXN200746"/>
    <x v="83"/>
    <s v="2025-05-31"/>
    <x v="0"/>
    <x v="5"/>
    <s v="Zelle Payment Engine"/>
    <n v="663.02"/>
    <n v="845.66"/>
    <n v="-126.85"/>
    <n v="783.65"/>
    <n v="972.51"/>
  </r>
  <r>
    <s v="TXN200747"/>
    <x v="13"/>
    <s v="2025-03-30"/>
    <x v="0"/>
    <x v="2"/>
    <s v="Fresh &amp; Fast Logistics"/>
    <n v="1143.03"/>
    <n v="1584.56"/>
    <n v="-237.68"/>
    <n v="1058.57"/>
    <n v="1822.24"/>
  </r>
  <r>
    <s v="TXN200748"/>
    <x v="31"/>
    <s v="2025-05-28"/>
    <x v="1"/>
    <x v="2"/>
    <s v="Whole Foods Store"/>
    <n v="701.64"/>
    <n v="861.69"/>
    <n v="160.05000000000001"/>
    <n v="640.21"/>
    <n v="701.6400000000001"/>
  </r>
  <r>
    <s v="TXN200749"/>
    <x v="143"/>
    <s v="2025-10-06"/>
    <x v="0"/>
    <x v="3"/>
    <s v="Global Industries Llc"/>
    <n v="8738.9699999999993"/>
    <n v="10411.280000000001"/>
    <n v="-1561.69"/>
    <n v="8454.6"/>
    <n v="11972.970000000001"/>
  </r>
  <r>
    <s v="TXN200750"/>
    <x v="108"/>
    <s v="2025-06-01"/>
    <x v="0"/>
    <x v="6"/>
    <s v="Amc Cinema Network"/>
    <n v="287.63"/>
    <n v="356.68"/>
    <n v="-53.5"/>
    <n v="332.27"/>
    <n v="410.18"/>
  </r>
  <r>
    <s v="TXN200751"/>
    <x v="18"/>
    <s v="2025-04-25"/>
    <x v="1"/>
    <x v="0"/>
    <s v="State Hydro Grid"/>
    <n v="247.3"/>
    <n v="343.5"/>
    <n v="96.2"/>
    <n v="257.77999999999997"/>
    <n v="247.3"/>
  </r>
  <r>
    <s v="TXN200752"/>
    <x v="28"/>
    <s v="22/11/2025"/>
    <x v="0"/>
    <x v="6"/>
    <s v="Amc Cinema Network"/>
    <n v="122.71"/>
    <n v="161.27000000000001"/>
    <n v="-24.19"/>
    <n v="128.69999999999999"/>
    <n v="185.46"/>
  </r>
  <r>
    <s v="TXN200753"/>
    <x v="130"/>
    <s v="2025-08-12"/>
    <x v="1"/>
    <x v="5"/>
    <s v="Internal P2P Route"/>
    <n v="437.27"/>
    <n v="596.45000000000005"/>
    <n v="159.18"/>
    <n v="485.61"/>
    <n v="437.27000000000004"/>
  </r>
  <r>
    <s v="TXN200754"/>
    <x v="44"/>
    <s v="2025-07-09"/>
    <x v="0"/>
    <x v="1"/>
    <s v="Target Direct Online"/>
    <n v="275.64"/>
    <n v="363.16"/>
    <n v="-54.47"/>
    <n v="323.47000000000003"/>
    <n v="417.63"/>
  </r>
  <r>
    <s v="TXN200755"/>
    <x v="34"/>
    <s v="2025-03-18"/>
    <x v="1"/>
    <x v="1"/>
    <s v="Ebay International"/>
    <n v="310.83"/>
    <n v="401.51"/>
    <n v="90.68"/>
    <n v="285.01"/>
    <n v="310.83"/>
  </r>
  <r>
    <s v="TXN200756"/>
    <x v="115"/>
    <s v="2025-09-08"/>
    <x v="0"/>
    <x v="1"/>
    <s v="Ebay International"/>
    <n v="720.85"/>
    <n v="913.83"/>
    <n v="-137.07"/>
    <n v="846.48"/>
    <n v="1050.9000000000001"/>
  </r>
  <r>
    <s v="TXN200757"/>
    <x v="107"/>
    <s v="2025-11-01"/>
    <x v="1"/>
    <x v="4"/>
    <s v="Mcdonalds Corp Express"/>
    <n v="1096.77"/>
    <n v="1429.62"/>
    <n v="332.85"/>
    <n v="1227.56"/>
    <n v="1096.77"/>
  </r>
  <r>
    <s v="TXN200758"/>
    <x v="30"/>
    <s v="2025-10-18"/>
    <x v="1"/>
    <x v="3"/>
    <s v="Global Industries Llc"/>
    <n v="4772.3"/>
    <n v="5793.07"/>
    <n v="1020.77"/>
    <n v="4887.54"/>
    <n v="4772.2999999999993"/>
  </r>
  <r>
    <s v="TXN200759"/>
    <x v="82"/>
    <s v="2025-02-21"/>
    <x v="0"/>
    <x v="3"/>
    <s v="Global Industries Llc"/>
    <n v="9078.89"/>
    <n v="11209.19"/>
    <n v="-1681.38"/>
    <n v="8402.44"/>
    <n v="12890.57"/>
  </r>
  <r>
    <s v="TXN200760"/>
    <x v="146"/>
    <s v="2025-09-19"/>
    <x v="1"/>
    <x v="3"/>
    <s v="Global Industries Llc"/>
    <n v="7465.09"/>
    <n v="9416.61"/>
    <n v="1951.52"/>
    <n v="7655.35"/>
    <n v="7465.09"/>
  </r>
  <r>
    <s v="TXN200761"/>
    <x v="35"/>
    <s v="2025-06-14"/>
    <x v="0"/>
    <x v="3"/>
    <s v="Stark Retail Labs"/>
    <n v="9108.4699999999993"/>
    <n v="12233.73"/>
    <n v="-1835.06"/>
    <n v="9051.41"/>
    <n v="14068.789999999999"/>
  </r>
  <r>
    <s v="TXN200762"/>
    <x v="108"/>
    <s v="2025-05-11"/>
    <x v="1"/>
    <x v="5"/>
    <s v="Internal P2P Route"/>
    <n v="532.88"/>
    <n v="674.88"/>
    <n v="-44.182985074626863"/>
    <n v="545.34"/>
    <n v="719.06298507462691"/>
  </r>
  <r>
    <s v="TXN200763"/>
    <x v="11"/>
    <s v="2025-08-21"/>
    <x v="0"/>
    <x v="6"/>
    <s v="Spotify Music Hub"/>
    <n v="857.28"/>
    <n v="1185.95"/>
    <n v="-177.89"/>
    <n v="786.19"/>
    <n v="1363.8400000000001"/>
  </r>
  <r>
    <s v="TXN200764"/>
    <x v="32"/>
    <s v="2025-08-02"/>
    <x v="1"/>
    <x v="1"/>
    <s v="Ebay International"/>
    <n v="511.41"/>
    <n v="638.79999999999995"/>
    <n v="127.39"/>
    <n v="583.58000000000004"/>
    <n v="511.40999999999997"/>
  </r>
  <r>
    <s v="TXN200765"/>
    <x v="80"/>
    <s v="2025-10-13"/>
    <x v="0"/>
    <x v="3"/>
    <s v="Techcorp Payroll Inc"/>
    <n v="1219.4163333333336"/>
    <n v="139.35"/>
    <n v="-20.9"/>
    <n v="109.91"/>
    <n v="160.25"/>
  </r>
  <r>
    <s v="TXN200766"/>
    <x v="60"/>
    <s v="2025-10-27"/>
    <x v="0"/>
    <x v="2"/>
    <s v="Fresh &amp; Fast Logistics"/>
    <n v="696.94"/>
    <n v="922.83"/>
    <n v="-138.41999999999999"/>
    <n v="742.88"/>
    <n v="1061.25"/>
  </r>
  <r>
    <s v="TXN200767"/>
    <x v="64"/>
    <s v="2025-02-19"/>
    <x v="1"/>
    <x v="3"/>
    <s v="Techcorp Payroll Inc"/>
    <n v="4770.2700000000004"/>
    <n v="6020.42"/>
    <n v="1250.1500000000001"/>
    <n v="4694.2"/>
    <n v="4770.2700000000004"/>
  </r>
  <r>
    <s v="TXN200768"/>
    <x v="73"/>
    <s v="2025-07-30"/>
    <x v="1"/>
    <x v="4"/>
    <s v="Mcdonalds Corp Express"/>
    <n v="124.84"/>
    <n v="173.83"/>
    <n v="48.99"/>
    <n v="122.98"/>
    <n v="124.84"/>
  </r>
  <r>
    <s v="TXN200769"/>
    <x v="31"/>
    <s v="2025-03-19"/>
    <x v="0"/>
    <x v="6"/>
    <s v="Netflix Streaming Premium"/>
    <n v="38.75"/>
    <n v="45.39"/>
    <n v="-6.81"/>
    <n v="35.270000000000003"/>
    <n v="52.2"/>
  </r>
  <r>
    <s v="TXN200770"/>
    <x v="41"/>
    <s v="2025-02-20"/>
    <x v="0"/>
    <x v="1"/>
    <s v="Target Direct Online"/>
    <n v="315.74"/>
    <n v="394.67"/>
    <n v="-59.2"/>
    <n v="340.15"/>
    <n v="453.87"/>
  </r>
  <r>
    <s v="TXN200771"/>
    <x v="115"/>
    <s v="2025-07-06"/>
    <x v="1"/>
    <x v="2"/>
    <s v="Supermart Marketplace"/>
    <n v="15.32"/>
    <n v="19.11"/>
    <n v="3.79"/>
    <n v="17.899999999999999"/>
    <n v="15.32"/>
  </r>
  <r>
    <s v="TXN200772"/>
    <x v="86"/>
    <s v="2025-05-24"/>
    <x v="1"/>
    <x v="2"/>
    <s v="Supermart Marketplace"/>
    <n v="1086.8800000000001"/>
    <n v="1287.97"/>
    <n v="201.09"/>
    <n v="1151.3900000000001"/>
    <n v="1086.8800000000001"/>
  </r>
  <r>
    <s v="TXN200773"/>
    <x v="123"/>
    <s v="2025-04-29"/>
    <x v="0"/>
    <x v="4"/>
    <s v="Olive Garden Gourmet"/>
    <n v="206.11"/>
    <n v="238.62"/>
    <n v="-35.79"/>
    <n v="201.44"/>
    <n v="274.41000000000003"/>
  </r>
  <r>
    <s v="TXN200774"/>
    <x v="92"/>
    <s v="2025-10-12"/>
    <x v="0"/>
    <x v="6"/>
    <s v="Netflix Streaming Premium"/>
    <n v="661.57"/>
    <n v="883.6"/>
    <n v="-132.54"/>
    <n v="766.69"/>
    <n v="1016.14"/>
  </r>
  <r>
    <s v="TXN200775"/>
    <x v="143"/>
    <s v="2025-10-22"/>
    <x v="1"/>
    <x v="5"/>
    <s v="Internal P2P Route"/>
    <n v="928.98"/>
    <n v="1263.72"/>
    <n v="334.74"/>
    <n v="1026.82"/>
    <n v="928.9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5">
  <r>
    <x v="0"/>
    <x v="0"/>
    <s v="2025-10-04"/>
    <s v="Withdrawal"/>
    <x v="0"/>
    <x v="0"/>
    <x v="0"/>
    <n v="324.51"/>
    <n v="-48.68"/>
    <x v="0"/>
    <n v="373.19"/>
  </r>
  <r>
    <x v="1"/>
    <x v="1"/>
    <s v="2025-08-13"/>
    <s v="Deposit"/>
    <x v="1"/>
    <x v="1"/>
    <x v="1"/>
    <n v="696.85"/>
    <n v="154.27000000000001"/>
    <x v="1"/>
    <n v="542.58000000000004"/>
  </r>
  <r>
    <x v="2"/>
    <x v="2"/>
    <s v="2025-07-26"/>
    <s v="Withdrawal"/>
    <x v="2"/>
    <x v="2"/>
    <x v="2"/>
    <n v="442.32"/>
    <n v="-66.349999999999994"/>
    <x v="2"/>
    <n v="508.66999999999996"/>
  </r>
  <r>
    <x v="3"/>
    <x v="3"/>
    <s v="2025-07-14"/>
    <s v="Deposit"/>
    <x v="0"/>
    <x v="0"/>
    <x v="3"/>
    <n v="930.16"/>
    <n v="122.47"/>
    <x v="3"/>
    <n v="807.68999999999994"/>
  </r>
  <r>
    <x v="4"/>
    <x v="4"/>
    <s v="2025-07-09"/>
    <s v="Withdrawal"/>
    <x v="3"/>
    <x v="3"/>
    <x v="4"/>
    <n v="5611.92"/>
    <n v="-841.79"/>
    <x v="4"/>
    <n v="6453.71"/>
  </r>
  <r>
    <x v="5"/>
    <x v="5"/>
    <s v="2025-07-05"/>
    <s v="Withdrawal"/>
    <x v="2"/>
    <x v="4"/>
    <x v="5"/>
    <n v="847.4"/>
    <n v="-127.11"/>
    <x v="5"/>
    <n v="974.51"/>
  </r>
  <r>
    <x v="6"/>
    <x v="6"/>
    <s v="2025-02-03"/>
    <s v="Deposit"/>
    <x v="4"/>
    <x v="5"/>
    <x v="6"/>
    <n v="1067.75"/>
    <n v="220.71"/>
    <x v="6"/>
    <n v="847.04"/>
  </r>
  <r>
    <x v="7"/>
    <x v="7"/>
    <s v="2025-03-13"/>
    <s v="Deposit"/>
    <x v="5"/>
    <x v="6"/>
    <x v="7"/>
    <n v="1353.15"/>
    <n v="280.60000000000002"/>
    <x v="7"/>
    <n v="1072.5500000000002"/>
  </r>
  <r>
    <x v="8"/>
    <x v="5"/>
    <s v="2025-06-22"/>
    <s v="Withdrawal"/>
    <x v="3"/>
    <x v="7"/>
    <x v="8"/>
    <n v="9641.6299999999992"/>
    <n v="-1446.24"/>
    <x v="8"/>
    <n v="11087.869999999999"/>
  </r>
  <r>
    <x v="9"/>
    <x v="8"/>
    <s v="2025-03-20"/>
    <s v="Withdrawal"/>
    <x v="0"/>
    <x v="0"/>
    <x v="9"/>
    <n v="859.18"/>
    <n v="-128.88"/>
    <x v="9"/>
    <n v="988.06"/>
  </r>
  <r>
    <x v="10"/>
    <x v="9"/>
    <s v="2025-04-01"/>
    <s v="Deposit"/>
    <x v="3"/>
    <x v="8"/>
    <x v="10"/>
    <n v="9685.99"/>
    <n v="2314.5300000000002"/>
    <x v="10"/>
    <n v="7371.4599999999991"/>
  </r>
  <r>
    <x v="11"/>
    <x v="10"/>
    <s v="2025-04-11"/>
    <s v="Withdrawal"/>
    <x v="1"/>
    <x v="1"/>
    <x v="11"/>
    <n v="470.43"/>
    <n v="-70.56"/>
    <x v="11"/>
    <n v="540.99"/>
  </r>
  <r>
    <x v="12"/>
    <x v="11"/>
    <s v="2025-09-22"/>
    <s v="Deposit"/>
    <x v="2"/>
    <x v="2"/>
    <x v="12"/>
    <n v="221.72"/>
    <n v="33.880000000000003"/>
    <x v="12"/>
    <n v="187.84"/>
  </r>
  <r>
    <x v="13"/>
    <x v="12"/>
    <s v="2025-12-18"/>
    <s v="Withdrawal"/>
    <x v="4"/>
    <x v="9"/>
    <x v="13"/>
    <n v="332.06"/>
    <n v="-49.81"/>
    <x v="13"/>
    <n v="381.87"/>
  </r>
  <r>
    <x v="14"/>
    <x v="13"/>
    <s v="2025-05-04"/>
    <s v="Withdrawal"/>
    <x v="2"/>
    <x v="4"/>
    <x v="14"/>
    <n v="1096.8499999999999"/>
    <n v="-164.53"/>
    <x v="14"/>
    <n v="1261.3799999999999"/>
  </r>
  <r>
    <x v="15"/>
    <x v="14"/>
    <s v="2025-01-27"/>
    <s v="Withdrawal"/>
    <x v="4"/>
    <x v="9"/>
    <x v="15"/>
    <n v="75.510000000000005"/>
    <n v="-11.33"/>
    <x v="15"/>
    <n v="86.84"/>
  </r>
  <r>
    <x v="16"/>
    <x v="15"/>
    <s v="CORRUPT_DATE_FLAG"/>
    <s v="Withdrawal"/>
    <x v="5"/>
    <x v="10"/>
    <x v="16"/>
    <n v="800.74"/>
    <n v="-120.11"/>
    <x v="16"/>
    <n v="920.85"/>
  </r>
  <r>
    <x v="17"/>
    <x v="3"/>
    <s v="2025-03-04"/>
    <s v="Deposit"/>
    <x v="4"/>
    <x v="5"/>
    <x v="17"/>
    <n v="1044.4000000000001"/>
    <n v="164.31"/>
    <x v="17"/>
    <n v="880.09000000000015"/>
  </r>
  <r>
    <x v="18"/>
    <x v="16"/>
    <s v="CORRUPT_DATE_FLAG"/>
    <s v="Deposit"/>
    <x v="6"/>
    <x v="11"/>
    <x v="18"/>
    <n v="347.82"/>
    <n v="57.5"/>
    <x v="18"/>
    <n v="290.32"/>
  </r>
  <r>
    <x v="19"/>
    <x v="17"/>
    <s v="2025-01-20"/>
    <s v="Deposit"/>
    <x v="4"/>
    <x v="9"/>
    <x v="19"/>
    <n v="1130.0899999999999"/>
    <n v="305.25"/>
    <x v="19"/>
    <n v="824.83999999999992"/>
  </r>
  <r>
    <x v="20"/>
    <x v="18"/>
    <s v="2025-09-18"/>
    <s v="Deposit"/>
    <x v="4"/>
    <x v="9"/>
    <x v="20"/>
    <n v="197.55"/>
    <n v="29.8"/>
    <x v="20"/>
    <n v="167.75"/>
  </r>
  <r>
    <x v="21"/>
    <x v="19"/>
    <s v="2025-07-26"/>
    <s v="Deposit"/>
    <x v="6"/>
    <x v="12"/>
    <x v="21"/>
    <n v="962.91"/>
    <n v="136.69999999999999"/>
    <x v="21"/>
    <n v="826.21"/>
  </r>
  <r>
    <x v="22"/>
    <x v="20"/>
    <s v="2025-07-18"/>
    <s v="Withdrawal"/>
    <x v="2"/>
    <x v="13"/>
    <x v="22"/>
    <n v="1385.8"/>
    <n v="-207.87"/>
    <x v="22"/>
    <n v="1593.67"/>
  </r>
  <r>
    <x v="23"/>
    <x v="2"/>
    <s v="2025-04-13"/>
    <s v="Withdrawal"/>
    <x v="2"/>
    <x v="13"/>
    <x v="23"/>
    <n v="739.41"/>
    <n v="-110.91"/>
    <x v="23"/>
    <n v="850.31999999999994"/>
  </r>
  <r>
    <x v="24"/>
    <x v="21"/>
    <s v="2025-01-20"/>
    <s v="Deposit"/>
    <x v="1"/>
    <x v="14"/>
    <x v="24"/>
    <n v="1133.02"/>
    <n v="222.07"/>
    <x v="24"/>
    <n v="910.95"/>
  </r>
  <r>
    <x v="25"/>
    <x v="22"/>
    <s v="2025-08-23"/>
    <s v="Withdrawal"/>
    <x v="5"/>
    <x v="6"/>
    <x v="25"/>
    <n v="445"/>
    <n v="-66.75"/>
    <x v="25"/>
    <n v="511.75"/>
  </r>
  <r>
    <x v="26"/>
    <x v="23"/>
    <s v="2025-07-16"/>
    <s v="Deposit"/>
    <x v="1"/>
    <x v="1"/>
    <x v="26"/>
    <n v="591.79999999999995"/>
    <n v="126.63"/>
    <x v="26"/>
    <n v="465.16999999999996"/>
  </r>
  <r>
    <x v="27"/>
    <x v="24"/>
    <s v="2025-12-05"/>
    <s v="Withdrawal"/>
    <x v="1"/>
    <x v="15"/>
    <x v="27"/>
    <n v="1159.96"/>
    <n v="-173.99"/>
    <x v="27"/>
    <n v="1333.95"/>
  </r>
  <r>
    <x v="28"/>
    <x v="20"/>
    <s v="2025-09-07"/>
    <s v="Withdrawal"/>
    <x v="2"/>
    <x v="4"/>
    <x v="28"/>
    <n v="742.06"/>
    <n v="-111.31"/>
    <x v="28"/>
    <n v="853.36999999999989"/>
  </r>
  <r>
    <x v="29"/>
    <x v="25"/>
    <s v="2025-11-17"/>
    <s v="Withdrawal"/>
    <x v="4"/>
    <x v="5"/>
    <x v="29"/>
    <n v="1372.11"/>
    <n v="-205.82"/>
    <x v="29"/>
    <n v="1577.9299999999998"/>
  </r>
  <r>
    <x v="30"/>
    <x v="26"/>
    <s v="2025-11-15"/>
    <s v="Withdrawal"/>
    <x v="3"/>
    <x v="8"/>
    <x v="30"/>
    <n v="121.8"/>
    <n v="-18.27"/>
    <x v="30"/>
    <n v="140.07"/>
  </r>
  <r>
    <x v="31"/>
    <x v="27"/>
    <s v="2025-04-30"/>
    <s v="Withdrawal"/>
    <x v="6"/>
    <x v="16"/>
    <x v="31"/>
    <n v="1274.47"/>
    <n v="-191.17"/>
    <x v="31"/>
    <n v="1465.64"/>
  </r>
  <r>
    <x v="32"/>
    <x v="18"/>
    <s v="2025-03-23"/>
    <s v="Deposit"/>
    <x v="4"/>
    <x v="9"/>
    <x v="32"/>
    <n v="940.71"/>
    <n v="253.92"/>
    <x v="32"/>
    <n v="686.79000000000008"/>
  </r>
  <r>
    <x v="33"/>
    <x v="28"/>
    <s v="2025-01-27"/>
    <s v="Deposit"/>
    <x v="5"/>
    <x v="17"/>
    <x v="33"/>
    <n v="241.89"/>
    <n v="52.17"/>
    <x v="33"/>
    <n v="189.71999999999997"/>
  </r>
  <r>
    <x v="34"/>
    <x v="29"/>
    <s v="2025-09-04"/>
    <s v="Deposit"/>
    <x v="2"/>
    <x v="4"/>
    <x v="34"/>
    <n v="1420.2638235294123"/>
    <n v="22.01"/>
    <x v="34"/>
    <n v="1398.2538235294123"/>
  </r>
  <r>
    <x v="35"/>
    <x v="30"/>
    <s v="17/05/2025"/>
    <s v="Deposit"/>
    <x v="6"/>
    <x v="12"/>
    <x v="35"/>
    <n v="1300.33"/>
    <n v="262.02999999999997"/>
    <x v="35"/>
    <n v="1038.3"/>
  </r>
  <r>
    <x v="36"/>
    <x v="31"/>
    <s v="2025-10-25"/>
    <s v="Withdrawal"/>
    <x v="1"/>
    <x v="14"/>
    <x v="36"/>
    <n v="346.58"/>
    <n v="-51.99"/>
    <x v="36"/>
    <n v="398.57"/>
  </r>
  <r>
    <x v="37"/>
    <x v="32"/>
    <s v="2025-03-22"/>
    <s v="Deposit"/>
    <x v="6"/>
    <x v="12"/>
    <x v="37"/>
    <n v="868.35"/>
    <n v="227.95"/>
    <x v="37"/>
    <n v="640.40000000000009"/>
  </r>
  <r>
    <x v="38"/>
    <x v="1"/>
    <s v="2025-10-23"/>
    <s v="Deposit"/>
    <x v="2"/>
    <x v="2"/>
    <x v="38"/>
    <n v="1461.75"/>
    <n v="379.52"/>
    <x v="38"/>
    <n v="1082.23"/>
  </r>
  <r>
    <x v="39"/>
    <x v="13"/>
    <s v="2025-03-07"/>
    <s v="Withdrawal"/>
    <x v="3"/>
    <x v="8"/>
    <x v="39"/>
    <n v="9756.2099999999991"/>
    <n v="-1463.43"/>
    <x v="39"/>
    <n v="11219.64"/>
  </r>
  <r>
    <x v="40"/>
    <x v="33"/>
    <s v="2025-03-30"/>
    <s v="Deposit"/>
    <x v="0"/>
    <x v="18"/>
    <x v="40"/>
    <n v="826.06"/>
    <n v="213.68"/>
    <x v="40"/>
    <n v="612.37999999999988"/>
  </r>
  <r>
    <x v="41"/>
    <x v="34"/>
    <s v="2025-03-19"/>
    <s v="Deposit"/>
    <x v="5"/>
    <x v="17"/>
    <x v="41"/>
    <n v="807.39"/>
    <n v="204.68"/>
    <x v="41"/>
    <n v="602.71"/>
  </r>
  <r>
    <x v="42"/>
    <x v="14"/>
    <s v="2025-08-04"/>
    <s v="Withdrawal"/>
    <x v="1"/>
    <x v="14"/>
    <x v="42"/>
    <n v="1038.4000000000001"/>
    <n v="-155.76"/>
    <x v="42"/>
    <n v="1194.1600000000001"/>
  </r>
  <r>
    <x v="43"/>
    <x v="4"/>
    <s v="2025-02-05"/>
    <s v="Deposit"/>
    <x v="3"/>
    <x v="3"/>
    <x v="43"/>
    <n v="7054.36"/>
    <n v="1827.41"/>
    <x v="43"/>
    <n v="5226.95"/>
  </r>
  <r>
    <x v="44"/>
    <x v="35"/>
    <s v="2025-05-27"/>
    <s v="Withdrawal"/>
    <x v="5"/>
    <x v="10"/>
    <x v="44"/>
    <n v="1061.83"/>
    <n v="-159.27000000000001"/>
    <x v="44"/>
    <n v="1221.0999999999999"/>
  </r>
  <r>
    <x v="45"/>
    <x v="36"/>
    <s v="2025-11-01"/>
    <s v="Withdrawal"/>
    <x v="1"/>
    <x v="14"/>
    <x v="45"/>
    <n v="247.07"/>
    <n v="-37.06"/>
    <x v="45"/>
    <n v="284.13"/>
  </r>
  <r>
    <x v="46"/>
    <x v="37"/>
    <s v="2025-01-13"/>
    <s v="Withdrawal"/>
    <x v="1"/>
    <x v="1"/>
    <x v="46"/>
    <n v="485.37"/>
    <n v="-72.81"/>
    <x v="46"/>
    <n v="558.18000000000006"/>
  </r>
  <r>
    <x v="47"/>
    <x v="38"/>
    <s v="2025-05-20"/>
    <s v="Deposit"/>
    <x v="1"/>
    <x v="1"/>
    <x v="47"/>
    <n v="348.51"/>
    <n v="47.68"/>
    <x v="47"/>
    <n v="300.83"/>
  </r>
  <r>
    <x v="48"/>
    <x v="39"/>
    <s v="2025-06-25"/>
    <s v="Deposit"/>
    <x v="0"/>
    <x v="18"/>
    <x v="48"/>
    <n v="1517.98"/>
    <n v="378.06"/>
    <x v="48"/>
    <n v="1139.92"/>
  </r>
  <r>
    <x v="49"/>
    <x v="33"/>
    <s v="2025-02-07"/>
    <s v="Withdrawal"/>
    <x v="2"/>
    <x v="2"/>
    <x v="49"/>
    <n v="699.49"/>
    <n v="-104.92"/>
    <x v="49"/>
    <n v="804.41"/>
  </r>
  <r>
    <x v="50"/>
    <x v="40"/>
    <s v="2025-04-07"/>
    <s v="Withdrawal"/>
    <x v="5"/>
    <x v="17"/>
    <x v="50"/>
    <n v="250.26"/>
    <n v="-37.54"/>
    <x v="50"/>
    <n v="287.8"/>
  </r>
  <r>
    <x v="51"/>
    <x v="29"/>
    <s v="2025-04-13"/>
    <s v="Withdrawal"/>
    <x v="3"/>
    <x v="8"/>
    <x v="51"/>
    <n v="7709.52"/>
    <n v="-1156.43"/>
    <x v="51"/>
    <n v="8865.9500000000007"/>
  </r>
  <r>
    <x v="52"/>
    <x v="41"/>
    <s v="2025-09-29"/>
    <s v="Deposit"/>
    <x v="4"/>
    <x v="19"/>
    <x v="52"/>
    <n v="783.59"/>
    <n v="195.5"/>
    <x v="52"/>
    <n v="588.09"/>
  </r>
  <r>
    <x v="53"/>
    <x v="40"/>
    <s v="2025-09-14"/>
    <s v="Deposit"/>
    <x v="5"/>
    <x v="6"/>
    <x v="53"/>
    <n v="641.9"/>
    <n v="141.99"/>
    <x v="53"/>
    <n v="499.90999999999997"/>
  </r>
  <r>
    <x v="54"/>
    <x v="29"/>
    <s v="2025-05-11"/>
    <s v="Withdrawal"/>
    <x v="6"/>
    <x v="12"/>
    <x v="54"/>
    <n v="966.99"/>
    <n v="-145.05000000000001"/>
    <x v="54"/>
    <n v="1112.04"/>
  </r>
  <r>
    <x v="55"/>
    <x v="42"/>
    <s v="2025-11-24"/>
    <s v="Deposit"/>
    <x v="2"/>
    <x v="4"/>
    <x v="55"/>
    <n v="347.06"/>
    <n v="50.6"/>
    <x v="55"/>
    <n v="296.45999999999998"/>
  </r>
  <r>
    <x v="56"/>
    <x v="43"/>
    <s v="2025-10-13"/>
    <s v="Withdrawal"/>
    <x v="3"/>
    <x v="8"/>
    <x v="56"/>
    <n v="9951.33"/>
    <n v="-1492.7"/>
    <x v="56"/>
    <n v="11444.03"/>
  </r>
  <r>
    <x v="57"/>
    <x v="44"/>
    <s v="2025-05-21"/>
    <s v="Deposit"/>
    <x v="5"/>
    <x v="6"/>
    <x v="57"/>
    <n v="184.47"/>
    <n v="26.41"/>
    <x v="57"/>
    <n v="158.06"/>
  </r>
  <r>
    <x v="58"/>
    <x v="45"/>
    <s v="2025-05-26"/>
    <s v="Deposit"/>
    <x v="6"/>
    <x v="12"/>
    <x v="58"/>
    <n v="216.12"/>
    <n v="48.47"/>
    <x v="58"/>
    <n v="167.65"/>
  </r>
  <r>
    <x v="59"/>
    <x v="46"/>
    <s v="2025-06-18"/>
    <s v="Deposit"/>
    <x v="6"/>
    <x v="16"/>
    <x v="59"/>
    <n v="931.41"/>
    <n v="231.61"/>
    <x v="59"/>
    <n v="699.8"/>
  </r>
  <r>
    <x v="60"/>
    <x v="47"/>
    <s v="2025-08-06"/>
    <s v="Withdrawal"/>
    <x v="6"/>
    <x v="12"/>
    <x v="60"/>
    <n v="1177.1300000000001"/>
    <n v="-176.57"/>
    <x v="60"/>
    <n v="1353.7"/>
  </r>
  <r>
    <x v="61"/>
    <x v="48"/>
    <s v="2025-10-06"/>
    <s v="Withdrawal"/>
    <x v="3"/>
    <x v="3"/>
    <x v="61"/>
    <n v="7219.95"/>
    <n v="-1082.99"/>
    <x v="61"/>
    <n v="8302.94"/>
  </r>
  <r>
    <x v="62"/>
    <x v="49"/>
    <s v="2025-09-26"/>
    <s v="Deposit"/>
    <x v="1"/>
    <x v="1"/>
    <x v="62"/>
    <n v="1166.1500000000001"/>
    <n v="256.13"/>
    <x v="62"/>
    <n v="910.0200000000001"/>
  </r>
  <r>
    <x v="63"/>
    <x v="50"/>
    <s v="2025-06-21"/>
    <s v="Withdrawal"/>
    <x v="2"/>
    <x v="13"/>
    <x v="63"/>
    <n v="1508.39"/>
    <n v="-226.26"/>
    <x v="63"/>
    <n v="1734.65"/>
  </r>
  <r>
    <x v="64"/>
    <x v="51"/>
    <s v="2025-04-02"/>
    <s v="Withdrawal"/>
    <x v="3"/>
    <x v="8"/>
    <x v="64"/>
    <n v="9831.4699999999993"/>
    <n v="-1474.72"/>
    <x v="64"/>
    <n v="11306.189999999999"/>
  </r>
  <r>
    <x v="65"/>
    <x v="52"/>
    <s v="2025-02-03"/>
    <s v="Deposit"/>
    <x v="5"/>
    <x v="17"/>
    <x v="65"/>
    <n v="967.83"/>
    <n v="273.81"/>
    <x v="65"/>
    <n v="694.02"/>
  </r>
  <r>
    <x v="66"/>
    <x v="38"/>
    <s v="2025-01-09"/>
    <s v="Withdrawal"/>
    <x v="1"/>
    <x v="15"/>
    <x v="66"/>
    <n v="1490.89"/>
    <n v="-223.63"/>
    <x v="66"/>
    <n v="1714.52"/>
  </r>
  <r>
    <x v="67"/>
    <x v="53"/>
    <s v="2025-05-22"/>
    <s v="Withdrawal"/>
    <x v="6"/>
    <x v="11"/>
    <x v="67"/>
    <n v="1098.96"/>
    <n v="-44.182985074626863"/>
    <x v="67"/>
    <n v="1143.1429850746269"/>
  </r>
  <r>
    <x v="68"/>
    <x v="53"/>
    <s v="2025-12-11"/>
    <s v="Deposit"/>
    <x v="2"/>
    <x v="4"/>
    <x v="68"/>
    <n v="835.1"/>
    <n v="217.52"/>
    <x v="68"/>
    <n v="617.58000000000004"/>
  </r>
  <r>
    <x v="69"/>
    <x v="48"/>
    <s v="2025-07-09"/>
    <s v="Withdrawal"/>
    <x v="6"/>
    <x v="12"/>
    <x v="69"/>
    <n v="236.98"/>
    <n v="-35.549999999999997"/>
    <x v="69"/>
    <n v="272.52999999999997"/>
  </r>
  <r>
    <x v="70"/>
    <x v="5"/>
    <s v="2025-10-15"/>
    <s v="Withdrawal"/>
    <x v="6"/>
    <x v="16"/>
    <x v="70"/>
    <n v="484.23"/>
    <n v="-72.63"/>
    <x v="70"/>
    <n v="556.86"/>
  </r>
  <r>
    <x v="71"/>
    <x v="54"/>
    <s v="2025-06-16"/>
    <s v="Deposit"/>
    <x v="5"/>
    <x v="17"/>
    <x v="71"/>
    <n v="1263.48"/>
    <n v="236.42"/>
    <x v="71"/>
    <n v="1027.06"/>
  </r>
  <r>
    <x v="72"/>
    <x v="55"/>
    <s v="2025-09-22"/>
    <s v="Withdrawal"/>
    <x v="4"/>
    <x v="9"/>
    <x v="72"/>
    <n v="1459.38"/>
    <n v="-218.91"/>
    <x v="72"/>
    <n v="1678.2900000000002"/>
  </r>
  <r>
    <x v="73"/>
    <x v="56"/>
    <s v="2025-09-05"/>
    <s v="Withdrawal"/>
    <x v="3"/>
    <x v="8"/>
    <x v="73"/>
    <n v="5162.83"/>
    <n v="-774.42"/>
    <x v="73"/>
    <n v="5937.25"/>
  </r>
  <r>
    <x v="74"/>
    <x v="57"/>
    <s v="24/04/2025"/>
    <s v="Deposit"/>
    <x v="2"/>
    <x v="13"/>
    <x v="74"/>
    <n v="825.13"/>
    <n v="222.57"/>
    <x v="74"/>
    <n v="602.55999999999995"/>
  </r>
  <r>
    <x v="75"/>
    <x v="58"/>
    <s v="2025-01-18"/>
    <s v="Deposit"/>
    <x v="4"/>
    <x v="9"/>
    <x v="75"/>
    <n v="814.45"/>
    <n v="214.4"/>
    <x v="75"/>
    <n v="600.05000000000007"/>
  </r>
  <r>
    <x v="76"/>
    <x v="48"/>
    <s v="2025-03-11"/>
    <s v="Deposit"/>
    <x v="6"/>
    <x v="12"/>
    <x v="76"/>
    <n v="287.18"/>
    <n v="70.55"/>
    <x v="76"/>
    <n v="216.63"/>
  </r>
  <r>
    <x v="77"/>
    <x v="59"/>
    <s v="2025-06-01"/>
    <s v="Withdrawal"/>
    <x v="6"/>
    <x v="12"/>
    <x v="77"/>
    <n v="653.67999999999995"/>
    <n v="-98.05"/>
    <x v="77"/>
    <n v="751.7299999999999"/>
  </r>
  <r>
    <x v="78"/>
    <x v="48"/>
    <s v="2025-07-08"/>
    <s v="Withdrawal"/>
    <x v="5"/>
    <x v="17"/>
    <x v="78"/>
    <n v="283.29000000000002"/>
    <n v="-42.49"/>
    <x v="78"/>
    <n v="325.78000000000003"/>
  </r>
  <r>
    <x v="79"/>
    <x v="60"/>
    <s v="2025-09-15"/>
    <s v="Deposit"/>
    <x v="5"/>
    <x v="10"/>
    <x v="79"/>
    <n v="637.9"/>
    <n v="128.62"/>
    <x v="79"/>
    <n v="509.28"/>
  </r>
  <r>
    <x v="80"/>
    <x v="22"/>
    <s v="2025-11-17"/>
    <s v="Withdrawal"/>
    <x v="1"/>
    <x v="15"/>
    <x v="80"/>
    <n v="1363.1"/>
    <n v="-204.46"/>
    <x v="80"/>
    <n v="1567.56"/>
  </r>
  <r>
    <x v="81"/>
    <x v="61"/>
    <s v="2025-09-10"/>
    <s v="Deposit"/>
    <x v="4"/>
    <x v="9"/>
    <x v="81"/>
    <n v="1381.74"/>
    <n v="298.27"/>
    <x v="81"/>
    <n v="1083.47"/>
  </r>
  <r>
    <x v="82"/>
    <x v="21"/>
    <s v="2025-03-24"/>
    <s v="Deposit"/>
    <x v="2"/>
    <x v="2"/>
    <x v="82"/>
    <n v="85.02"/>
    <n v="16.36"/>
    <x v="82"/>
    <n v="68.66"/>
  </r>
  <r>
    <x v="83"/>
    <x v="62"/>
    <s v="2025-10-26"/>
    <s v="Deposit"/>
    <x v="2"/>
    <x v="13"/>
    <x v="83"/>
    <n v="582.02"/>
    <n v="77.08"/>
    <x v="83"/>
    <n v="504.94"/>
  </r>
  <r>
    <x v="84"/>
    <x v="63"/>
    <s v="2025-05-26"/>
    <s v="Withdrawal"/>
    <x v="6"/>
    <x v="16"/>
    <x v="84"/>
    <n v="831.12"/>
    <n v="-124.67"/>
    <x v="84"/>
    <n v="955.79"/>
  </r>
  <r>
    <x v="85"/>
    <x v="64"/>
    <s v="2025-08-17"/>
    <s v="Deposit"/>
    <x v="3"/>
    <x v="8"/>
    <x v="85"/>
    <n v="10463.299999999999"/>
    <n v="2626.37"/>
    <x v="85"/>
    <n v="7836.9299999999994"/>
  </r>
  <r>
    <x v="86"/>
    <x v="8"/>
    <s v="2025-07-18"/>
    <s v="Withdrawal"/>
    <x v="5"/>
    <x v="10"/>
    <x v="86"/>
    <n v="1163.1500000000001"/>
    <n v="-174.47"/>
    <x v="86"/>
    <n v="1337.6200000000001"/>
  </r>
  <r>
    <x v="87"/>
    <x v="19"/>
    <s v="2025-03-11"/>
    <s v="Withdrawal"/>
    <x v="5"/>
    <x v="10"/>
    <x v="87"/>
    <n v="1304.02"/>
    <n v="-195.6"/>
    <x v="87"/>
    <n v="1499.62"/>
  </r>
  <r>
    <x v="88"/>
    <x v="65"/>
    <s v="2025-05-06"/>
    <s v="Withdrawal"/>
    <x v="4"/>
    <x v="19"/>
    <x v="88"/>
    <n v="887.17"/>
    <n v="-133.08000000000001"/>
    <x v="88"/>
    <n v="1020.25"/>
  </r>
  <r>
    <x v="89"/>
    <x v="2"/>
    <s v="2025-01-19"/>
    <s v="Deposit"/>
    <x v="4"/>
    <x v="9"/>
    <x v="89"/>
    <n v="604.51"/>
    <n v="80.17"/>
    <x v="89"/>
    <n v="524.34"/>
  </r>
  <r>
    <x v="90"/>
    <x v="43"/>
    <s v="2025-07-01"/>
    <s v="Deposit"/>
    <x v="5"/>
    <x v="10"/>
    <x v="90"/>
    <n v="172.88"/>
    <n v="34.69"/>
    <x v="90"/>
    <n v="138.19"/>
  </r>
  <r>
    <x v="91"/>
    <x v="43"/>
    <s v="2025-02-15"/>
    <s v="Withdrawal"/>
    <x v="3"/>
    <x v="8"/>
    <x v="91"/>
    <n v="9339.86"/>
    <n v="-1400.98"/>
    <x v="91"/>
    <n v="10740.84"/>
  </r>
  <r>
    <x v="92"/>
    <x v="28"/>
    <s v="2025-06-28"/>
    <s v="Withdrawal"/>
    <x v="1"/>
    <x v="14"/>
    <x v="92"/>
    <n v="1072.52"/>
    <n v="-160.88"/>
    <x v="92"/>
    <n v="1233.4000000000001"/>
  </r>
  <r>
    <x v="93"/>
    <x v="54"/>
    <s v="2025-02-12"/>
    <s v="Withdrawal"/>
    <x v="5"/>
    <x v="6"/>
    <x v="93"/>
    <n v="21.29"/>
    <n v="-3.19"/>
    <x v="93"/>
    <n v="24.48"/>
  </r>
  <r>
    <x v="94"/>
    <x v="17"/>
    <s v="2025-02-27"/>
    <s v="Withdrawal"/>
    <x v="1"/>
    <x v="14"/>
    <x v="94"/>
    <n v="29.11"/>
    <n v="-4.37"/>
    <x v="94"/>
    <n v="33.479999999999997"/>
  </r>
  <r>
    <x v="95"/>
    <x v="32"/>
    <s v="2025-04-28"/>
    <s v="Withdrawal"/>
    <x v="1"/>
    <x v="1"/>
    <x v="95"/>
    <n v="1059.04"/>
    <n v="-158.86000000000001"/>
    <x v="95"/>
    <n v="1217.9000000000001"/>
  </r>
  <r>
    <x v="96"/>
    <x v="66"/>
    <s v="2025-07-20"/>
    <s v="Withdrawal"/>
    <x v="1"/>
    <x v="14"/>
    <x v="96"/>
    <n v="219.87"/>
    <n v="-32.979999999999997"/>
    <x v="96"/>
    <n v="252.85"/>
  </r>
  <r>
    <x v="97"/>
    <x v="34"/>
    <s v="26/01/2025"/>
    <s v="Withdrawal"/>
    <x v="1"/>
    <x v="1"/>
    <x v="97"/>
    <n v="42.9"/>
    <n v="-6.43"/>
    <x v="97"/>
    <n v="49.33"/>
  </r>
  <r>
    <x v="98"/>
    <x v="56"/>
    <s v="2025-08-15"/>
    <s v="Deposit"/>
    <x v="5"/>
    <x v="6"/>
    <x v="98"/>
    <n v="385.21"/>
    <n v="66.88"/>
    <x v="98"/>
    <n v="318.33"/>
  </r>
  <r>
    <x v="99"/>
    <x v="67"/>
    <s v="2025-05-09"/>
    <s v="Withdrawal"/>
    <x v="6"/>
    <x v="11"/>
    <x v="99"/>
    <n v="1151.8800000000001"/>
    <n v="-172.78"/>
    <x v="99"/>
    <n v="1324.66"/>
  </r>
  <r>
    <x v="100"/>
    <x v="68"/>
    <s v="28/08/2025"/>
    <s v="Deposit"/>
    <x v="5"/>
    <x v="17"/>
    <x v="100"/>
    <n v="1073.77"/>
    <n v="297.99"/>
    <x v="100"/>
    <n v="775.78"/>
  </r>
  <r>
    <x v="101"/>
    <x v="69"/>
    <s v="2025-03-02"/>
    <s v="Withdrawal"/>
    <x v="2"/>
    <x v="2"/>
    <x v="101"/>
    <n v="371.45"/>
    <n v="-55.72"/>
    <x v="101"/>
    <n v="427.16999999999996"/>
  </r>
  <r>
    <x v="102"/>
    <x v="34"/>
    <s v="2025-08-09"/>
    <s v="Withdrawal"/>
    <x v="6"/>
    <x v="16"/>
    <x v="102"/>
    <n v="825.93"/>
    <n v="-123.89"/>
    <x v="102"/>
    <n v="949.81999999999994"/>
  </r>
  <r>
    <x v="103"/>
    <x v="70"/>
    <s v="2025-12-06"/>
    <s v="Deposit"/>
    <x v="6"/>
    <x v="16"/>
    <x v="103"/>
    <n v="723.99"/>
    <n v="126.87"/>
    <x v="103"/>
    <n v="597.12"/>
  </r>
  <r>
    <x v="104"/>
    <x v="46"/>
    <s v="2025-02-07"/>
    <s v="Deposit"/>
    <x v="0"/>
    <x v="0"/>
    <x v="104"/>
    <n v="1371.11"/>
    <n v="335.8"/>
    <x v="104"/>
    <n v="1035.31"/>
  </r>
  <r>
    <x v="105"/>
    <x v="71"/>
    <s v="2025-02-15"/>
    <s v="Withdrawal"/>
    <x v="2"/>
    <x v="2"/>
    <x v="105"/>
    <n v="352.6"/>
    <n v="-52.89"/>
    <x v="105"/>
    <n v="405.49"/>
  </r>
  <r>
    <x v="106"/>
    <x v="72"/>
    <s v="21/01/2025"/>
    <s v="Withdrawal"/>
    <x v="0"/>
    <x v="20"/>
    <x v="106"/>
    <n v="1058.8599999999999"/>
    <n v="-158.83000000000001"/>
    <x v="106"/>
    <n v="1217.6899999999998"/>
  </r>
  <r>
    <x v="107"/>
    <x v="25"/>
    <s v="2025-06-28"/>
    <s v="Deposit"/>
    <x v="2"/>
    <x v="13"/>
    <x v="107"/>
    <n v="55.8"/>
    <n v="12.88"/>
    <x v="107"/>
    <n v="42.919999999999995"/>
  </r>
  <r>
    <x v="108"/>
    <x v="6"/>
    <s v="2025-10-31"/>
    <s v="Withdrawal"/>
    <x v="5"/>
    <x v="17"/>
    <x v="108"/>
    <n v="1420.2638235294123"/>
    <n v="-206.75"/>
    <x v="108"/>
    <n v="1627.0138235294123"/>
  </r>
  <r>
    <x v="109"/>
    <x v="73"/>
    <s v="2025-02-17"/>
    <s v="Withdrawal"/>
    <x v="3"/>
    <x v="3"/>
    <x v="109"/>
    <n v="11020.52"/>
    <n v="-1653.08"/>
    <x v="109"/>
    <n v="12673.6"/>
  </r>
  <r>
    <x v="110"/>
    <x v="45"/>
    <s v="2025-05-26"/>
    <s v="Withdrawal"/>
    <x v="0"/>
    <x v="20"/>
    <x v="110"/>
    <n v="24.44"/>
    <n v="-3.67"/>
    <x v="110"/>
    <n v="28.11"/>
  </r>
  <r>
    <x v="111"/>
    <x v="11"/>
    <s v="2025-11-13"/>
    <s v="Withdrawal"/>
    <x v="2"/>
    <x v="2"/>
    <x v="111"/>
    <n v="1169.2"/>
    <n v="-175.38"/>
    <x v="111"/>
    <n v="1344.58"/>
  </r>
  <r>
    <x v="112"/>
    <x v="64"/>
    <s v="2025-08-29"/>
    <s v="Deposit"/>
    <x v="1"/>
    <x v="1"/>
    <x v="112"/>
    <n v="1512.57"/>
    <n v="387.11"/>
    <x v="112"/>
    <n v="1125.46"/>
  </r>
  <r>
    <x v="113"/>
    <x v="59"/>
    <s v="2025-10-20"/>
    <s v="Withdrawal"/>
    <x v="3"/>
    <x v="3"/>
    <x v="113"/>
    <n v="9642.1"/>
    <n v="-1446.32"/>
    <x v="113"/>
    <n v="11088.42"/>
  </r>
  <r>
    <x v="114"/>
    <x v="74"/>
    <s v="2025-10-25"/>
    <s v="Deposit"/>
    <x v="4"/>
    <x v="5"/>
    <x v="114"/>
    <n v="313.18"/>
    <n v="63.29"/>
    <x v="114"/>
    <n v="249.89000000000001"/>
  </r>
  <r>
    <x v="115"/>
    <x v="75"/>
    <s v="2025-06-19"/>
    <s v="Deposit"/>
    <x v="1"/>
    <x v="1"/>
    <x v="115"/>
    <n v="399.35"/>
    <n v="110.07"/>
    <x v="115"/>
    <n v="289.28000000000003"/>
  </r>
  <r>
    <x v="116"/>
    <x v="15"/>
    <s v="2025-03-30"/>
    <s v="Deposit"/>
    <x v="0"/>
    <x v="20"/>
    <x v="116"/>
    <n v="1270.08"/>
    <n v="226.69"/>
    <x v="116"/>
    <n v="1043.3899999999999"/>
  </r>
  <r>
    <x v="117"/>
    <x v="2"/>
    <s v="2025-06-05"/>
    <s v="Withdrawal"/>
    <x v="1"/>
    <x v="1"/>
    <x v="117"/>
    <n v="1293.48"/>
    <n v="-194.02"/>
    <x v="117"/>
    <n v="1487.5"/>
  </r>
  <r>
    <x v="118"/>
    <x v="4"/>
    <s v="2025-09-06"/>
    <s v="Deposit"/>
    <x v="5"/>
    <x v="10"/>
    <x v="118"/>
    <n v="1481.94"/>
    <n v="422.39"/>
    <x v="118"/>
    <n v="1059.5500000000002"/>
  </r>
  <r>
    <x v="119"/>
    <x v="64"/>
    <s v="2025-04-30"/>
    <s v="Withdrawal"/>
    <x v="0"/>
    <x v="18"/>
    <x v="119"/>
    <n v="152.33000000000001"/>
    <n v="-22.85"/>
    <x v="119"/>
    <n v="175.18"/>
  </r>
  <r>
    <x v="120"/>
    <x v="52"/>
    <s v="2025-05-03"/>
    <s v="Deposit"/>
    <x v="2"/>
    <x v="4"/>
    <x v="120"/>
    <n v="1011.53"/>
    <n v="285.37"/>
    <x v="120"/>
    <n v="726.16"/>
  </r>
  <r>
    <x v="121"/>
    <x v="50"/>
    <s v="2025-09-29"/>
    <s v="Withdrawal"/>
    <x v="1"/>
    <x v="1"/>
    <x v="121"/>
    <n v="47.57"/>
    <n v="-7.14"/>
    <x v="121"/>
    <n v="54.71"/>
  </r>
  <r>
    <x v="122"/>
    <x v="76"/>
    <s v="2025-07-04"/>
    <s v="Withdrawal"/>
    <x v="1"/>
    <x v="14"/>
    <x v="122"/>
    <n v="555.24"/>
    <n v="-83.29"/>
    <x v="122"/>
    <n v="638.53"/>
  </r>
  <r>
    <x v="123"/>
    <x v="77"/>
    <s v="2025-11-21"/>
    <s v="Deposit"/>
    <x v="4"/>
    <x v="9"/>
    <x v="123"/>
    <n v="1445.07"/>
    <n v="342.64"/>
    <x v="123"/>
    <n v="1102.4299999999998"/>
  </r>
  <r>
    <x v="124"/>
    <x v="78"/>
    <s v="2025-06-01"/>
    <s v="Deposit"/>
    <x v="3"/>
    <x v="7"/>
    <x v="124"/>
    <n v="6604.31"/>
    <n v="1606.99"/>
    <x v="124"/>
    <n v="4997.3200000000006"/>
  </r>
  <r>
    <x v="125"/>
    <x v="18"/>
    <s v="2025-06-26"/>
    <s v="Deposit"/>
    <x v="4"/>
    <x v="9"/>
    <x v="125"/>
    <n v="1484.58"/>
    <n v="352.27"/>
    <x v="125"/>
    <n v="1132.31"/>
  </r>
  <r>
    <x v="126"/>
    <x v="42"/>
    <s v="2025-08-11"/>
    <s v="Deposit"/>
    <x v="0"/>
    <x v="0"/>
    <x v="126"/>
    <n v="323.99"/>
    <n v="-44.182985074626863"/>
    <x v="126"/>
    <n v="368.17298507462687"/>
  </r>
  <r>
    <x v="127"/>
    <x v="49"/>
    <s v="2025-07-13"/>
    <s v="Withdrawal"/>
    <x v="2"/>
    <x v="4"/>
    <x v="127"/>
    <n v="245.73"/>
    <n v="-36.86"/>
    <x v="127"/>
    <n v="282.58999999999997"/>
  </r>
  <r>
    <x v="128"/>
    <x v="16"/>
    <s v="2025-02-17"/>
    <s v="Withdrawal"/>
    <x v="6"/>
    <x v="11"/>
    <x v="128"/>
    <n v="634.08000000000004"/>
    <n v="-95.11"/>
    <x v="128"/>
    <n v="729.19"/>
  </r>
  <r>
    <x v="129"/>
    <x v="70"/>
    <s v="2025-07-16"/>
    <s v="Deposit"/>
    <x v="2"/>
    <x v="4"/>
    <x v="129"/>
    <n v="751.81"/>
    <n v="154.77000000000001"/>
    <x v="129"/>
    <n v="597.04"/>
  </r>
  <r>
    <x v="130"/>
    <x v="9"/>
    <s v="2025-07-30"/>
    <s v="Withdrawal"/>
    <x v="0"/>
    <x v="0"/>
    <x v="130"/>
    <n v="1592.42"/>
    <n v="-238.86"/>
    <x v="130"/>
    <n v="1831.2800000000002"/>
  </r>
  <r>
    <x v="131"/>
    <x v="67"/>
    <s v="2025-04-01"/>
    <s v="Deposit"/>
    <x v="6"/>
    <x v="12"/>
    <x v="30"/>
    <n v="117.79"/>
    <n v="17.79"/>
    <x v="131"/>
    <n v="100"/>
  </r>
  <r>
    <x v="132"/>
    <x v="59"/>
    <s v="2025-12-03"/>
    <s v="Deposit"/>
    <x v="1"/>
    <x v="1"/>
    <x v="131"/>
    <n v="1081.1300000000001"/>
    <n v="187.59"/>
    <x v="132"/>
    <n v="893.54000000000008"/>
  </r>
  <r>
    <x v="133"/>
    <x v="61"/>
    <s v="2025-06-01"/>
    <s v="Deposit"/>
    <x v="0"/>
    <x v="0"/>
    <x v="132"/>
    <n v="576.94000000000005"/>
    <n v="83.05"/>
    <x v="133"/>
    <n v="493.89000000000004"/>
  </r>
  <r>
    <x v="134"/>
    <x v="79"/>
    <s v="2025-09-30"/>
    <s v="Deposit"/>
    <x v="6"/>
    <x v="16"/>
    <x v="133"/>
    <n v="74.39"/>
    <n v="16.88"/>
    <x v="134"/>
    <n v="57.510000000000005"/>
  </r>
  <r>
    <x v="135"/>
    <x v="80"/>
    <s v="2025-05-26"/>
    <s v="Deposit"/>
    <x v="2"/>
    <x v="13"/>
    <x v="134"/>
    <n v="708.89"/>
    <n v="121.18"/>
    <x v="135"/>
    <n v="587.71"/>
  </r>
  <r>
    <x v="136"/>
    <x v="81"/>
    <s v="2025-04-08"/>
    <s v="Withdrawal"/>
    <x v="0"/>
    <x v="18"/>
    <x v="135"/>
    <n v="1249.32"/>
    <n v="-187.4"/>
    <x v="136"/>
    <n v="1436.72"/>
  </r>
  <r>
    <x v="137"/>
    <x v="43"/>
    <s v="2025-05-13"/>
    <s v="Deposit"/>
    <x v="1"/>
    <x v="15"/>
    <x v="136"/>
    <n v="1223.2"/>
    <n v="252.36"/>
    <x v="137"/>
    <n v="970.84"/>
  </r>
  <r>
    <x v="138"/>
    <x v="38"/>
    <s v="2025-05-15"/>
    <s v="Deposit"/>
    <x v="2"/>
    <x v="4"/>
    <x v="137"/>
    <n v="238.65"/>
    <n v="47.86"/>
    <x v="138"/>
    <n v="190.79000000000002"/>
  </r>
  <r>
    <x v="139"/>
    <x v="78"/>
    <s v="2025-05-24"/>
    <s v="Deposit"/>
    <x v="0"/>
    <x v="0"/>
    <x v="138"/>
    <n v="562.89"/>
    <n v="123.04"/>
    <x v="139"/>
    <n v="439.84999999999997"/>
  </r>
  <r>
    <x v="140"/>
    <x v="82"/>
    <s v="2025-08-09"/>
    <s v="Deposit"/>
    <x v="5"/>
    <x v="6"/>
    <x v="139"/>
    <n v="48.88"/>
    <n v="12.77"/>
    <x v="140"/>
    <n v="36.11"/>
  </r>
  <r>
    <x v="141"/>
    <x v="83"/>
    <s v="2025-03-11"/>
    <s v="Withdrawal"/>
    <x v="0"/>
    <x v="0"/>
    <x v="140"/>
    <n v="1319.49"/>
    <n v="-197.92"/>
    <x v="141"/>
    <n v="1517.41"/>
  </r>
  <r>
    <x v="142"/>
    <x v="56"/>
    <s v="2025-03-21"/>
    <s v="Withdrawal"/>
    <x v="1"/>
    <x v="14"/>
    <x v="141"/>
    <n v="1201.97"/>
    <n v="-180.3"/>
    <x v="142"/>
    <n v="1382.27"/>
  </r>
  <r>
    <x v="143"/>
    <x v="84"/>
    <s v="2025-12-29"/>
    <s v="Withdrawal"/>
    <x v="6"/>
    <x v="12"/>
    <x v="30"/>
    <n v="131.96"/>
    <n v="-19.79"/>
    <x v="143"/>
    <n v="151.75"/>
  </r>
  <r>
    <x v="144"/>
    <x v="81"/>
    <s v="05/03/2025"/>
    <s v="Deposit"/>
    <x v="5"/>
    <x v="6"/>
    <x v="142"/>
    <n v="738.5"/>
    <n v="142.19999999999999"/>
    <x v="144"/>
    <n v="596.29999999999995"/>
  </r>
  <r>
    <x v="145"/>
    <x v="85"/>
    <s v="2025-02-28"/>
    <s v="Withdrawal"/>
    <x v="6"/>
    <x v="11"/>
    <x v="143"/>
    <n v="1016.94"/>
    <n v="-152.54"/>
    <x v="145"/>
    <n v="1169.48"/>
  </r>
  <r>
    <x v="146"/>
    <x v="86"/>
    <s v="07/03/2025"/>
    <s v="Withdrawal"/>
    <x v="1"/>
    <x v="14"/>
    <x v="144"/>
    <n v="1143.29"/>
    <n v="-171.49"/>
    <x v="146"/>
    <n v="1314.78"/>
  </r>
  <r>
    <x v="147"/>
    <x v="87"/>
    <s v="13/08/2025"/>
    <s v="Withdrawal"/>
    <x v="5"/>
    <x v="17"/>
    <x v="145"/>
    <n v="998.17"/>
    <n v="-149.72999999999999"/>
    <x v="147"/>
    <n v="1147.8999999999999"/>
  </r>
  <r>
    <x v="148"/>
    <x v="68"/>
    <s v="2025-07-05"/>
    <s v="Deposit"/>
    <x v="5"/>
    <x v="6"/>
    <x v="146"/>
    <n v="166.21"/>
    <n v="46.6"/>
    <x v="148"/>
    <n v="119.61000000000001"/>
  </r>
  <r>
    <x v="149"/>
    <x v="88"/>
    <s v="2025-07-07"/>
    <s v="Deposit"/>
    <x v="5"/>
    <x v="10"/>
    <x v="147"/>
    <n v="1131.6600000000001"/>
    <n v="151.11000000000001"/>
    <x v="149"/>
    <n v="980.55000000000007"/>
  </r>
  <r>
    <x v="150"/>
    <x v="8"/>
    <s v="2025-07-15"/>
    <s v="Withdrawal"/>
    <x v="2"/>
    <x v="2"/>
    <x v="148"/>
    <n v="1007.39"/>
    <n v="-151.11000000000001"/>
    <x v="150"/>
    <n v="1158.5"/>
  </r>
  <r>
    <x v="151"/>
    <x v="62"/>
    <s v="2025-02-05"/>
    <s v="Deposit"/>
    <x v="2"/>
    <x v="4"/>
    <x v="149"/>
    <n v="913.32"/>
    <n v="123.42"/>
    <x v="151"/>
    <n v="789.90000000000009"/>
  </r>
  <r>
    <x v="152"/>
    <x v="89"/>
    <s v="2025-02-04"/>
    <s v="Withdrawal"/>
    <x v="3"/>
    <x v="7"/>
    <x v="150"/>
    <n v="8292.0499999999993"/>
    <n v="-1243.81"/>
    <x v="152"/>
    <n v="9535.8599999999988"/>
  </r>
  <r>
    <x v="153"/>
    <x v="90"/>
    <s v="2025-03-08"/>
    <s v="Deposit"/>
    <x v="6"/>
    <x v="16"/>
    <x v="151"/>
    <n v="1210.06"/>
    <n v="231.08"/>
    <x v="153"/>
    <n v="978.9799999999999"/>
  </r>
  <r>
    <x v="154"/>
    <x v="47"/>
    <s v="2025-03-05"/>
    <s v="Deposit"/>
    <x v="0"/>
    <x v="18"/>
    <x v="152"/>
    <n v="1420.2638235294123"/>
    <n v="85.9"/>
    <x v="154"/>
    <n v="1334.3638235294122"/>
  </r>
  <r>
    <x v="155"/>
    <x v="1"/>
    <s v="2025-04-22"/>
    <s v="Deposit"/>
    <x v="4"/>
    <x v="9"/>
    <x v="153"/>
    <n v="1468.18"/>
    <n v="405.35"/>
    <x v="155"/>
    <n v="1062.83"/>
  </r>
  <r>
    <x v="156"/>
    <x v="91"/>
    <s v="2025-05-08"/>
    <s v="Deposit"/>
    <x v="5"/>
    <x v="6"/>
    <x v="30"/>
    <n v="131.19"/>
    <n v="31.19"/>
    <x v="156"/>
    <n v="100"/>
  </r>
  <r>
    <x v="157"/>
    <x v="25"/>
    <s v="2025-06-10"/>
    <s v="Withdrawal"/>
    <x v="5"/>
    <x v="6"/>
    <x v="154"/>
    <n v="1281.8499999999999"/>
    <n v="-192.28"/>
    <x v="157"/>
    <n v="1474.1299999999999"/>
  </r>
  <r>
    <x v="158"/>
    <x v="32"/>
    <s v="2025-01-22"/>
    <s v="Deposit"/>
    <x v="0"/>
    <x v="20"/>
    <x v="155"/>
    <n v="460.86"/>
    <n v="109.27"/>
    <x v="158"/>
    <n v="351.59000000000003"/>
  </r>
  <r>
    <x v="159"/>
    <x v="90"/>
    <s v="2025-06-19"/>
    <s v="Deposit"/>
    <x v="3"/>
    <x v="3"/>
    <x v="156"/>
    <n v="7474.06"/>
    <n v="1874.2"/>
    <x v="159"/>
    <n v="5599.8600000000006"/>
  </r>
  <r>
    <x v="160"/>
    <x v="92"/>
    <s v="06/07/2025"/>
    <s v="Withdrawal"/>
    <x v="2"/>
    <x v="13"/>
    <x v="157"/>
    <n v="1585.82"/>
    <n v="-237.87"/>
    <x v="160"/>
    <n v="1823.69"/>
  </r>
  <r>
    <x v="161"/>
    <x v="33"/>
    <s v="2025-01-11"/>
    <s v="Deposit"/>
    <x v="4"/>
    <x v="19"/>
    <x v="158"/>
    <n v="292.83999999999997"/>
    <n v="61.67"/>
    <x v="161"/>
    <n v="231.16999999999996"/>
  </r>
  <r>
    <x v="162"/>
    <x v="49"/>
    <s v="2025-10-23"/>
    <s v="Deposit"/>
    <x v="1"/>
    <x v="1"/>
    <x v="159"/>
    <n v="1290.45"/>
    <n v="256.13"/>
    <x v="162"/>
    <n v="1034.3200000000002"/>
  </r>
  <r>
    <x v="163"/>
    <x v="93"/>
    <s v="2025-11-06"/>
    <s v="Deposit"/>
    <x v="4"/>
    <x v="5"/>
    <x v="160"/>
    <n v="51.41"/>
    <n v="12.35"/>
    <x v="163"/>
    <n v="39.059999999999995"/>
  </r>
  <r>
    <x v="164"/>
    <x v="3"/>
    <s v="2025-03-11"/>
    <s v="Withdrawal"/>
    <x v="2"/>
    <x v="4"/>
    <x v="161"/>
    <n v="444.87"/>
    <n v="-66.73"/>
    <x v="164"/>
    <n v="511.6"/>
  </r>
  <r>
    <x v="165"/>
    <x v="94"/>
    <s v="2025-08-13"/>
    <s v="Withdrawal"/>
    <x v="6"/>
    <x v="11"/>
    <x v="162"/>
    <n v="729.35"/>
    <n v="-109.4"/>
    <x v="165"/>
    <n v="838.75"/>
  </r>
  <r>
    <x v="166"/>
    <x v="21"/>
    <s v="2025-07-06"/>
    <s v="Withdrawal"/>
    <x v="3"/>
    <x v="7"/>
    <x v="163"/>
    <n v="5275.29"/>
    <n v="-791.29"/>
    <x v="166"/>
    <n v="6066.58"/>
  </r>
  <r>
    <x v="167"/>
    <x v="95"/>
    <s v="2025-12-19"/>
    <s v="Withdrawal"/>
    <x v="0"/>
    <x v="18"/>
    <x v="164"/>
    <n v="1197.48"/>
    <n v="-179.62"/>
    <x v="167"/>
    <n v="1377.1"/>
  </r>
  <r>
    <x v="168"/>
    <x v="96"/>
    <s v="16/01/2025"/>
    <s v="Deposit"/>
    <x v="6"/>
    <x v="16"/>
    <x v="165"/>
    <n v="1074.31"/>
    <n v="192.22"/>
    <x v="168"/>
    <n v="882.08999999999992"/>
  </r>
  <r>
    <x v="169"/>
    <x v="93"/>
    <s v="2025-07-28"/>
    <s v="Withdrawal"/>
    <x v="0"/>
    <x v="20"/>
    <x v="166"/>
    <n v="917.19"/>
    <n v="-137.58000000000001"/>
    <x v="169"/>
    <n v="1054.77"/>
  </r>
  <r>
    <x v="170"/>
    <x v="81"/>
    <s v="2025-06-26"/>
    <s v="Deposit"/>
    <x v="4"/>
    <x v="5"/>
    <x v="167"/>
    <n v="359.17"/>
    <n v="80.64"/>
    <x v="170"/>
    <n v="278.53000000000003"/>
  </r>
  <r>
    <x v="171"/>
    <x v="82"/>
    <s v="2025-06-13"/>
    <s v="Deposit"/>
    <x v="3"/>
    <x v="7"/>
    <x v="168"/>
    <n v="5512.49"/>
    <n v="845.17"/>
    <x v="171"/>
    <n v="4667.32"/>
  </r>
  <r>
    <x v="172"/>
    <x v="64"/>
    <s v="2025-06-18"/>
    <s v="Withdrawal"/>
    <x v="0"/>
    <x v="20"/>
    <x v="169"/>
    <n v="1385.44"/>
    <n v="-207.82"/>
    <x v="172"/>
    <n v="1593.26"/>
  </r>
  <r>
    <x v="173"/>
    <x v="56"/>
    <s v="2025-10-14"/>
    <s v="Withdrawal"/>
    <x v="3"/>
    <x v="8"/>
    <x v="170"/>
    <n v="8344.52"/>
    <n v="-1251.68"/>
    <x v="173"/>
    <n v="9596.2000000000007"/>
  </r>
  <r>
    <x v="174"/>
    <x v="97"/>
    <s v="29/07/2025"/>
    <s v="Withdrawal"/>
    <x v="6"/>
    <x v="16"/>
    <x v="171"/>
    <n v="694.5"/>
    <n v="-104.17"/>
    <x v="174"/>
    <n v="798.67"/>
  </r>
  <r>
    <x v="175"/>
    <x v="85"/>
    <s v="2025-11-05"/>
    <s v="Withdrawal"/>
    <x v="5"/>
    <x v="17"/>
    <x v="172"/>
    <n v="1019.22"/>
    <n v="-152.88"/>
    <x v="175"/>
    <n v="1172.0999999999999"/>
  </r>
  <r>
    <x v="176"/>
    <x v="82"/>
    <s v="2025-03-17"/>
    <s v="Deposit"/>
    <x v="2"/>
    <x v="2"/>
    <x v="173"/>
    <n v="1357.65"/>
    <n v="333.72"/>
    <x v="176"/>
    <n v="1023.9300000000001"/>
  </r>
  <r>
    <x v="177"/>
    <x v="3"/>
    <s v="2025-03-07"/>
    <s v="Withdrawal"/>
    <x v="0"/>
    <x v="0"/>
    <x v="174"/>
    <n v="375.04"/>
    <n v="-56.26"/>
    <x v="177"/>
    <n v="431.3"/>
  </r>
  <r>
    <x v="178"/>
    <x v="29"/>
    <s v="2025-02-07"/>
    <s v="Withdrawal"/>
    <x v="6"/>
    <x v="12"/>
    <x v="30"/>
    <n v="135.36000000000001"/>
    <n v="-20.3"/>
    <x v="178"/>
    <n v="155.66000000000003"/>
  </r>
  <r>
    <x v="179"/>
    <x v="98"/>
    <s v="2025-12-04"/>
    <s v="Withdrawal"/>
    <x v="4"/>
    <x v="5"/>
    <x v="175"/>
    <n v="1555.59"/>
    <n v="-233.34"/>
    <x v="179"/>
    <n v="1788.9299999999998"/>
  </r>
  <r>
    <x v="180"/>
    <x v="72"/>
    <s v="2025-03-31"/>
    <s v="Deposit"/>
    <x v="2"/>
    <x v="13"/>
    <x v="176"/>
    <n v="1642.84"/>
    <n v="455.23"/>
    <x v="180"/>
    <n v="1187.6099999999999"/>
  </r>
  <r>
    <x v="181"/>
    <x v="53"/>
    <s v="2025-10-28"/>
    <s v="Deposit"/>
    <x v="2"/>
    <x v="13"/>
    <x v="177"/>
    <n v="1140.4100000000001"/>
    <n v="172.38"/>
    <x v="181"/>
    <n v="968.03000000000009"/>
  </r>
  <r>
    <x v="182"/>
    <x v="88"/>
    <s v="2025-02-08"/>
    <s v="Deposit"/>
    <x v="6"/>
    <x v="12"/>
    <x v="178"/>
    <n v="623"/>
    <n v="152.11000000000001"/>
    <x v="182"/>
    <n v="470.89"/>
  </r>
  <r>
    <x v="183"/>
    <x v="99"/>
    <s v="2025-07-16"/>
    <s v="Deposit"/>
    <x v="1"/>
    <x v="15"/>
    <x v="179"/>
    <n v="1156.4000000000001"/>
    <n v="286.74"/>
    <x v="183"/>
    <n v="869.66000000000008"/>
  </r>
  <r>
    <x v="184"/>
    <x v="100"/>
    <s v="2025-11-19"/>
    <s v="Withdrawal"/>
    <x v="6"/>
    <x v="16"/>
    <x v="180"/>
    <n v="1420.2638235294123"/>
    <n v="-195.96"/>
    <x v="184"/>
    <n v="1616.2238235294124"/>
  </r>
  <r>
    <x v="185"/>
    <x v="101"/>
    <s v="2025-11-26"/>
    <s v="Deposit"/>
    <x v="1"/>
    <x v="15"/>
    <x v="181"/>
    <n v="305.54000000000002"/>
    <n v="77.17"/>
    <x v="185"/>
    <n v="228.37"/>
  </r>
  <r>
    <x v="186"/>
    <x v="12"/>
    <s v="2025-02-28"/>
    <s v="Withdrawal"/>
    <x v="4"/>
    <x v="19"/>
    <x v="182"/>
    <n v="221.24"/>
    <n v="-33.19"/>
    <x v="186"/>
    <n v="254.43"/>
  </r>
  <r>
    <x v="187"/>
    <x v="38"/>
    <s v="2025-04-28"/>
    <s v="Withdrawal"/>
    <x v="3"/>
    <x v="7"/>
    <x v="183"/>
    <n v="9840.92"/>
    <n v="-1476.14"/>
    <x v="187"/>
    <n v="11317.06"/>
  </r>
  <r>
    <x v="188"/>
    <x v="84"/>
    <s v="24/12/2025"/>
    <s v="Deposit"/>
    <x v="3"/>
    <x v="7"/>
    <x v="184"/>
    <n v="10026.73"/>
    <n v="1635.13"/>
    <x v="188"/>
    <n v="8391.5999999999985"/>
  </r>
  <r>
    <x v="189"/>
    <x v="102"/>
    <s v="2025-05-25"/>
    <s v="Withdrawal"/>
    <x v="2"/>
    <x v="4"/>
    <x v="185"/>
    <n v="902.48"/>
    <n v="-135.37"/>
    <x v="189"/>
    <n v="1037.8499999999999"/>
  </r>
  <r>
    <x v="190"/>
    <x v="103"/>
    <s v="2025-05-30"/>
    <s v="Deposit"/>
    <x v="1"/>
    <x v="15"/>
    <x v="186"/>
    <n v="1049.8900000000001"/>
    <n v="278.66000000000003"/>
    <x v="190"/>
    <n v="771.23"/>
  </r>
  <r>
    <x v="191"/>
    <x v="49"/>
    <s v="2025-04-12"/>
    <s v="Deposit"/>
    <x v="0"/>
    <x v="0"/>
    <x v="30"/>
    <n v="131.41999999999999"/>
    <n v="31.42"/>
    <x v="191"/>
    <n v="99.999999999999986"/>
  </r>
  <r>
    <x v="192"/>
    <x v="36"/>
    <s v="2025-02-14"/>
    <s v="Withdrawal"/>
    <x v="6"/>
    <x v="11"/>
    <x v="187"/>
    <n v="49.59"/>
    <n v="-7.44"/>
    <x v="192"/>
    <n v="57.03"/>
  </r>
  <r>
    <x v="193"/>
    <x v="51"/>
    <s v="2025-02-23"/>
    <s v="Deposit"/>
    <x v="4"/>
    <x v="5"/>
    <x v="30"/>
    <n v="129.19"/>
    <n v="29.19"/>
    <x v="193"/>
    <n v="100"/>
  </r>
  <r>
    <x v="194"/>
    <x v="104"/>
    <s v="2025-06-08"/>
    <s v="Withdrawal"/>
    <x v="6"/>
    <x v="12"/>
    <x v="188"/>
    <n v="1034.79"/>
    <n v="-155.22"/>
    <x v="194"/>
    <n v="1190.01"/>
  </r>
  <r>
    <x v="195"/>
    <x v="52"/>
    <s v="CORRUPT_DATE_FLAG"/>
    <s v="Deposit"/>
    <x v="5"/>
    <x v="10"/>
    <x v="189"/>
    <n v="1205.48"/>
    <n v="168.05"/>
    <x v="195"/>
    <n v="1037.43"/>
  </r>
  <r>
    <x v="196"/>
    <x v="86"/>
    <s v="2025-01-02"/>
    <s v="Withdrawal"/>
    <x v="0"/>
    <x v="0"/>
    <x v="190"/>
    <n v="290.14"/>
    <n v="-43.52"/>
    <x v="196"/>
    <n v="333.65999999999997"/>
  </r>
  <r>
    <x v="197"/>
    <x v="105"/>
    <s v="2025-01-17"/>
    <s v="Deposit"/>
    <x v="6"/>
    <x v="11"/>
    <x v="191"/>
    <n v="568.63"/>
    <n v="147.94"/>
    <x v="197"/>
    <n v="420.69"/>
  </r>
  <r>
    <x v="198"/>
    <x v="82"/>
    <s v="2025-02-01"/>
    <s v="Deposit"/>
    <x v="1"/>
    <x v="14"/>
    <x v="192"/>
    <n v="556.80999999999995"/>
    <n v="95.41"/>
    <x v="198"/>
    <n v="461.4"/>
  </r>
  <r>
    <x v="199"/>
    <x v="106"/>
    <s v="2025-07-31"/>
    <s v="Withdrawal"/>
    <x v="6"/>
    <x v="12"/>
    <x v="193"/>
    <n v="805.72"/>
    <n v="-120.86"/>
    <x v="199"/>
    <n v="926.58"/>
  </r>
  <r>
    <x v="200"/>
    <x v="83"/>
    <s v="2025-02-19"/>
    <s v="Withdrawal"/>
    <x v="0"/>
    <x v="0"/>
    <x v="194"/>
    <n v="464.94"/>
    <n v="-69.739999999999995"/>
    <x v="200"/>
    <n v="534.67999999999995"/>
  </r>
  <r>
    <x v="201"/>
    <x v="31"/>
    <s v="2025-01-19"/>
    <s v="Deposit"/>
    <x v="1"/>
    <x v="15"/>
    <x v="195"/>
    <n v="111.45"/>
    <n v="30.87"/>
    <x v="201"/>
    <n v="80.58"/>
  </r>
  <r>
    <x v="202"/>
    <x v="6"/>
    <s v="2025-07-11"/>
    <s v="Withdrawal"/>
    <x v="2"/>
    <x v="4"/>
    <x v="196"/>
    <n v="1451.05"/>
    <n v="-217.66"/>
    <x v="202"/>
    <n v="1668.71"/>
  </r>
  <r>
    <x v="203"/>
    <x v="79"/>
    <s v="2025-01-15"/>
    <s v="Deposit"/>
    <x v="5"/>
    <x v="6"/>
    <x v="197"/>
    <n v="371.71"/>
    <n v="102.51"/>
    <x v="203"/>
    <n v="269.2"/>
  </r>
  <r>
    <x v="204"/>
    <x v="107"/>
    <s v="2025-10-23"/>
    <s v="Withdrawal"/>
    <x v="6"/>
    <x v="16"/>
    <x v="198"/>
    <n v="578.79999999999995"/>
    <n v="-86.82"/>
    <x v="204"/>
    <n v="665.61999999999989"/>
  </r>
  <r>
    <x v="205"/>
    <x v="108"/>
    <s v="2025-05-12"/>
    <s v="Deposit"/>
    <x v="1"/>
    <x v="14"/>
    <x v="199"/>
    <n v="836.9"/>
    <n v="167.69"/>
    <x v="205"/>
    <n v="669.21"/>
  </r>
  <r>
    <x v="206"/>
    <x v="33"/>
    <s v="2025-11-10"/>
    <s v="Deposit"/>
    <x v="6"/>
    <x v="16"/>
    <x v="200"/>
    <n v="724.54"/>
    <n v="197.07"/>
    <x v="206"/>
    <n v="527.47"/>
  </r>
  <r>
    <x v="207"/>
    <x v="109"/>
    <s v="12/05/2025"/>
    <s v="Deposit"/>
    <x v="4"/>
    <x v="19"/>
    <x v="201"/>
    <n v="1127.79"/>
    <n v="279.27"/>
    <x v="207"/>
    <n v="848.52"/>
  </r>
  <r>
    <x v="208"/>
    <x v="44"/>
    <s v="2025-05-21"/>
    <s v="Deposit"/>
    <x v="2"/>
    <x v="4"/>
    <x v="202"/>
    <n v="362.29"/>
    <n v="65.3"/>
    <x v="208"/>
    <n v="296.99"/>
  </r>
  <r>
    <x v="209"/>
    <x v="78"/>
    <s v="2025-12-17"/>
    <s v="Withdrawal"/>
    <x v="2"/>
    <x v="2"/>
    <x v="203"/>
    <n v="1409.68"/>
    <n v="-211.45"/>
    <x v="209"/>
    <n v="1621.13"/>
  </r>
  <r>
    <x v="210"/>
    <x v="18"/>
    <s v="2025-03-16"/>
    <s v="Withdrawal"/>
    <x v="1"/>
    <x v="15"/>
    <x v="204"/>
    <n v="209.07"/>
    <n v="-31.36"/>
    <x v="210"/>
    <n v="240.43"/>
  </r>
  <r>
    <x v="211"/>
    <x v="98"/>
    <s v="2025-03-09"/>
    <s v="Deposit"/>
    <x v="1"/>
    <x v="14"/>
    <x v="205"/>
    <n v="1362.34"/>
    <n v="240.61"/>
    <x v="211"/>
    <n v="1121.73"/>
  </r>
  <r>
    <x v="212"/>
    <x v="98"/>
    <s v="2025-07-25"/>
    <s v="Withdrawal"/>
    <x v="2"/>
    <x v="13"/>
    <x v="206"/>
    <n v="1086.06"/>
    <n v="-162.91"/>
    <x v="212"/>
    <n v="1248.97"/>
  </r>
  <r>
    <x v="213"/>
    <x v="89"/>
    <s v="2025-05-20"/>
    <s v="Deposit"/>
    <x v="0"/>
    <x v="20"/>
    <x v="207"/>
    <n v="1535.96"/>
    <n v="421.78"/>
    <x v="213"/>
    <n v="1114.18"/>
  </r>
  <r>
    <x v="214"/>
    <x v="110"/>
    <s v="2025-02-13"/>
    <s v="Deposit"/>
    <x v="5"/>
    <x v="10"/>
    <x v="208"/>
    <n v="287.06"/>
    <n v="71.680000000000007"/>
    <x v="214"/>
    <n v="215.38"/>
  </r>
  <r>
    <x v="215"/>
    <x v="111"/>
    <s v="2025-02-03"/>
    <s v="Deposit"/>
    <x v="6"/>
    <x v="16"/>
    <x v="209"/>
    <n v="903.58"/>
    <n v="205.41"/>
    <x v="215"/>
    <n v="698.17000000000007"/>
  </r>
  <r>
    <x v="216"/>
    <x v="50"/>
    <s v="2025-01-07"/>
    <s v="Withdrawal"/>
    <x v="5"/>
    <x v="10"/>
    <x v="210"/>
    <n v="582.95000000000005"/>
    <n v="-87.44"/>
    <x v="216"/>
    <n v="670.3900000000001"/>
  </r>
  <r>
    <x v="217"/>
    <x v="60"/>
    <s v="2025-04-10"/>
    <s v="Withdrawal"/>
    <x v="0"/>
    <x v="20"/>
    <x v="211"/>
    <n v="1430.85"/>
    <n v="-214.63"/>
    <x v="217"/>
    <n v="1645.48"/>
  </r>
  <r>
    <x v="218"/>
    <x v="112"/>
    <s v="2025-06-10"/>
    <s v="Deposit"/>
    <x v="1"/>
    <x v="14"/>
    <x v="212"/>
    <n v="71.58"/>
    <n v="15.62"/>
    <x v="218"/>
    <n v="55.96"/>
  </r>
  <r>
    <x v="219"/>
    <x v="69"/>
    <s v="2025-06-08"/>
    <s v="Deposit"/>
    <x v="2"/>
    <x v="13"/>
    <x v="213"/>
    <n v="1183.57"/>
    <n v="191.2"/>
    <x v="219"/>
    <n v="992.36999999999989"/>
  </r>
  <r>
    <x v="220"/>
    <x v="83"/>
    <s v="2025-08-27"/>
    <s v="Deposit"/>
    <x v="6"/>
    <x v="16"/>
    <x v="214"/>
    <n v="1477.1"/>
    <n v="406.19"/>
    <x v="220"/>
    <n v="1070.9099999999999"/>
  </r>
  <r>
    <x v="221"/>
    <x v="113"/>
    <s v="2025-07-17"/>
    <s v="Deposit"/>
    <x v="2"/>
    <x v="4"/>
    <x v="215"/>
    <n v="332.61"/>
    <n v="83.49"/>
    <x v="221"/>
    <n v="249.12"/>
  </r>
  <r>
    <x v="222"/>
    <x v="87"/>
    <s v="2025-10-04"/>
    <s v="Deposit"/>
    <x v="2"/>
    <x v="4"/>
    <x v="216"/>
    <n v="1446.28"/>
    <n v="377.71"/>
    <x v="222"/>
    <n v="1068.57"/>
  </r>
  <r>
    <x v="223"/>
    <x v="52"/>
    <s v="2025-03-17"/>
    <s v="Deposit"/>
    <x v="6"/>
    <x v="16"/>
    <x v="217"/>
    <n v="137.91999999999999"/>
    <n v="23.47"/>
    <x v="223"/>
    <n v="114.44999999999999"/>
  </r>
  <r>
    <x v="224"/>
    <x v="35"/>
    <s v="2025-11-06"/>
    <s v="Withdrawal"/>
    <x v="3"/>
    <x v="7"/>
    <x v="218"/>
    <n v="7572.91"/>
    <n v="-1135.94"/>
    <x v="224"/>
    <n v="8708.85"/>
  </r>
  <r>
    <x v="225"/>
    <x v="60"/>
    <s v="2025-08-15"/>
    <s v="Deposit"/>
    <x v="2"/>
    <x v="4"/>
    <x v="219"/>
    <n v="491.84"/>
    <n v="116.45"/>
    <x v="225"/>
    <n v="375.39"/>
  </r>
  <r>
    <x v="226"/>
    <x v="113"/>
    <s v="14/06/2025"/>
    <s v="Withdrawal"/>
    <x v="6"/>
    <x v="16"/>
    <x v="220"/>
    <n v="216.69"/>
    <n v="-32.5"/>
    <x v="226"/>
    <n v="249.19"/>
  </r>
  <r>
    <x v="227"/>
    <x v="53"/>
    <s v="2025-08-17"/>
    <s v="Withdrawal"/>
    <x v="3"/>
    <x v="3"/>
    <x v="221"/>
    <n v="11408.57"/>
    <n v="-1711.29"/>
    <x v="227"/>
    <n v="13119.86"/>
  </r>
  <r>
    <x v="228"/>
    <x v="50"/>
    <s v="2025-11-18"/>
    <s v="Withdrawal"/>
    <x v="0"/>
    <x v="0"/>
    <x v="222"/>
    <n v="1163.81"/>
    <n v="-174.57"/>
    <x v="228"/>
    <n v="1338.3799999999999"/>
  </r>
  <r>
    <x v="229"/>
    <x v="40"/>
    <s v="2025-10-19"/>
    <s v="Withdrawal"/>
    <x v="5"/>
    <x v="10"/>
    <x v="223"/>
    <n v="656.15"/>
    <n v="-98.42"/>
    <x v="229"/>
    <n v="754.56999999999994"/>
  </r>
  <r>
    <x v="230"/>
    <x v="92"/>
    <s v="2025-05-25"/>
    <s v="Deposit"/>
    <x v="2"/>
    <x v="4"/>
    <x v="30"/>
    <n v="127.42"/>
    <n v="27.42"/>
    <x v="230"/>
    <n v="100"/>
  </r>
  <r>
    <x v="231"/>
    <x v="29"/>
    <s v="2025-10-06"/>
    <s v="Deposit"/>
    <x v="5"/>
    <x v="6"/>
    <x v="224"/>
    <n v="960"/>
    <n v="270.52999999999997"/>
    <x v="231"/>
    <n v="689.47"/>
  </r>
  <r>
    <x v="232"/>
    <x v="26"/>
    <s v="2025-07-21"/>
    <s v="Deposit"/>
    <x v="0"/>
    <x v="0"/>
    <x v="225"/>
    <n v="649.70000000000005"/>
    <n v="108.26"/>
    <x v="232"/>
    <n v="541.44000000000005"/>
  </r>
  <r>
    <x v="233"/>
    <x v="17"/>
    <s v="2025-09-13"/>
    <s v="Withdrawal"/>
    <x v="2"/>
    <x v="4"/>
    <x v="226"/>
    <n v="670.32"/>
    <n v="-100.55"/>
    <x v="233"/>
    <n v="770.87"/>
  </r>
  <r>
    <x v="234"/>
    <x v="106"/>
    <s v="2025-02-05"/>
    <s v="Withdrawal"/>
    <x v="4"/>
    <x v="9"/>
    <x v="30"/>
    <n v="118.46"/>
    <n v="-17.77"/>
    <x v="234"/>
    <n v="136.22999999999999"/>
  </r>
  <r>
    <x v="235"/>
    <x v="68"/>
    <s v="2025-01-27"/>
    <s v="Deposit"/>
    <x v="1"/>
    <x v="15"/>
    <x v="227"/>
    <n v="138.18"/>
    <n v="21.12"/>
    <x v="235"/>
    <n v="117.06"/>
  </r>
  <r>
    <x v="236"/>
    <x v="61"/>
    <s v="2025-03-19"/>
    <s v="Withdrawal"/>
    <x v="0"/>
    <x v="18"/>
    <x v="228"/>
    <n v="1497.17"/>
    <n v="-224.58"/>
    <x v="236"/>
    <n v="1721.75"/>
  </r>
  <r>
    <x v="237"/>
    <x v="5"/>
    <s v="2025-03-26"/>
    <s v="Deposit"/>
    <x v="6"/>
    <x v="12"/>
    <x v="229"/>
    <n v="766.76"/>
    <n v="155.53"/>
    <x v="237"/>
    <n v="611.23"/>
  </r>
  <r>
    <x v="238"/>
    <x v="114"/>
    <s v="2025-12-08"/>
    <s v="Withdrawal"/>
    <x v="6"/>
    <x v="11"/>
    <x v="230"/>
    <n v="1501.04"/>
    <n v="-225.16"/>
    <x v="238"/>
    <n v="1726.2"/>
  </r>
  <r>
    <x v="239"/>
    <x v="115"/>
    <s v="2025-11-05"/>
    <s v="Deposit"/>
    <x v="3"/>
    <x v="8"/>
    <x v="231"/>
    <n v="7619.89"/>
    <n v="1705.28"/>
    <x v="239"/>
    <n v="5914.6100000000006"/>
  </r>
  <r>
    <x v="240"/>
    <x v="30"/>
    <s v="2025-11-27"/>
    <s v="Deposit"/>
    <x v="5"/>
    <x v="6"/>
    <x v="232"/>
    <n v="803.52"/>
    <n v="185.37"/>
    <x v="240"/>
    <n v="618.15"/>
  </r>
  <r>
    <x v="241"/>
    <x v="103"/>
    <s v="2025-03-08"/>
    <s v="Deposit"/>
    <x v="0"/>
    <x v="18"/>
    <x v="233"/>
    <n v="1064.5899999999999"/>
    <n v="218.28"/>
    <x v="241"/>
    <n v="846.31"/>
  </r>
  <r>
    <x v="242"/>
    <x v="105"/>
    <s v="2025-12-20"/>
    <s v="Withdrawal"/>
    <x v="1"/>
    <x v="15"/>
    <x v="234"/>
    <n v="1294.5999999999999"/>
    <n v="-194.19"/>
    <x v="242"/>
    <n v="1488.79"/>
  </r>
  <r>
    <x v="243"/>
    <x v="33"/>
    <s v="2025-03-19"/>
    <s v="Withdrawal"/>
    <x v="3"/>
    <x v="8"/>
    <x v="235"/>
    <n v="7685.91"/>
    <n v="-1152.8900000000001"/>
    <x v="243"/>
    <n v="8838.7999999999993"/>
  </r>
  <r>
    <x v="244"/>
    <x v="75"/>
    <s v="2025-07-22"/>
    <s v="Withdrawal"/>
    <x v="0"/>
    <x v="18"/>
    <x v="236"/>
    <n v="1420.2638235294123"/>
    <n v="-197.22"/>
    <x v="244"/>
    <n v="1617.4838235294123"/>
  </r>
  <r>
    <x v="245"/>
    <x v="21"/>
    <s v="2025-08-12"/>
    <s v="Deposit"/>
    <x v="1"/>
    <x v="14"/>
    <x v="237"/>
    <n v="1033.6400000000001"/>
    <n v="271.19"/>
    <x v="245"/>
    <n v="762.45"/>
  </r>
  <r>
    <x v="246"/>
    <x v="85"/>
    <s v="2025-03-12"/>
    <s v="Withdrawal"/>
    <x v="1"/>
    <x v="14"/>
    <x v="238"/>
    <n v="469.69"/>
    <n v="-70.45"/>
    <x v="246"/>
    <n v="540.14"/>
  </r>
  <r>
    <x v="247"/>
    <x v="112"/>
    <s v="CORRUPT_DATE_FLAG"/>
    <s v="Withdrawal"/>
    <x v="5"/>
    <x v="6"/>
    <x v="239"/>
    <n v="252.81"/>
    <n v="-37.92"/>
    <x v="247"/>
    <n v="290.73"/>
  </r>
  <r>
    <x v="248"/>
    <x v="73"/>
    <s v="2025-08-22"/>
    <s v="Deposit"/>
    <x v="6"/>
    <x v="12"/>
    <x v="240"/>
    <n v="355.98"/>
    <n v="50.12"/>
    <x v="248"/>
    <n v="305.86"/>
  </r>
  <r>
    <x v="249"/>
    <x v="116"/>
    <s v="2025-10-29"/>
    <s v="Deposit"/>
    <x v="2"/>
    <x v="13"/>
    <x v="241"/>
    <n v="1223.2"/>
    <n v="222.68"/>
    <x v="249"/>
    <n v="1000.52"/>
  </r>
  <r>
    <x v="250"/>
    <x v="117"/>
    <s v="2025-12-17"/>
    <s v="Withdrawal"/>
    <x v="5"/>
    <x v="10"/>
    <x v="242"/>
    <n v="318.99"/>
    <n v="-47.85"/>
    <x v="250"/>
    <n v="366.84000000000003"/>
  </r>
  <r>
    <x v="251"/>
    <x v="97"/>
    <s v="2025-03-16"/>
    <s v="Deposit"/>
    <x v="3"/>
    <x v="8"/>
    <x v="243"/>
    <n v="7887.63"/>
    <n v="1681.77"/>
    <x v="251"/>
    <n v="6205.8600000000006"/>
  </r>
  <r>
    <x v="252"/>
    <x v="25"/>
    <s v="2025-03-09"/>
    <s v="Deposit"/>
    <x v="0"/>
    <x v="0"/>
    <x v="244"/>
    <n v="191.19"/>
    <n v="32.880000000000003"/>
    <x v="252"/>
    <n v="158.31"/>
  </r>
  <r>
    <x v="253"/>
    <x v="111"/>
    <s v="2025-12-18"/>
    <s v="Deposit"/>
    <x v="2"/>
    <x v="4"/>
    <x v="245"/>
    <n v="58.31"/>
    <n v="7.64"/>
    <x v="253"/>
    <n v="50.67"/>
  </r>
  <r>
    <x v="254"/>
    <x v="118"/>
    <s v="CORRUPT_DATE_FLAG"/>
    <s v="Withdrawal"/>
    <x v="5"/>
    <x v="10"/>
    <x v="246"/>
    <n v="728.41"/>
    <n v="-109.26"/>
    <x v="254"/>
    <n v="837.67"/>
  </r>
  <r>
    <x v="255"/>
    <x v="90"/>
    <s v="2025-01-25"/>
    <s v="Deposit"/>
    <x v="3"/>
    <x v="8"/>
    <x v="247"/>
    <n v="10498.53"/>
    <n v="2644.91"/>
    <x v="255"/>
    <n v="7853.6200000000008"/>
  </r>
  <r>
    <x v="256"/>
    <x v="74"/>
    <s v="2025-12-21"/>
    <s v="Withdrawal"/>
    <x v="2"/>
    <x v="4"/>
    <x v="248"/>
    <n v="1504.52"/>
    <n v="-225.68"/>
    <x v="256"/>
    <n v="1730.2"/>
  </r>
  <r>
    <x v="257"/>
    <x v="66"/>
    <s v="2025-07-12"/>
    <s v="Withdrawal"/>
    <x v="4"/>
    <x v="19"/>
    <x v="249"/>
    <n v="109.42"/>
    <n v="-16.41"/>
    <x v="257"/>
    <n v="125.83"/>
  </r>
  <r>
    <x v="258"/>
    <x v="90"/>
    <s v="2025-08-27"/>
    <s v="Deposit"/>
    <x v="2"/>
    <x v="2"/>
    <x v="250"/>
    <n v="164.55"/>
    <n v="27.27"/>
    <x v="258"/>
    <n v="137.28"/>
  </r>
  <r>
    <x v="259"/>
    <x v="119"/>
    <s v="2025-08-10"/>
    <s v="Deposit"/>
    <x v="1"/>
    <x v="1"/>
    <x v="251"/>
    <n v="1665.68"/>
    <n v="472.03"/>
    <x v="259"/>
    <n v="1193.6500000000001"/>
  </r>
  <r>
    <x v="260"/>
    <x v="111"/>
    <s v="2025-03-09"/>
    <s v="Withdrawal"/>
    <x v="4"/>
    <x v="9"/>
    <x v="252"/>
    <n v="749.31"/>
    <n v="-112.4"/>
    <x v="260"/>
    <n v="861.70999999999992"/>
  </r>
  <r>
    <x v="261"/>
    <x v="77"/>
    <s v="02/02/2025"/>
    <s v="Deposit"/>
    <x v="0"/>
    <x v="0"/>
    <x v="253"/>
    <n v="760.65"/>
    <n v="196.18"/>
    <x v="261"/>
    <n v="564.47"/>
  </r>
  <r>
    <x v="262"/>
    <x v="15"/>
    <s v="2025-02-04"/>
    <s v="Withdrawal"/>
    <x v="3"/>
    <x v="3"/>
    <x v="254"/>
    <n v="5687.23"/>
    <n v="-853.08"/>
    <x v="262"/>
    <n v="6540.3099999999995"/>
  </r>
  <r>
    <x v="263"/>
    <x v="120"/>
    <s v="2025-03-14"/>
    <s v="Withdrawal"/>
    <x v="0"/>
    <x v="0"/>
    <x v="255"/>
    <n v="1228.57"/>
    <n v="-184.29"/>
    <x v="263"/>
    <n v="1412.86"/>
  </r>
  <r>
    <x v="264"/>
    <x v="96"/>
    <s v="2025-11-12"/>
    <s v="Withdrawal"/>
    <x v="2"/>
    <x v="4"/>
    <x v="256"/>
    <n v="758.19"/>
    <n v="-113.73"/>
    <x v="264"/>
    <n v="871.92000000000007"/>
  </r>
  <r>
    <x v="265"/>
    <x v="93"/>
    <s v="26/12/2025"/>
    <s v="Withdrawal"/>
    <x v="5"/>
    <x v="17"/>
    <x v="257"/>
    <n v="178.25"/>
    <n v="-26.74"/>
    <x v="265"/>
    <n v="204.99"/>
  </r>
  <r>
    <x v="266"/>
    <x v="94"/>
    <s v="2025-08-01"/>
    <s v="Deposit"/>
    <x v="1"/>
    <x v="14"/>
    <x v="258"/>
    <n v="1609.15"/>
    <n v="426.34"/>
    <x v="266"/>
    <n v="1182.8100000000002"/>
  </r>
  <r>
    <x v="267"/>
    <x v="91"/>
    <s v="2025-09-19"/>
    <s v="Withdrawal"/>
    <x v="4"/>
    <x v="5"/>
    <x v="259"/>
    <n v="505.65"/>
    <n v="-75.849999999999994"/>
    <x v="267"/>
    <n v="581.5"/>
  </r>
  <r>
    <x v="268"/>
    <x v="84"/>
    <s v="2025-07-09"/>
    <s v="Deposit"/>
    <x v="3"/>
    <x v="7"/>
    <x v="260"/>
    <n v="12393.49"/>
    <n v="3099.1"/>
    <x v="268"/>
    <n v="9294.39"/>
  </r>
  <r>
    <x v="269"/>
    <x v="101"/>
    <s v="2025-09-21"/>
    <s v="Withdrawal"/>
    <x v="0"/>
    <x v="0"/>
    <x v="261"/>
    <n v="146.58000000000001"/>
    <n v="-21.99"/>
    <x v="269"/>
    <n v="168.57000000000002"/>
  </r>
  <r>
    <x v="270"/>
    <x v="89"/>
    <s v="2025-06-23"/>
    <s v="Deposit"/>
    <x v="2"/>
    <x v="2"/>
    <x v="262"/>
    <n v="167.68"/>
    <n v="43.56"/>
    <x v="270"/>
    <n v="124.12"/>
  </r>
  <r>
    <x v="271"/>
    <x v="68"/>
    <s v="CORRUPT_DATE_FLAG"/>
    <s v="Deposit"/>
    <x v="2"/>
    <x v="4"/>
    <x v="263"/>
    <n v="305.26"/>
    <n v="49.7"/>
    <x v="271"/>
    <n v="255.56"/>
  </r>
  <r>
    <x v="272"/>
    <x v="13"/>
    <s v="2025-12-25"/>
    <s v="Withdrawal"/>
    <x v="2"/>
    <x v="2"/>
    <x v="264"/>
    <n v="1368.95"/>
    <n v="-205.34"/>
    <x v="272"/>
    <n v="1574.29"/>
  </r>
  <r>
    <x v="273"/>
    <x v="121"/>
    <s v="2025-07-11"/>
    <s v="Deposit"/>
    <x v="4"/>
    <x v="9"/>
    <x v="265"/>
    <n v="792.08"/>
    <n v="121.34"/>
    <x v="273"/>
    <n v="670.74"/>
  </r>
  <r>
    <x v="274"/>
    <x v="80"/>
    <s v="2025-10-19"/>
    <s v="Withdrawal"/>
    <x v="0"/>
    <x v="20"/>
    <x v="266"/>
    <n v="1527.46"/>
    <n v="-229.12"/>
    <x v="274"/>
    <n v="1756.58"/>
  </r>
  <r>
    <x v="275"/>
    <x v="50"/>
    <s v="CORRUPT_DATE_FLAG"/>
    <s v="Deposit"/>
    <x v="6"/>
    <x v="12"/>
    <x v="267"/>
    <n v="690.65"/>
    <n v="168.36"/>
    <x v="275"/>
    <n v="522.29"/>
  </r>
  <r>
    <x v="276"/>
    <x v="108"/>
    <s v="2025-01-30"/>
    <s v="Deposit"/>
    <x v="2"/>
    <x v="2"/>
    <x v="268"/>
    <n v="366.17"/>
    <n v="62.72"/>
    <x v="276"/>
    <n v="303.45000000000005"/>
  </r>
  <r>
    <x v="277"/>
    <x v="39"/>
    <s v="2025-06-10"/>
    <s v="Deposit"/>
    <x v="0"/>
    <x v="0"/>
    <x v="269"/>
    <n v="1409.71"/>
    <n v="387.6"/>
    <x v="277"/>
    <n v="1022.11"/>
  </r>
  <r>
    <x v="278"/>
    <x v="88"/>
    <s v="2025-09-23"/>
    <s v="Withdrawal"/>
    <x v="2"/>
    <x v="13"/>
    <x v="270"/>
    <n v="1047.6300000000001"/>
    <n v="-157.13999999999999"/>
    <x v="278"/>
    <n v="1204.77"/>
  </r>
  <r>
    <x v="279"/>
    <x v="36"/>
    <s v="2025-11-13"/>
    <s v="Deposit"/>
    <x v="5"/>
    <x v="6"/>
    <x v="271"/>
    <n v="151.94999999999999"/>
    <n v="24.1"/>
    <x v="279"/>
    <n v="127.85"/>
  </r>
  <r>
    <x v="280"/>
    <x v="34"/>
    <s v="2025-08-17"/>
    <s v="Withdrawal"/>
    <x v="5"/>
    <x v="17"/>
    <x v="272"/>
    <n v="960.01"/>
    <n v="-144"/>
    <x v="280"/>
    <n v="1104.01"/>
  </r>
  <r>
    <x v="281"/>
    <x v="114"/>
    <s v="2025-01-02"/>
    <s v="Withdrawal"/>
    <x v="0"/>
    <x v="18"/>
    <x v="273"/>
    <n v="1186.08"/>
    <n v="-177.91"/>
    <x v="281"/>
    <n v="1363.99"/>
  </r>
  <r>
    <x v="282"/>
    <x v="122"/>
    <s v="2025-08-28"/>
    <s v="Deposit"/>
    <x v="6"/>
    <x v="11"/>
    <x v="274"/>
    <n v="224.63"/>
    <n v="59.25"/>
    <x v="282"/>
    <n v="165.38"/>
  </r>
  <r>
    <x v="283"/>
    <x v="63"/>
    <s v="2025-07-06"/>
    <s v="Deposit"/>
    <x v="6"/>
    <x v="16"/>
    <x v="275"/>
    <n v="1143.6300000000001"/>
    <n v="289.24"/>
    <x v="283"/>
    <n v="854.3900000000001"/>
  </r>
  <r>
    <x v="284"/>
    <x v="111"/>
    <s v="2025-11-22"/>
    <s v="Deposit"/>
    <x v="4"/>
    <x v="5"/>
    <x v="276"/>
    <n v="1180.9000000000001"/>
    <n v="194.39"/>
    <x v="284"/>
    <n v="986.5100000000001"/>
  </r>
  <r>
    <x v="285"/>
    <x v="123"/>
    <s v="2025-08-26"/>
    <s v="Withdrawal"/>
    <x v="0"/>
    <x v="20"/>
    <x v="277"/>
    <n v="149.04"/>
    <n v="-22.36"/>
    <x v="285"/>
    <n v="171.39999999999998"/>
  </r>
  <r>
    <x v="286"/>
    <x v="73"/>
    <s v="2025-02-02"/>
    <s v="Withdrawal"/>
    <x v="2"/>
    <x v="13"/>
    <x v="278"/>
    <n v="1195.58"/>
    <n v="-179.34"/>
    <x v="286"/>
    <n v="1374.9199999999998"/>
  </r>
  <r>
    <x v="287"/>
    <x v="83"/>
    <s v="2025-08-26"/>
    <s v="Withdrawal"/>
    <x v="2"/>
    <x v="13"/>
    <x v="279"/>
    <n v="174.59"/>
    <n v="-26.19"/>
    <x v="287"/>
    <n v="200.78"/>
  </r>
  <r>
    <x v="288"/>
    <x v="56"/>
    <s v="2025-07-15"/>
    <s v="Deposit"/>
    <x v="4"/>
    <x v="5"/>
    <x v="280"/>
    <n v="1261.1400000000001"/>
    <n v="165.43"/>
    <x v="288"/>
    <n v="1095.71"/>
  </r>
  <r>
    <x v="289"/>
    <x v="7"/>
    <s v="2025-10-21"/>
    <s v="Deposit"/>
    <x v="4"/>
    <x v="5"/>
    <x v="281"/>
    <n v="438.35"/>
    <n v="101.07"/>
    <x v="289"/>
    <n v="337.28000000000003"/>
  </r>
  <r>
    <x v="290"/>
    <x v="29"/>
    <s v="28/10/2025"/>
    <s v="Withdrawal"/>
    <x v="5"/>
    <x v="6"/>
    <x v="282"/>
    <n v="1373.37"/>
    <n v="-206.01"/>
    <x v="290"/>
    <n v="1579.3799999999999"/>
  </r>
  <r>
    <x v="291"/>
    <x v="98"/>
    <s v="2025-06-04"/>
    <s v="Deposit"/>
    <x v="5"/>
    <x v="10"/>
    <x v="283"/>
    <n v="889.38"/>
    <n v="137.51"/>
    <x v="291"/>
    <n v="751.87"/>
  </r>
  <r>
    <x v="292"/>
    <x v="114"/>
    <s v="2025-01-07"/>
    <s v="Deposit"/>
    <x v="4"/>
    <x v="9"/>
    <x v="284"/>
    <n v="857.61"/>
    <n v="197.92"/>
    <x v="292"/>
    <n v="659.69"/>
  </r>
  <r>
    <x v="293"/>
    <x v="117"/>
    <s v="2025-05-06"/>
    <s v="Withdrawal"/>
    <x v="0"/>
    <x v="0"/>
    <x v="285"/>
    <n v="421.47"/>
    <n v="-44.182985074626863"/>
    <x v="293"/>
    <n v="465.65298507462688"/>
  </r>
  <r>
    <x v="294"/>
    <x v="90"/>
    <s v="2025-11-13"/>
    <s v="Deposit"/>
    <x v="4"/>
    <x v="9"/>
    <x v="286"/>
    <n v="84.94"/>
    <n v="16.809999999999999"/>
    <x v="294"/>
    <n v="68.13"/>
  </r>
  <r>
    <x v="295"/>
    <x v="8"/>
    <s v="2025-08-08"/>
    <s v="Withdrawal"/>
    <x v="0"/>
    <x v="20"/>
    <x v="287"/>
    <n v="559.14"/>
    <n v="-83.87"/>
    <x v="295"/>
    <n v="643.01"/>
  </r>
  <r>
    <x v="296"/>
    <x v="1"/>
    <s v="2025-08-17"/>
    <s v="Deposit"/>
    <x v="4"/>
    <x v="9"/>
    <x v="288"/>
    <n v="360.78"/>
    <n v="100.37"/>
    <x v="296"/>
    <n v="260.40999999999997"/>
  </r>
  <r>
    <x v="297"/>
    <x v="114"/>
    <s v="26/03/2025"/>
    <s v="Withdrawal"/>
    <x v="6"/>
    <x v="11"/>
    <x v="289"/>
    <n v="701.24"/>
    <n v="-105.19"/>
    <x v="297"/>
    <n v="806.43000000000006"/>
  </r>
  <r>
    <x v="298"/>
    <x v="64"/>
    <s v="2025-10-03"/>
    <s v="Withdrawal"/>
    <x v="1"/>
    <x v="1"/>
    <x v="290"/>
    <n v="1065.73"/>
    <n v="-159.86000000000001"/>
    <x v="298"/>
    <n v="1225.5900000000001"/>
  </r>
  <r>
    <x v="299"/>
    <x v="124"/>
    <s v="2025-10-19"/>
    <s v="Withdrawal"/>
    <x v="6"/>
    <x v="11"/>
    <x v="291"/>
    <n v="630.91999999999996"/>
    <n v="-94.64"/>
    <x v="299"/>
    <n v="725.56"/>
  </r>
  <r>
    <x v="300"/>
    <x v="19"/>
    <s v="2025-09-08"/>
    <s v="Deposit"/>
    <x v="6"/>
    <x v="16"/>
    <x v="292"/>
    <n v="596.86"/>
    <n v="110.81"/>
    <x v="300"/>
    <n v="486.05"/>
  </r>
  <r>
    <x v="301"/>
    <x v="92"/>
    <s v="15/02/2025"/>
    <s v="Withdrawal"/>
    <x v="1"/>
    <x v="15"/>
    <x v="293"/>
    <n v="1378.14"/>
    <n v="-206.72"/>
    <x v="301"/>
    <n v="1584.8600000000001"/>
  </r>
  <r>
    <x v="302"/>
    <x v="3"/>
    <s v="13/06/2025"/>
    <s v="Withdrawal"/>
    <x v="2"/>
    <x v="4"/>
    <x v="294"/>
    <n v="310.49"/>
    <n v="-46.57"/>
    <x v="302"/>
    <n v="357.06"/>
  </r>
  <r>
    <x v="303"/>
    <x v="21"/>
    <s v="2025-08-08"/>
    <s v="Deposit"/>
    <x v="0"/>
    <x v="0"/>
    <x v="295"/>
    <n v="1360.05"/>
    <n v="272.14"/>
    <x v="303"/>
    <n v="1087.9099999999999"/>
  </r>
  <r>
    <x v="304"/>
    <x v="47"/>
    <s v="2025-11-18"/>
    <s v="Withdrawal"/>
    <x v="0"/>
    <x v="20"/>
    <x v="296"/>
    <n v="53.87"/>
    <n v="-8.08"/>
    <x v="304"/>
    <n v="61.949999999999996"/>
  </r>
  <r>
    <x v="305"/>
    <x v="94"/>
    <s v="2025-09-26"/>
    <s v="Deposit"/>
    <x v="3"/>
    <x v="8"/>
    <x v="297"/>
    <n v="9029.4599999999991"/>
    <n v="1680.99"/>
    <x v="305"/>
    <n v="7348.4699999999993"/>
  </r>
  <r>
    <x v="306"/>
    <x v="24"/>
    <s v="2025-06-10"/>
    <s v="Deposit"/>
    <x v="1"/>
    <x v="1"/>
    <x v="298"/>
    <n v="1176.05"/>
    <n v="277.69"/>
    <x v="306"/>
    <n v="898.3599999999999"/>
  </r>
  <r>
    <x v="307"/>
    <x v="32"/>
    <s v="2025-07-28"/>
    <s v="Deposit"/>
    <x v="3"/>
    <x v="8"/>
    <x v="299"/>
    <n v="6550.97"/>
    <n v="1105.72"/>
    <x v="307"/>
    <n v="5445.25"/>
  </r>
  <r>
    <x v="308"/>
    <x v="25"/>
    <s v="2025-08-27"/>
    <s v="Withdrawal"/>
    <x v="5"/>
    <x v="17"/>
    <x v="300"/>
    <n v="579.96"/>
    <n v="-86.99"/>
    <x v="308"/>
    <n v="666.95"/>
  </r>
  <r>
    <x v="309"/>
    <x v="72"/>
    <s v="2025-12-17"/>
    <s v="Deposit"/>
    <x v="4"/>
    <x v="9"/>
    <x v="301"/>
    <n v="553.52"/>
    <n v="144.52000000000001"/>
    <x v="309"/>
    <n v="409"/>
  </r>
  <r>
    <x v="310"/>
    <x v="67"/>
    <s v="CORRUPT_DATE_FLAG"/>
    <s v="Withdrawal"/>
    <x v="5"/>
    <x v="10"/>
    <x v="302"/>
    <n v="660.37"/>
    <n v="-99.06"/>
    <x v="310"/>
    <n v="759.43000000000006"/>
  </r>
  <r>
    <x v="311"/>
    <x v="10"/>
    <s v="2025-04-20"/>
    <s v="Withdrawal"/>
    <x v="4"/>
    <x v="9"/>
    <x v="303"/>
    <n v="537.48"/>
    <n v="-80.62"/>
    <x v="311"/>
    <n v="618.1"/>
  </r>
  <r>
    <x v="312"/>
    <x v="115"/>
    <s v="2025-04-15"/>
    <s v="Withdrawal"/>
    <x v="3"/>
    <x v="8"/>
    <x v="304"/>
    <n v="12370.75"/>
    <n v="-1855.61"/>
    <x v="312"/>
    <n v="14226.36"/>
  </r>
  <r>
    <x v="313"/>
    <x v="125"/>
    <s v="2025-10-04"/>
    <s v="Deposit"/>
    <x v="4"/>
    <x v="9"/>
    <x v="305"/>
    <n v="466.96"/>
    <n v="72.489999999999995"/>
    <x v="313"/>
    <n v="394.46999999999997"/>
  </r>
  <r>
    <x v="314"/>
    <x v="81"/>
    <s v="2025-07-07"/>
    <s v="Deposit"/>
    <x v="0"/>
    <x v="20"/>
    <x v="306"/>
    <n v="1130.77"/>
    <n v="224.06"/>
    <x v="314"/>
    <n v="906.71"/>
  </r>
  <r>
    <x v="315"/>
    <x v="99"/>
    <s v="2025-05-25"/>
    <s v="Withdrawal"/>
    <x v="2"/>
    <x v="13"/>
    <x v="307"/>
    <n v="1020.49"/>
    <n v="-153.07"/>
    <x v="315"/>
    <n v="1173.56"/>
  </r>
  <r>
    <x v="316"/>
    <x v="102"/>
    <s v="2025-10-01"/>
    <s v="Deposit"/>
    <x v="6"/>
    <x v="12"/>
    <x v="308"/>
    <n v="751.1"/>
    <n v="152.22999999999999"/>
    <x v="316"/>
    <n v="598.87"/>
  </r>
  <r>
    <x v="317"/>
    <x v="120"/>
    <s v="10/07/2025"/>
    <s v="Withdrawal"/>
    <x v="2"/>
    <x v="13"/>
    <x v="309"/>
    <n v="888.83"/>
    <n v="-133.32"/>
    <x v="317"/>
    <n v="1022.1500000000001"/>
  </r>
  <r>
    <x v="318"/>
    <x v="125"/>
    <s v="2025-02-27"/>
    <s v="Deposit"/>
    <x v="2"/>
    <x v="13"/>
    <x v="310"/>
    <n v="1022.15"/>
    <n v="188.04"/>
    <x v="318"/>
    <n v="834.11"/>
  </r>
  <r>
    <x v="319"/>
    <x v="97"/>
    <s v="2025-08-31"/>
    <s v="Withdrawal"/>
    <x v="3"/>
    <x v="3"/>
    <x v="311"/>
    <n v="8457.56"/>
    <n v="-1268.6300000000001"/>
    <x v="319"/>
    <n v="9726.1899999999987"/>
  </r>
  <r>
    <x v="320"/>
    <x v="98"/>
    <s v="CORRUPT_DATE_FLAG"/>
    <s v="Deposit"/>
    <x v="3"/>
    <x v="7"/>
    <x v="312"/>
    <n v="12416.47"/>
    <n v="3201.12"/>
    <x v="320"/>
    <n v="9215.3499999999985"/>
  </r>
  <r>
    <x v="321"/>
    <x v="85"/>
    <s v="2025-06-25"/>
    <s v="Withdrawal"/>
    <x v="1"/>
    <x v="15"/>
    <x v="137"/>
    <n v="232.68"/>
    <n v="-34.9"/>
    <x v="321"/>
    <n v="267.58"/>
  </r>
  <r>
    <x v="322"/>
    <x v="126"/>
    <s v="2025-05-30"/>
    <s v="Withdrawal"/>
    <x v="2"/>
    <x v="4"/>
    <x v="313"/>
    <n v="249.11"/>
    <n v="-37.369999999999997"/>
    <x v="322"/>
    <n v="286.48"/>
  </r>
  <r>
    <x v="323"/>
    <x v="94"/>
    <s v="2025-07-28"/>
    <s v="Withdrawal"/>
    <x v="1"/>
    <x v="1"/>
    <x v="314"/>
    <n v="1288.05"/>
    <n v="-193.21"/>
    <x v="323"/>
    <n v="1481.26"/>
  </r>
  <r>
    <x v="324"/>
    <x v="88"/>
    <s v="2025-12-31"/>
    <s v="Withdrawal"/>
    <x v="4"/>
    <x v="9"/>
    <x v="315"/>
    <n v="924.67"/>
    <n v="-138.69999999999999"/>
    <x v="324"/>
    <n v="1063.3699999999999"/>
  </r>
  <r>
    <x v="325"/>
    <x v="120"/>
    <s v="2025-06-10"/>
    <s v="Deposit"/>
    <x v="1"/>
    <x v="14"/>
    <x v="316"/>
    <n v="400.31"/>
    <n v="111.74"/>
    <x v="325"/>
    <n v="288.57"/>
  </r>
  <r>
    <x v="326"/>
    <x v="16"/>
    <s v="2025-08-15"/>
    <s v="Deposit"/>
    <x v="6"/>
    <x v="11"/>
    <x v="317"/>
    <n v="158.85"/>
    <n v="32.1"/>
    <x v="326"/>
    <n v="126.75"/>
  </r>
  <r>
    <x v="327"/>
    <x v="23"/>
    <s v="2025-01-07"/>
    <s v="Withdrawal"/>
    <x v="3"/>
    <x v="7"/>
    <x v="318"/>
    <n v="6752.05"/>
    <n v="-1012.81"/>
    <x v="327"/>
    <n v="7764.8600000000006"/>
  </r>
  <r>
    <x v="328"/>
    <x v="125"/>
    <s v="2025-12-19"/>
    <s v="Deposit"/>
    <x v="5"/>
    <x v="10"/>
    <x v="319"/>
    <n v="1431.78"/>
    <n v="257.88"/>
    <x v="328"/>
    <n v="1173.9000000000001"/>
  </r>
  <r>
    <x v="329"/>
    <x v="109"/>
    <s v="2025-03-23"/>
    <s v="Withdrawal"/>
    <x v="4"/>
    <x v="19"/>
    <x v="320"/>
    <n v="182.5"/>
    <n v="-27.38"/>
    <x v="329"/>
    <n v="209.88"/>
  </r>
  <r>
    <x v="330"/>
    <x v="83"/>
    <s v="2025-05-25"/>
    <s v="Deposit"/>
    <x v="3"/>
    <x v="7"/>
    <x v="321"/>
    <n v="5971.35"/>
    <n v="1279.3900000000001"/>
    <x v="330"/>
    <n v="4691.96"/>
  </r>
  <r>
    <x v="331"/>
    <x v="114"/>
    <s v="2025-10-05"/>
    <s v="Withdrawal"/>
    <x v="4"/>
    <x v="9"/>
    <x v="322"/>
    <n v="1225.1199999999999"/>
    <n v="-183.77"/>
    <x v="331"/>
    <n v="1408.8899999999999"/>
  </r>
  <r>
    <x v="332"/>
    <x v="79"/>
    <s v="2025-05-06"/>
    <s v="Deposit"/>
    <x v="4"/>
    <x v="9"/>
    <x v="323"/>
    <n v="761.56"/>
    <n v="145.13"/>
    <x v="332"/>
    <n v="616.42999999999995"/>
  </r>
  <r>
    <x v="333"/>
    <x v="127"/>
    <s v="2025-03-26"/>
    <s v="Withdrawal"/>
    <x v="1"/>
    <x v="14"/>
    <x v="324"/>
    <n v="957.3"/>
    <n v="-143.59"/>
    <x v="333"/>
    <n v="1100.8899999999999"/>
  </r>
  <r>
    <x v="334"/>
    <x v="18"/>
    <s v="2025-04-22"/>
    <s v="Withdrawal"/>
    <x v="5"/>
    <x v="17"/>
    <x v="325"/>
    <n v="216.04"/>
    <n v="-32.409999999999997"/>
    <x v="334"/>
    <n v="248.45"/>
  </r>
  <r>
    <x v="335"/>
    <x v="49"/>
    <s v="2025-01-30"/>
    <s v="Withdrawal"/>
    <x v="6"/>
    <x v="12"/>
    <x v="326"/>
    <n v="1314.23"/>
    <n v="-197.13"/>
    <x v="335"/>
    <n v="1511.3600000000001"/>
  </r>
  <r>
    <x v="336"/>
    <x v="54"/>
    <s v="2025-09-25"/>
    <s v="Withdrawal"/>
    <x v="2"/>
    <x v="13"/>
    <x v="30"/>
    <n v="119.33"/>
    <n v="-17.899999999999999"/>
    <x v="336"/>
    <n v="137.22999999999999"/>
  </r>
  <r>
    <x v="337"/>
    <x v="79"/>
    <s v="2025-07-09"/>
    <s v="Deposit"/>
    <x v="4"/>
    <x v="19"/>
    <x v="327"/>
    <n v="226.78"/>
    <n v="37.56"/>
    <x v="337"/>
    <n v="189.22"/>
  </r>
  <r>
    <x v="338"/>
    <x v="36"/>
    <s v="2025-07-20"/>
    <s v="Withdrawal"/>
    <x v="0"/>
    <x v="18"/>
    <x v="328"/>
    <n v="638.65"/>
    <n v="-95.8"/>
    <x v="338"/>
    <n v="734.44999999999993"/>
  </r>
  <r>
    <x v="339"/>
    <x v="18"/>
    <s v="2025-06-29"/>
    <s v="Withdrawal"/>
    <x v="6"/>
    <x v="12"/>
    <x v="329"/>
    <n v="384.73"/>
    <n v="-57.71"/>
    <x v="339"/>
    <n v="442.44"/>
  </r>
  <r>
    <x v="340"/>
    <x v="128"/>
    <s v="2025-12-07"/>
    <s v="Withdrawal"/>
    <x v="3"/>
    <x v="8"/>
    <x v="330"/>
    <n v="9216.08"/>
    <n v="-1382.41"/>
    <x v="340"/>
    <n v="10598.49"/>
  </r>
  <r>
    <x v="341"/>
    <x v="85"/>
    <s v="2025-06-08"/>
    <s v="Deposit"/>
    <x v="4"/>
    <x v="9"/>
    <x v="331"/>
    <n v="1089.78"/>
    <n v="302.91000000000003"/>
    <x v="341"/>
    <n v="786.86999999999989"/>
  </r>
  <r>
    <x v="342"/>
    <x v="0"/>
    <s v="2025-02-23"/>
    <s v="Withdrawal"/>
    <x v="3"/>
    <x v="7"/>
    <x v="332"/>
    <n v="10287.52"/>
    <n v="-1543.13"/>
    <x v="342"/>
    <n v="11830.650000000001"/>
  </r>
  <r>
    <x v="343"/>
    <x v="129"/>
    <s v="2025-06-07"/>
    <s v="Withdrawal"/>
    <x v="2"/>
    <x v="4"/>
    <x v="333"/>
    <n v="1026.92"/>
    <n v="-154.04"/>
    <x v="343"/>
    <n v="1180.96"/>
  </r>
  <r>
    <x v="344"/>
    <x v="38"/>
    <s v="2025-09-19"/>
    <s v="Withdrawal"/>
    <x v="1"/>
    <x v="15"/>
    <x v="334"/>
    <n v="34.99"/>
    <n v="-5.25"/>
    <x v="344"/>
    <n v="40.24"/>
  </r>
  <r>
    <x v="345"/>
    <x v="105"/>
    <s v="2025-05-25"/>
    <s v="Withdrawal"/>
    <x v="6"/>
    <x v="12"/>
    <x v="335"/>
    <n v="1374.9"/>
    <n v="-206.24"/>
    <x v="345"/>
    <n v="1581.14"/>
  </r>
  <r>
    <x v="346"/>
    <x v="80"/>
    <s v="2025-08-11"/>
    <s v="Deposit"/>
    <x v="6"/>
    <x v="11"/>
    <x v="336"/>
    <n v="598.79999999999995"/>
    <n v="152.03"/>
    <x v="346"/>
    <n v="446.77"/>
  </r>
  <r>
    <x v="347"/>
    <x v="31"/>
    <s v="30/01/2025"/>
    <s v="Withdrawal"/>
    <x v="3"/>
    <x v="3"/>
    <x v="337"/>
    <n v="10466.36"/>
    <n v="-1569.95"/>
    <x v="347"/>
    <n v="12036.310000000001"/>
  </r>
  <r>
    <x v="348"/>
    <x v="43"/>
    <s v="2025-01-18"/>
    <s v="Withdrawal"/>
    <x v="4"/>
    <x v="9"/>
    <x v="338"/>
    <n v="666.5"/>
    <n v="-99.97"/>
    <x v="348"/>
    <n v="766.47"/>
  </r>
  <r>
    <x v="349"/>
    <x v="75"/>
    <s v="2025-03-30"/>
    <s v="Withdrawal"/>
    <x v="4"/>
    <x v="19"/>
    <x v="339"/>
    <n v="903.89"/>
    <n v="-135.58000000000001"/>
    <x v="349"/>
    <n v="1039.47"/>
  </r>
  <r>
    <x v="350"/>
    <x v="75"/>
    <s v="2025-05-31"/>
    <s v="Deposit"/>
    <x v="1"/>
    <x v="15"/>
    <x v="340"/>
    <n v="717.13"/>
    <n v="128.88999999999999"/>
    <x v="350"/>
    <n v="588.24"/>
  </r>
  <r>
    <x v="351"/>
    <x v="63"/>
    <s v="2025-12-14"/>
    <s v="Withdrawal"/>
    <x v="4"/>
    <x v="5"/>
    <x v="341"/>
    <n v="1069.97"/>
    <n v="-160.5"/>
    <x v="351"/>
    <n v="1230.47"/>
  </r>
  <r>
    <x v="352"/>
    <x v="112"/>
    <s v="2025-03-24"/>
    <s v="Deposit"/>
    <x v="3"/>
    <x v="8"/>
    <x v="342"/>
    <n v="9445.7999999999993"/>
    <n v="1979.2"/>
    <x v="352"/>
    <n v="7466.5999999999995"/>
  </r>
  <r>
    <x v="353"/>
    <x v="48"/>
    <s v="2025-08-09"/>
    <s v="Deposit"/>
    <x v="2"/>
    <x v="2"/>
    <x v="343"/>
    <n v="972.59"/>
    <n v="277.22000000000003"/>
    <x v="353"/>
    <n v="695.37"/>
  </r>
  <r>
    <x v="354"/>
    <x v="130"/>
    <s v="2025-07-12"/>
    <s v="Deposit"/>
    <x v="6"/>
    <x v="11"/>
    <x v="344"/>
    <n v="1259.47"/>
    <n v="308.14"/>
    <x v="354"/>
    <n v="951.33"/>
  </r>
  <r>
    <x v="355"/>
    <x v="120"/>
    <s v="2025-03-26"/>
    <s v="Deposit"/>
    <x v="2"/>
    <x v="2"/>
    <x v="345"/>
    <n v="543.13"/>
    <n v="100.47"/>
    <x v="355"/>
    <n v="442.65999999999997"/>
  </r>
  <r>
    <x v="356"/>
    <x v="131"/>
    <s v="2025-02-22"/>
    <s v="Withdrawal"/>
    <x v="3"/>
    <x v="3"/>
    <x v="346"/>
    <n v="12991.95"/>
    <n v="-44.182985074626863"/>
    <x v="356"/>
    <n v="13036.132985074628"/>
  </r>
  <r>
    <x v="357"/>
    <x v="26"/>
    <s v="2025-02-07"/>
    <s v="Deposit"/>
    <x v="0"/>
    <x v="0"/>
    <x v="347"/>
    <n v="1311.72"/>
    <n v="304.2"/>
    <x v="357"/>
    <n v="1007.52"/>
  </r>
  <r>
    <x v="358"/>
    <x v="113"/>
    <s v="2025-10-28"/>
    <s v="Deposit"/>
    <x v="5"/>
    <x v="6"/>
    <x v="348"/>
    <n v="671.47"/>
    <n v="117.01"/>
    <x v="358"/>
    <n v="554.46"/>
  </r>
  <r>
    <x v="359"/>
    <x v="56"/>
    <s v="2025-10-21"/>
    <s v="Withdrawal"/>
    <x v="0"/>
    <x v="20"/>
    <x v="349"/>
    <n v="821.85"/>
    <n v="-123.28"/>
    <x v="359"/>
    <n v="945.13"/>
  </r>
  <r>
    <x v="360"/>
    <x v="81"/>
    <s v="2025-03-06"/>
    <s v="Deposit"/>
    <x v="6"/>
    <x v="11"/>
    <x v="350"/>
    <n v="1475.76"/>
    <n v="-44.182985074626863"/>
    <x v="360"/>
    <n v="1519.9429850746269"/>
  </r>
  <r>
    <x v="361"/>
    <x v="33"/>
    <s v="2025-12-22"/>
    <s v="Deposit"/>
    <x v="4"/>
    <x v="19"/>
    <x v="351"/>
    <n v="497.8"/>
    <n v="95.84"/>
    <x v="361"/>
    <n v="401.96000000000004"/>
  </r>
  <r>
    <x v="362"/>
    <x v="73"/>
    <s v="2025-02-05"/>
    <s v="Deposit"/>
    <x v="2"/>
    <x v="13"/>
    <x v="352"/>
    <n v="354.1"/>
    <n v="52.22"/>
    <x v="362"/>
    <n v="301.88"/>
  </r>
  <r>
    <x v="363"/>
    <x v="51"/>
    <s v="2025-02-06"/>
    <s v="Deposit"/>
    <x v="5"/>
    <x v="17"/>
    <x v="353"/>
    <n v="660.01"/>
    <n v="108.63"/>
    <x v="363"/>
    <n v="551.38"/>
  </r>
  <r>
    <x v="364"/>
    <x v="122"/>
    <s v="2025-10-16"/>
    <s v="Withdrawal"/>
    <x v="2"/>
    <x v="13"/>
    <x v="354"/>
    <n v="320.83999999999997"/>
    <n v="-48.13"/>
    <x v="364"/>
    <n v="368.96999999999997"/>
  </r>
  <r>
    <x v="365"/>
    <x v="100"/>
    <s v="2025-01-26"/>
    <s v="Deposit"/>
    <x v="2"/>
    <x v="4"/>
    <x v="355"/>
    <n v="1551.28"/>
    <n v="400.6"/>
    <x v="365"/>
    <n v="1150.6799999999998"/>
  </r>
  <r>
    <x v="366"/>
    <x v="19"/>
    <s v="2025-06-30"/>
    <s v="Withdrawal"/>
    <x v="4"/>
    <x v="19"/>
    <x v="356"/>
    <n v="1254.9000000000001"/>
    <n v="-188.24"/>
    <x v="366"/>
    <n v="1443.14"/>
  </r>
  <r>
    <x v="367"/>
    <x v="57"/>
    <s v="2025-02-01"/>
    <s v="Deposit"/>
    <x v="2"/>
    <x v="2"/>
    <x v="357"/>
    <n v="803.72"/>
    <n v="227.72"/>
    <x v="367"/>
    <n v="576"/>
  </r>
  <r>
    <x v="368"/>
    <x v="9"/>
    <s v="2025-04-19"/>
    <s v="Withdrawal"/>
    <x v="5"/>
    <x v="10"/>
    <x v="358"/>
    <n v="413.93"/>
    <n v="-62.09"/>
    <x v="368"/>
    <n v="476.02"/>
  </r>
  <r>
    <x v="369"/>
    <x v="93"/>
    <s v="2025-08-11"/>
    <s v="Withdrawal"/>
    <x v="1"/>
    <x v="14"/>
    <x v="359"/>
    <n v="397.81"/>
    <n v="-59.67"/>
    <x v="369"/>
    <n v="457.48"/>
  </r>
  <r>
    <x v="370"/>
    <x v="14"/>
    <s v="2025-12-04"/>
    <s v="Withdrawal"/>
    <x v="5"/>
    <x v="17"/>
    <x v="360"/>
    <n v="1056.6300000000001"/>
    <n v="-158.49"/>
    <x v="370"/>
    <n v="1215.1200000000001"/>
  </r>
  <r>
    <x v="371"/>
    <x v="34"/>
    <s v="2025-01-24"/>
    <s v="Withdrawal"/>
    <x v="3"/>
    <x v="3"/>
    <x v="361"/>
    <n v="9578.01"/>
    <n v="-1436.7"/>
    <x v="371"/>
    <n v="11014.710000000001"/>
  </r>
  <r>
    <x v="372"/>
    <x v="60"/>
    <s v="2025-06-21"/>
    <s v="Withdrawal"/>
    <x v="5"/>
    <x v="10"/>
    <x v="362"/>
    <n v="1394.12"/>
    <n v="-209.12"/>
    <x v="372"/>
    <n v="1603.2399999999998"/>
  </r>
  <r>
    <x v="373"/>
    <x v="114"/>
    <s v="2025-05-11"/>
    <s v="Deposit"/>
    <x v="0"/>
    <x v="20"/>
    <x v="363"/>
    <n v="797.23"/>
    <n v="212.42"/>
    <x v="373"/>
    <n v="584.81000000000006"/>
  </r>
  <r>
    <x v="374"/>
    <x v="53"/>
    <s v="2025-02-23"/>
    <s v="Deposit"/>
    <x v="0"/>
    <x v="0"/>
    <x v="364"/>
    <n v="63.83"/>
    <n v="8.75"/>
    <x v="374"/>
    <n v="55.08"/>
  </r>
  <r>
    <x v="375"/>
    <x v="127"/>
    <s v="2025-04-11"/>
    <s v="Withdrawal"/>
    <x v="1"/>
    <x v="14"/>
    <x v="365"/>
    <n v="936.52"/>
    <n v="-140.47999999999999"/>
    <x v="375"/>
    <n v="1077"/>
  </r>
  <r>
    <x v="376"/>
    <x v="50"/>
    <s v="2025-07-05"/>
    <s v="Withdrawal"/>
    <x v="4"/>
    <x v="5"/>
    <x v="366"/>
    <n v="744.31"/>
    <n v="-111.65"/>
    <x v="376"/>
    <n v="855.95999999999992"/>
  </r>
  <r>
    <x v="377"/>
    <x v="132"/>
    <s v="2025-07-16"/>
    <s v="Withdrawal"/>
    <x v="1"/>
    <x v="15"/>
    <x v="367"/>
    <n v="1025.78"/>
    <n v="-153.87"/>
    <x v="377"/>
    <n v="1179.6500000000001"/>
  </r>
  <r>
    <x v="378"/>
    <x v="63"/>
    <s v="2025-08-13"/>
    <s v="Withdrawal"/>
    <x v="6"/>
    <x v="11"/>
    <x v="30"/>
    <n v="139.13999999999999"/>
    <n v="-20.87"/>
    <x v="378"/>
    <n v="160.01"/>
  </r>
  <r>
    <x v="379"/>
    <x v="16"/>
    <s v="2025-12-16"/>
    <s v="Deposit"/>
    <x v="5"/>
    <x v="10"/>
    <x v="368"/>
    <n v="1308.1300000000001"/>
    <n v="233.93"/>
    <x v="379"/>
    <n v="1074.2"/>
  </r>
  <r>
    <x v="380"/>
    <x v="108"/>
    <s v="2025-11-20"/>
    <s v="Withdrawal"/>
    <x v="0"/>
    <x v="18"/>
    <x v="369"/>
    <n v="485.3"/>
    <n v="-72.8"/>
    <x v="380"/>
    <n v="558.1"/>
  </r>
  <r>
    <x v="381"/>
    <x v="84"/>
    <s v="CORRUPT_DATE_FLAG"/>
    <s v="Withdrawal"/>
    <x v="2"/>
    <x v="4"/>
    <x v="370"/>
    <n v="518.83000000000004"/>
    <n v="-77.819999999999993"/>
    <x v="381"/>
    <n v="596.65000000000009"/>
  </r>
  <r>
    <x v="382"/>
    <x v="92"/>
    <s v="2025-10-24"/>
    <s v="Deposit"/>
    <x v="6"/>
    <x v="16"/>
    <x v="371"/>
    <n v="1391.58"/>
    <n v="396.14"/>
    <x v="382"/>
    <n v="995.43999999999994"/>
  </r>
  <r>
    <x v="383"/>
    <x v="71"/>
    <s v="2025-08-29"/>
    <s v="Deposit"/>
    <x v="5"/>
    <x v="17"/>
    <x v="372"/>
    <n v="1300.9100000000001"/>
    <n v="260.02"/>
    <x v="383"/>
    <n v="1040.8900000000001"/>
  </r>
  <r>
    <x v="384"/>
    <x v="133"/>
    <s v="2025-02-11"/>
    <s v="Withdrawal"/>
    <x v="3"/>
    <x v="3"/>
    <x v="373"/>
    <n v="8490.7800000000007"/>
    <n v="-1273.6199999999999"/>
    <x v="384"/>
    <n v="9764.4000000000015"/>
  </r>
  <r>
    <x v="385"/>
    <x v="112"/>
    <s v="2025-08-15"/>
    <s v="Deposit"/>
    <x v="5"/>
    <x v="17"/>
    <x v="374"/>
    <n v="1337.11"/>
    <n v="321.64999999999998"/>
    <x v="385"/>
    <n v="1015.4599999999999"/>
  </r>
  <r>
    <x v="386"/>
    <x v="68"/>
    <s v="2025-06-17"/>
    <s v="Deposit"/>
    <x v="0"/>
    <x v="18"/>
    <x v="375"/>
    <n v="847.12"/>
    <n v="216.67"/>
    <x v="386"/>
    <n v="630.45000000000005"/>
  </r>
  <r>
    <x v="387"/>
    <x v="9"/>
    <s v="2025-01-13"/>
    <s v="Withdrawal"/>
    <x v="5"/>
    <x v="6"/>
    <x v="376"/>
    <n v="845.36"/>
    <n v="-126.8"/>
    <x v="387"/>
    <n v="972.16"/>
  </r>
  <r>
    <x v="388"/>
    <x v="85"/>
    <s v="2025-06-20"/>
    <s v="Withdrawal"/>
    <x v="4"/>
    <x v="5"/>
    <x v="377"/>
    <n v="1254.07"/>
    <n v="-188.11"/>
    <x v="388"/>
    <n v="1442.1799999999998"/>
  </r>
  <r>
    <x v="389"/>
    <x v="61"/>
    <s v="2025-02-14"/>
    <s v="Deposit"/>
    <x v="1"/>
    <x v="15"/>
    <x v="378"/>
    <n v="1083.56"/>
    <n v="297.61"/>
    <x v="389"/>
    <n v="785.94999999999993"/>
  </r>
  <r>
    <x v="390"/>
    <x v="114"/>
    <s v="2025-08-18"/>
    <s v="Withdrawal"/>
    <x v="4"/>
    <x v="5"/>
    <x v="379"/>
    <n v="1274.74"/>
    <n v="-191.21"/>
    <x v="390"/>
    <n v="1465.95"/>
  </r>
  <r>
    <x v="391"/>
    <x v="21"/>
    <s v="2025-11-09"/>
    <s v="Deposit"/>
    <x v="6"/>
    <x v="11"/>
    <x v="380"/>
    <n v="147"/>
    <n v="32.1"/>
    <x v="391"/>
    <n v="114.9"/>
  </r>
  <r>
    <x v="392"/>
    <x v="38"/>
    <s v="2025-06-08"/>
    <s v="Withdrawal"/>
    <x v="5"/>
    <x v="6"/>
    <x v="381"/>
    <n v="47.94"/>
    <n v="-7.19"/>
    <x v="392"/>
    <n v="55.129999999999995"/>
  </r>
  <r>
    <x v="393"/>
    <x v="97"/>
    <s v="2025-10-30"/>
    <s v="Withdrawal"/>
    <x v="0"/>
    <x v="18"/>
    <x v="382"/>
    <n v="1165.0899999999999"/>
    <n v="-174.76"/>
    <x v="393"/>
    <n v="1339.85"/>
  </r>
  <r>
    <x v="394"/>
    <x v="125"/>
    <s v="2025-03-21"/>
    <s v="Deposit"/>
    <x v="3"/>
    <x v="7"/>
    <x v="383"/>
    <n v="10020.31"/>
    <n v="1689.14"/>
    <x v="394"/>
    <n v="8331.17"/>
  </r>
  <r>
    <x v="395"/>
    <x v="129"/>
    <s v="2025-08-29"/>
    <s v="Withdrawal"/>
    <x v="6"/>
    <x v="16"/>
    <x v="384"/>
    <n v="479.33"/>
    <n v="-71.900000000000006"/>
    <x v="395"/>
    <n v="551.23"/>
  </r>
  <r>
    <x v="396"/>
    <x v="74"/>
    <s v="2025-09-27"/>
    <s v="Withdrawal"/>
    <x v="6"/>
    <x v="16"/>
    <x v="385"/>
    <n v="490.59"/>
    <n v="-73.59"/>
    <x v="396"/>
    <n v="564.17999999999995"/>
  </r>
  <r>
    <x v="397"/>
    <x v="7"/>
    <s v="2025-07-01"/>
    <s v="Deposit"/>
    <x v="5"/>
    <x v="6"/>
    <x v="386"/>
    <n v="501.37"/>
    <n v="108.07"/>
    <x v="397"/>
    <n v="393.3"/>
  </r>
  <r>
    <x v="398"/>
    <x v="60"/>
    <s v="2025-12-18"/>
    <s v="Deposit"/>
    <x v="5"/>
    <x v="17"/>
    <x v="387"/>
    <n v="408.01"/>
    <n v="110.2"/>
    <x v="398"/>
    <n v="297.81"/>
  </r>
  <r>
    <x v="399"/>
    <x v="134"/>
    <s v="2025-01-16"/>
    <s v="Withdrawal"/>
    <x v="3"/>
    <x v="7"/>
    <x v="388"/>
    <n v="10044.049999999999"/>
    <n v="-1506.61"/>
    <x v="399"/>
    <n v="11550.66"/>
  </r>
  <r>
    <x v="400"/>
    <x v="77"/>
    <s v="2025-12-26"/>
    <s v="Deposit"/>
    <x v="6"/>
    <x v="11"/>
    <x v="389"/>
    <n v="1530.59"/>
    <n v="-44.182985074626863"/>
    <x v="400"/>
    <n v="1574.7729850746268"/>
  </r>
  <r>
    <x v="401"/>
    <x v="113"/>
    <s v="2025-04-21"/>
    <s v="Deposit"/>
    <x v="0"/>
    <x v="18"/>
    <x v="390"/>
    <n v="1122.9000000000001"/>
    <n v="247.97"/>
    <x v="401"/>
    <n v="874.93000000000006"/>
  </r>
  <r>
    <x v="402"/>
    <x v="16"/>
    <s v="2025-04-28"/>
    <s v="Withdrawal"/>
    <x v="3"/>
    <x v="3"/>
    <x v="391"/>
    <n v="11401.85"/>
    <n v="-1710.28"/>
    <x v="402"/>
    <n v="13112.130000000001"/>
  </r>
  <r>
    <x v="403"/>
    <x v="12"/>
    <s v="2025-09-14"/>
    <s v="Deposit"/>
    <x v="5"/>
    <x v="6"/>
    <x v="392"/>
    <n v="887.41"/>
    <n v="174.05"/>
    <x v="403"/>
    <n v="713.3599999999999"/>
  </r>
  <r>
    <x v="404"/>
    <x v="7"/>
    <s v="2025-07-26"/>
    <s v="Withdrawal"/>
    <x v="6"/>
    <x v="16"/>
    <x v="393"/>
    <n v="1242.44"/>
    <n v="-186.37"/>
    <x v="404"/>
    <n v="1428.81"/>
  </r>
  <r>
    <x v="405"/>
    <x v="5"/>
    <s v="2025-05-05"/>
    <s v="Withdrawal"/>
    <x v="2"/>
    <x v="13"/>
    <x v="394"/>
    <n v="1342.67"/>
    <n v="-201.4"/>
    <x v="405"/>
    <n v="1544.0700000000002"/>
  </r>
  <r>
    <x v="406"/>
    <x v="67"/>
    <s v="CORRUPT_DATE_FLAG"/>
    <s v="Deposit"/>
    <x v="1"/>
    <x v="15"/>
    <x v="395"/>
    <n v="1420.2638235294123"/>
    <n v="233.27"/>
    <x v="406"/>
    <n v="1186.9938235294123"/>
  </r>
  <r>
    <x v="407"/>
    <x v="78"/>
    <s v="2025-12-16"/>
    <s v="Withdrawal"/>
    <x v="3"/>
    <x v="8"/>
    <x v="396"/>
    <n v="6209.83"/>
    <n v="-931.47"/>
    <x v="407"/>
    <n v="7141.3"/>
  </r>
  <r>
    <x v="408"/>
    <x v="21"/>
    <s v="2025-04-15"/>
    <s v="Withdrawal"/>
    <x v="3"/>
    <x v="3"/>
    <x v="397"/>
    <n v="11794.27"/>
    <n v="-1769.14"/>
    <x v="408"/>
    <n v="13563.41"/>
  </r>
  <r>
    <x v="409"/>
    <x v="125"/>
    <s v="2025-08-23"/>
    <s v="Withdrawal"/>
    <x v="5"/>
    <x v="10"/>
    <x v="398"/>
    <n v="1447.82"/>
    <n v="-217.17"/>
    <x v="409"/>
    <n v="1664.99"/>
  </r>
  <r>
    <x v="410"/>
    <x v="12"/>
    <s v="2025-08-03"/>
    <s v="Withdrawal"/>
    <x v="1"/>
    <x v="14"/>
    <x v="399"/>
    <n v="1120.8399999999999"/>
    <n v="-168.13"/>
    <x v="410"/>
    <n v="1288.9699999999998"/>
  </r>
  <r>
    <x v="411"/>
    <x v="28"/>
    <s v="2025-09-29"/>
    <s v="Withdrawal"/>
    <x v="5"/>
    <x v="6"/>
    <x v="400"/>
    <n v="1252.71"/>
    <n v="-187.91"/>
    <x v="411"/>
    <n v="1440.6200000000001"/>
  </r>
  <r>
    <x v="412"/>
    <x v="11"/>
    <s v="2025-11-08"/>
    <s v="Withdrawal"/>
    <x v="5"/>
    <x v="10"/>
    <x v="401"/>
    <n v="522.01"/>
    <n v="-78.3"/>
    <x v="412"/>
    <n v="600.30999999999995"/>
  </r>
  <r>
    <x v="413"/>
    <x v="133"/>
    <s v="2025-02-15"/>
    <s v="Withdrawal"/>
    <x v="6"/>
    <x v="11"/>
    <x v="402"/>
    <n v="886.25"/>
    <n v="-132.94"/>
    <x v="413"/>
    <n v="1019.19"/>
  </r>
  <r>
    <x v="414"/>
    <x v="96"/>
    <s v="02/04/2025"/>
    <s v="Deposit"/>
    <x v="4"/>
    <x v="9"/>
    <x v="403"/>
    <n v="823.43"/>
    <n v="176.47"/>
    <x v="414"/>
    <n v="646.95999999999992"/>
  </r>
  <r>
    <x v="415"/>
    <x v="130"/>
    <s v="08/11/2025"/>
    <s v="Deposit"/>
    <x v="1"/>
    <x v="15"/>
    <x v="404"/>
    <n v="662.32"/>
    <n v="178.96"/>
    <x v="415"/>
    <n v="483.36"/>
  </r>
  <r>
    <x v="416"/>
    <x v="120"/>
    <s v="2025-04-30"/>
    <s v="Withdrawal"/>
    <x v="4"/>
    <x v="19"/>
    <x v="405"/>
    <n v="1288.8"/>
    <n v="-193.32"/>
    <x v="416"/>
    <n v="1482.12"/>
  </r>
  <r>
    <x v="417"/>
    <x v="68"/>
    <s v="2025-01-19"/>
    <s v="Withdrawal"/>
    <x v="6"/>
    <x v="11"/>
    <x v="406"/>
    <n v="328.04"/>
    <n v="-49.21"/>
    <x v="417"/>
    <n v="377.25"/>
  </r>
  <r>
    <x v="418"/>
    <x v="135"/>
    <s v="2025-01-15"/>
    <s v="Deposit"/>
    <x v="3"/>
    <x v="8"/>
    <x v="407"/>
    <n v="8341.91"/>
    <n v="1412.57"/>
    <x v="418"/>
    <n v="6929.34"/>
  </r>
  <r>
    <x v="419"/>
    <x v="10"/>
    <s v="24/02/2025"/>
    <s v="Withdrawal"/>
    <x v="0"/>
    <x v="20"/>
    <x v="30"/>
    <n v="123.96"/>
    <n v="-18.59"/>
    <x v="419"/>
    <n v="142.54999999999998"/>
  </r>
  <r>
    <x v="420"/>
    <x v="30"/>
    <s v="2025-08-10"/>
    <s v="Withdrawal"/>
    <x v="4"/>
    <x v="9"/>
    <x v="408"/>
    <n v="248.61"/>
    <n v="-37.29"/>
    <x v="420"/>
    <n v="285.90000000000003"/>
  </r>
  <r>
    <x v="421"/>
    <x v="136"/>
    <s v="2025-12-04"/>
    <s v="Withdrawal"/>
    <x v="1"/>
    <x v="1"/>
    <x v="409"/>
    <n v="1393.92"/>
    <n v="-44.182985074626863"/>
    <x v="421"/>
    <n v="1438.102985074627"/>
  </r>
  <r>
    <x v="422"/>
    <x v="18"/>
    <s v="2025-04-08"/>
    <s v="Withdrawal"/>
    <x v="3"/>
    <x v="8"/>
    <x v="410"/>
    <n v="6527.76"/>
    <n v="-979.16"/>
    <x v="422"/>
    <n v="7506.92"/>
  </r>
  <r>
    <x v="423"/>
    <x v="6"/>
    <s v="2025-01-22"/>
    <s v="Deposit"/>
    <x v="4"/>
    <x v="5"/>
    <x v="411"/>
    <n v="803.84"/>
    <n v="125.97"/>
    <x v="423"/>
    <n v="677.87"/>
  </r>
  <r>
    <x v="424"/>
    <x v="79"/>
    <s v="2025-02-23"/>
    <s v="Deposit"/>
    <x v="5"/>
    <x v="6"/>
    <x v="412"/>
    <n v="673.18"/>
    <n v="135.61000000000001"/>
    <x v="424"/>
    <n v="537.56999999999994"/>
  </r>
  <r>
    <x v="425"/>
    <x v="74"/>
    <s v="2025-06-15"/>
    <s v="Withdrawal"/>
    <x v="6"/>
    <x v="11"/>
    <x v="413"/>
    <n v="618.27"/>
    <n v="-92.74"/>
    <x v="425"/>
    <n v="711.01"/>
  </r>
  <r>
    <x v="426"/>
    <x v="137"/>
    <s v="2025-09-04"/>
    <s v="Withdrawal"/>
    <x v="2"/>
    <x v="2"/>
    <x v="30"/>
    <n v="116.66"/>
    <n v="-17.5"/>
    <x v="426"/>
    <n v="134.16"/>
  </r>
  <r>
    <x v="427"/>
    <x v="21"/>
    <s v="2025-10-05"/>
    <s v="Withdrawal"/>
    <x v="2"/>
    <x v="4"/>
    <x v="414"/>
    <n v="1310.44"/>
    <n v="-196.57"/>
    <x v="427"/>
    <n v="1507.01"/>
  </r>
  <r>
    <x v="428"/>
    <x v="88"/>
    <s v="2025-12-29"/>
    <s v="Deposit"/>
    <x v="4"/>
    <x v="5"/>
    <x v="415"/>
    <n v="209.45"/>
    <n v="50.82"/>
    <x v="428"/>
    <n v="158.63"/>
  </r>
  <r>
    <x v="429"/>
    <x v="85"/>
    <s v="2025-08-15"/>
    <s v="Withdrawal"/>
    <x v="2"/>
    <x v="2"/>
    <x v="416"/>
    <n v="1406.03"/>
    <n v="-210.9"/>
    <x v="429"/>
    <n v="1616.93"/>
  </r>
  <r>
    <x v="430"/>
    <x v="102"/>
    <s v="2025-12-25"/>
    <s v="Withdrawal"/>
    <x v="1"/>
    <x v="15"/>
    <x v="417"/>
    <n v="641.22"/>
    <n v="-96.18"/>
    <x v="430"/>
    <n v="737.40000000000009"/>
  </r>
  <r>
    <x v="431"/>
    <x v="127"/>
    <s v="2025-03-10"/>
    <s v="Deposit"/>
    <x v="5"/>
    <x v="6"/>
    <x v="418"/>
    <n v="1014.08"/>
    <n v="165.84"/>
    <x v="431"/>
    <n v="848.24"/>
  </r>
  <r>
    <x v="432"/>
    <x v="130"/>
    <s v="09/03/2025"/>
    <s v="Withdrawal"/>
    <x v="4"/>
    <x v="9"/>
    <x v="419"/>
    <n v="1519.78"/>
    <n v="-227.97"/>
    <x v="432"/>
    <n v="1747.75"/>
  </r>
  <r>
    <x v="433"/>
    <x v="10"/>
    <s v="2025-09-23"/>
    <s v="Deposit"/>
    <x v="4"/>
    <x v="5"/>
    <x v="420"/>
    <n v="1110.6400000000001"/>
    <n v="165.66"/>
    <x v="433"/>
    <n v="944.98000000000013"/>
  </r>
  <r>
    <x v="434"/>
    <x v="23"/>
    <s v="2025-09-24"/>
    <s v="Withdrawal"/>
    <x v="1"/>
    <x v="15"/>
    <x v="421"/>
    <n v="1426.12"/>
    <n v="-213.92"/>
    <x v="434"/>
    <n v="1640.04"/>
  </r>
  <r>
    <x v="435"/>
    <x v="30"/>
    <s v="2025-01-06"/>
    <s v="Deposit"/>
    <x v="3"/>
    <x v="7"/>
    <x v="422"/>
    <n v="12523.95"/>
    <n v="3557.14"/>
    <x v="435"/>
    <n v="8966.8100000000013"/>
  </r>
  <r>
    <x v="436"/>
    <x v="29"/>
    <s v="2025-01-04"/>
    <s v="Deposit"/>
    <x v="6"/>
    <x v="16"/>
    <x v="423"/>
    <n v="748.58"/>
    <n v="136.38999999999999"/>
    <x v="436"/>
    <n v="612.19000000000005"/>
  </r>
  <r>
    <x v="437"/>
    <x v="41"/>
    <s v="2025-07-14"/>
    <s v="Deposit"/>
    <x v="0"/>
    <x v="18"/>
    <x v="424"/>
    <n v="165.29"/>
    <n v="38.65"/>
    <x v="437"/>
    <n v="126.63999999999999"/>
  </r>
  <r>
    <x v="438"/>
    <x v="89"/>
    <s v="28/11/2025"/>
    <s v="Deposit"/>
    <x v="1"/>
    <x v="15"/>
    <x v="425"/>
    <n v="977.71"/>
    <n v="201.79"/>
    <x v="438"/>
    <n v="775.92000000000007"/>
  </r>
  <r>
    <x v="439"/>
    <x v="138"/>
    <s v="2025-08-16"/>
    <s v="Withdrawal"/>
    <x v="0"/>
    <x v="18"/>
    <x v="426"/>
    <n v="203.76"/>
    <n v="-30.56"/>
    <x v="439"/>
    <n v="234.32"/>
  </r>
  <r>
    <x v="440"/>
    <x v="58"/>
    <s v="2025-09-29"/>
    <s v="Withdrawal"/>
    <x v="1"/>
    <x v="14"/>
    <x v="427"/>
    <n v="1126.07"/>
    <n v="-168.91"/>
    <x v="440"/>
    <n v="1294.98"/>
  </r>
  <r>
    <x v="441"/>
    <x v="31"/>
    <s v="2025-11-16"/>
    <s v="Deposit"/>
    <x v="4"/>
    <x v="19"/>
    <x v="428"/>
    <n v="1209.8900000000001"/>
    <n v="287.2"/>
    <x v="441"/>
    <n v="922.69"/>
  </r>
  <r>
    <x v="442"/>
    <x v="62"/>
    <s v="29/11/2025"/>
    <s v="Deposit"/>
    <x v="4"/>
    <x v="19"/>
    <x v="429"/>
    <n v="1243.46"/>
    <n v="185.35"/>
    <x v="442"/>
    <n v="1058.1100000000001"/>
  </r>
  <r>
    <x v="443"/>
    <x v="77"/>
    <s v="2025-11-19"/>
    <s v="Deposit"/>
    <x v="0"/>
    <x v="0"/>
    <x v="430"/>
    <n v="1202.2"/>
    <n v="-44.182985074626863"/>
    <x v="443"/>
    <n v="1246.382985074627"/>
  </r>
  <r>
    <x v="444"/>
    <x v="49"/>
    <s v="2025-11-04"/>
    <s v="Deposit"/>
    <x v="6"/>
    <x v="12"/>
    <x v="431"/>
    <n v="1068.23"/>
    <n v="158.72"/>
    <x v="444"/>
    <n v="909.51"/>
  </r>
  <r>
    <x v="445"/>
    <x v="101"/>
    <s v="07/03/2025"/>
    <s v="Withdrawal"/>
    <x v="5"/>
    <x v="17"/>
    <x v="432"/>
    <n v="801"/>
    <n v="-120.15"/>
    <x v="445"/>
    <n v="921.15"/>
  </r>
  <r>
    <x v="446"/>
    <x v="107"/>
    <s v="2026-01-01"/>
    <s v="Withdrawal"/>
    <x v="1"/>
    <x v="14"/>
    <x v="433"/>
    <n v="577.21"/>
    <n v="-86.58"/>
    <x v="446"/>
    <n v="663.79000000000008"/>
  </r>
  <r>
    <x v="447"/>
    <x v="24"/>
    <s v="2025-09-05"/>
    <s v="Withdrawal"/>
    <x v="5"/>
    <x v="10"/>
    <x v="434"/>
    <n v="489.97"/>
    <n v="-73.5"/>
    <x v="447"/>
    <n v="563.47"/>
  </r>
  <r>
    <x v="448"/>
    <x v="89"/>
    <s v="2025-09-20"/>
    <s v="Deposit"/>
    <x v="3"/>
    <x v="3"/>
    <x v="435"/>
    <n v="9019.99"/>
    <n v="1915.07"/>
    <x v="448"/>
    <n v="7104.92"/>
  </r>
  <r>
    <x v="449"/>
    <x v="41"/>
    <s v="2025-09-14"/>
    <s v="Withdrawal"/>
    <x v="3"/>
    <x v="3"/>
    <x v="436"/>
    <n v="8383.2900000000009"/>
    <n v="-1257.49"/>
    <x v="449"/>
    <n v="9640.7800000000007"/>
  </r>
  <r>
    <x v="450"/>
    <x v="130"/>
    <s v="2025-06-01"/>
    <s v="Withdrawal"/>
    <x v="4"/>
    <x v="19"/>
    <x v="437"/>
    <n v="366.6"/>
    <n v="-54.99"/>
    <x v="450"/>
    <n v="421.59000000000003"/>
  </r>
  <r>
    <x v="451"/>
    <x v="91"/>
    <s v="2025-06-04"/>
    <s v="Deposit"/>
    <x v="1"/>
    <x v="14"/>
    <x v="438"/>
    <n v="1112.1500000000001"/>
    <n v="284.89"/>
    <x v="451"/>
    <n v="827.2600000000001"/>
  </r>
  <r>
    <x v="452"/>
    <x v="74"/>
    <s v="2025-02-02"/>
    <s v="Deposit"/>
    <x v="6"/>
    <x v="11"/>
    <x v="439"/>
    <n v="60"/>
    <n v="14.28"/>
    <x v="452"/>
    <n v="45.72"/>
  </r>
  <r>
    <x v="453"/>
    <x v="15"/>
    <s v="2025-07-01"/>
    <s v="Deposit"/>
    <x v="4"/>
    <x v="5"/>
    <x v="440"/>
    <n v="687.32"/>
    <n v="131.06"/>
    <x v="453"/>
    <n v="556.26"/>
  </r>
  <r>
    <x v="454"/>
    <x v="132"/>
    <s v="2025-08-10"/>
    <s v="Withdrawal"/>
    <x v="3"/>
    <x v="7"/>
    <x v="441"/>
    <n v="6778.73"/>
    <n v="-1016.81"/>
    <x v="454"/>
    <n v="7795.5399999999991"/>
  </r>
  <r>
    <x v="455"/>
    <x v="133"/>
    <s v="CORRUPT_DATE_FLAG"/>
    <s v="Deposit"/>
    <x v="1"/>
    <x v="1"/>
    <x v="442"/>
    <n v="62.46"/>
    <n v="12.07"/>
    <x v="455"/>
    <n v="50.39"/>
  </r>
  <r>
    <x v="456"/>
    <x v="125"/>
    <s v="2025-10-12"/>
    <s v="Deposit"/>
    <x v="0"/>
    <x v="20"/>
    <x v="443"/>
    <n v="1344.54"/>
    <n v="367.92"/>
    <x v="456"/>
    <n v="976.61999999999989"/>
  </r>
  <r>
    <x v="457"/>
    <x v="110"/>
    <s v="17/06/2025"/>
    <s v="Deposit"/>
    <x v="3"/>
    <x v="7"/>
    <x v="444"/>
    <n v="10413.450000000001"/>
    <n v="1399.48"/>
    <x v="457"/>
    <n v="9013.9700000000012"/>
  </r>
  <r>
    <x v="458"/>
    <x v="57"/>
    <s v="2025-11-28"/>
    <s v="Withdrawal"/>
    <x v="5"/>
    <x v="17"/>
    <x v="445"/>
    <n v="1129.1400000000001"/>
    <n v="-169.37"/>
    <x v="458"/>
    <n v="1298.5100000000002"/>
  </r>
  <r>
    <x v="459"/>
    <x v="89"/>
    <s v="2025-07-02"/>
    <s v="Deposit"/>
    <x v="6"/>
    <x v="11"/>
    <x v="446"/>
    <n v="982.24"/>
    <n v="187.06"/>
    <x v="459"/>
    <n v="795.18000000000006"/>
  </r>
  <r>
    <x v="460"/>
    <x v="41"/>
    <s v="21/12/2025"/>
    <s v="Withdrawal"/>
    <x v="3"/>
    <x v="8"/>
    <x v="447"/>
    <n v="10819.32"/>
    <n v="-1622.9"/>
    <x v="460"/>
    <n v="12442.22"/>
  </r>
  <r>
    <x v="461"/>
    <x v="119"/>
    <s v="2025-04-07"/>
    <s v="Withdrawal"/>
    <x v="6"/>
    <x v="16"/>
    <x v="448"/>
    <n v="1557.28"/>
    <n v="-233.59"/>
    <x v="461"/>
    <n v="1790.87"/>
  </r>
  <r>
    <x v="462"/>
    <x v="23"/>
    <s v="2025-10-04"/>
    <s v="Deposit"/>
    <x v="4"/>
    <x v="5"/>
    <x v="449"/>
    <n v="1179.78"/>
    <n v="224.79"/>
    <x v="462"/>
    <n v="954.99"/>
  </r>
  <r>
    <x v="463"/>
    <x v="119"/>
    <s v="2025-10-26"/>
    <s v="Deposit"/>
    <x v="2"/>
    <x v="13"/>
    <x v="30"/>
    <n v="132.15"/>
    <n v="32.15"/>
    <x v="463"/>
    <n v="100"/>
  </r>
  <r>
    <x v="464"/>
    <x v="139"/>
    <s v="2025-08-16"/>
    <s v="Withdrawal"/>
    <x v="1"/>
    <x v="14"/>
    <x v="450"/>
    <n v="941.87"/>
    <n v="-141.28"/>
    <x v="464"/>
    <n v="1083.1500000000001"/>
  </r>
  <r>
    <x v="465"/>
    <x v="128"/>
    <s v="2025-04-07"/>
    <s v="Deposit"/>
    <x v="4"/>
    <x v="9"/>
    <x v="451"/>
    <n v="1459.28"/>
    <n v="395.12"/>
    <x v="465"/>
    <n v="1064.1599999999999"/>
  </r>
  <r>
    <x v="466"/>
    <x v="62"/>
    <s v="2025-01-07"/>
    <s v="Withdrawal"/>
    <x v="2"/>
    <x v="4"/>
    <x v="452"/>
    <n v="1319.45"/>
    <n v="-197.92"/>
    <x v="466"/>
    <n v="1517.3700000000001"/>
  </r>
  <r>
    <x v="467"/>
    <x v="139"/>
    <s v="2025-06-03"/>
    <s v="Deposit"/>
    <x v="6"/>
    <x v="11"/>
    <x v="453"/>
    <n v="679.2"/>
    <n v="113.88"/>
    <x v="467"/>
    <n v="565.32000000000005"/>
  </r>
  <r>
    <x v="468"/>
    <x v="117"/>
    <s v="2025-06-14"/>
    <s v="Deposit"/>
    <x v="5"/>
    <x v="10"/>
    <x v="454"/>
    <n v="250.22"/>
    <n v="68.73"/>
    <x v="468"/>
    <n v="181.49"/>
  </r>
  <r>
    <x v="469"/>
    <x v="127"/>
    <s v="2025-02-11"/>
    <s v="Withdrawal"/>
    <x v="2"/>
    <x v="4"/>
    <x v="455"/>
    <n v="863.55"/>
    <n v="-129.53"/>
    <x v="469"/>
    <n v="993.07999999999993"/>
  </r>
  <r>
    <x v="470"/>
    <x v="103"/>
    <s v="2025-02-12"/>
    <s v="Withdrawal"/>
    <x v="3"/>
    <x v="3"/>
    <x v="456"/>
    <n v="6627.52"/>
    <n v="-994.13"/>
    <x v="470"/>
    <n v="7621.6500000000005"/>
  </r>
  <r>
    <x v="471"/>
    <x v="21"/>
    <s v="2025-11-12"/>
    <s v="Deposit"/>
    <x v="0"/>
    <x v="18"/>
    <x v="457"/>
    <n v="869.03"/>
    <n v="204.31"/>
    <x v="471"/>
    <n v="664.72"/>
  </r>
  <r>
    <x v="472"/>
    <x v="93"/>
    <s v="2025-04-24"/>
    <s v="Deposit"/>
    <x v="2"/>
    <x v="4"/>
    <x v="458"/>
    <n v="1228.8599999999999"/>
    <n v="259.76"/>
    <x v="472"/>
    <n v="969.09999999999991"/>
  </r>
  <r>
    <x v="473"/>
    <x v="59"/>
    <s v="2025-10-06"/>
    <s v="Withdrawal"/>
    <x v="1"/>
    <x v="15"/>
    <x v="459"/>
    <n v="1071.27"/>
    <n v="-160.69"/>
    <x v="473"/>
    <n v="1231.96"/>
  </r>
  <r>
    <x v="474"/>
    <x v="48"/>
    <s v="CORRUPT_DATE_FLAG"/>
    <s v="Withdrawal"/>
    <x v="4"/>
    <x v="9"/>
    <x v="460"/>
    <n v="621.05999999999995"/>
    <n v="-93.16"/>
    <x v="474"/>
    <n v="714.21999999999991"/>
  </r>
  <r>
    <x v="475"/>
    <x v="115"/>
    <s v="2025-04-17"/>
    <s v="Deposit"/>
    <x v="5"/>
    <x v="17"/>
    <x v="461"/>
    <n v="322.75"/>
    <n v="75.31"/>
    <x v="475"/>
    <n v="247.44"/>
  </r>
  <r>
    <x v="476"/>
    <x v="77"/>
    <s v="2025-02-22"/>
    <s v="Withdrawal"/>
    <x v="6"/>
    <x v="11"/>
    <x v="462"/>
    <n v="830.56"/>
    <n v="-124.58"/>
    <x v="476"/>
    <n v="955.14"/>
  </r>
  <r>
    <x v="477"/>
    <x v="21"/>
    <s v="2025-05-21"/>
    <s v="Deposit"/>
    <x v="0"/>
    <x v="18"/>
    <x v="463"/>
    <n v="1188.74"/>
    <n v="204.39"/>
    <x v="477"/>
    <n v="984.35"/>
  </r>
  <r>
    <x v="478"/>
    <x v="17"/>
    <s v="2025-01-29"/>
    <s v="Deposit"/>
    <x v="6"/>
    <x v="11"/>
    <x v="464"/>
    <n v="1053.6300000000001"/>
    <n v="209.05"/>
    <x v="478"/>
    <n v="844.58000000000015"/>
  </r>
  <r>
    <x v="479"/>
    <x v="140"/>
    <s v="2025-12-17"/>
    <s v="Deposit"/>
    <x v="0"/>
    <x v="0"/>
    <x v="465"/>
    <n v="1388"/>
    <n v="323.85000000000002"/>
    <x v="479"/>
    <n v="1064.1500000000001"/>
  </r>
  <r>
    <x v="480"/>
    <x v="42"/>
    <s v="2025-07-02"/>
    <s v="Withdrawal"/>
    <x v="6"/>
    <x v="12"/>
    <x v="466"/>
    <n v="335.24"/>
    <n v="-50.29"/>
    <x v="480"/>
    <n v="385.53000000000003"/>
  </r>
  <r>
    <x v="481"/>
    <x v="25"/>
    <s v="2025-09-27"/>
    <s v="Deposit"/>
    <x v="3"/>
    <x v="8"/>
    <x v="467"/>
    <n v="6850.23"/>
    <n v="949.81"/>
    <x v="481"/>
    <n v="5900.42"/>
  </r>
  <r>
    <x v="482"/>
    <x v="109"/>
    <s v="2025-04-06"/>
    <s v="Withdrawal"/>
    <x v="1"/>
    <x v="14"/>
    <x v="468"/>
    <n v="1197.47"/>
    <n v="-179.62"/>
    <x v="482"/>
    <n v="1377.0900000000001"/>
  </r>
  <r>
    <x v="483"/>
    <x v="50"/>
    <s v="2025-04-15"/>
    <s v="Deposit"/>
    <x v="1"/>
    <x v="14"/>
    <x v="469"/>
    <n v="161.29"/>
    <n v="37.25"/>
    <x v="483"/>
    <n v="124.03999999999999"/>
  </r>
  <r>
    <x v="484"/>
    <x v="1"/>
    <s v="2025-01-05"/>
    <s v="Deposit"/>
    <x v="3"/>
    <x v="8"/>
    <x v="470"/>
    <n v="6918.31"/>
    <n v="1197.6600000000001"/>
    <x v="484"/>
    <n v="5720.6500000000005"/>
  </r>
  <r>
    <x v="485"/>
    <x v="131"/>
    <s v="2025-04-28"/>
    <s v="Deposit"/>
    <x v="2"/>
    <x v="13"/>
    <x v="471"/>
    <n v="101.15"/>
    <n v="25.94"/>
    <x v="485"/>
    <n v="75.210000000000008"/>
  </r>
  <r>
    <x v="486"/>
    <x v="141"/>
    <s v="2025-09-12"/>
    <s v="Withdrawal"/>
    <x v="3"/>
    <x v="7"/>
    <x v="472"/>
    <n v="6989.73"/>
    <n v="-1048.46"/>
    <x v="486"/>
    <n v="8038.19"/>
  </r>
  <r>
    <x v="487"/>
    <x v="64"/>
    <s v="21/04/2025"/>
    <s v="Deposit"/>
    <x v="5"/>
    <x v="10"/>
    <x v="129"/>
    <n v="723.62"/>
    <n v="126.58"/>
    <x v="487"/>
    <n v="597.04"/>
  </r>
  <r>
    <x v="488"/>
    <x v="130"/>
    <s v="2025-06-14"/>
    <s v="Withdrawal"/>
    <x v="4"/>
    <x v="5"/>
    <x v="473"/>
    <n v="938.91"/>
    <n v="-140.84"/>
    <x v="488"/>
    <n v="1079.75"/>
  </r>
  <r>
    <x v="489"/>
    <x v="92"/>
    <s v="2025-12-28"/>
    <s v="Withdrawal"/>
    <x v="1"/>
    <x v="14"/>
    <x v="474"/>
    <n v="152.13"/>
    <n v="-22.82"/>
    <x v="489"/>
    <n v="174.95"/>
  </r>
  <r>
    <x v="490"/>
    <x v="50"/>
    <s v="2025-07-31"/>
    <s v="Withdrawal"/>
    <x v="6"/>
    <x v="11"/>
    <x v="475"/>
    <n v="740.43"/>
    <n v="-111.06"/>
    <x v="490"/>
    <n v="851.49"/>
  </r>
  <r>
    <x v="491"/>
    <x v="73"/>
    <s v="2025-04-23"/>
    <s v="Deposit"/>
    <x v="0"/>
    <x v="0"/>
    <x v="476"/>
    <n v="1378.82"/>
    <n v="183.44"/>
    <x v="491"/>
    <n v="1195.3799999999999"/>
  </r>
  <r>
    <x v="492"/>
    <x v="65"/>
    <s v="2025-02-18"/>
    <s v="Deposit"/>
    <x v="1"/>
    <x v="14"/>
    <x v="477"/>
    <n v="384.64"/>
    <n v="90.45"/>
    <x v="492"/>
    <n v="294.19"/>
  </r>
  <r>
    <x v="493"/>
    <x v="27"/>
    <s v="2025-11-13"/>
    <s v="Withdrawal"/>
    <x v="5"/>
    <x v="17"/>
    <x v="478"/>
    <n v="761.74"/>
    <n v="-114.26"/>
    <x v="493"/>
    <n v="876"/>
  </r>
  <r>
    <x v="494"/>
    <x v="142"/>
    <s v="2025-10-21"/>
    <s v="Withdrawal"/>
    <x v="0"/>
    <x v="20"/>
    <x v="479"/>
    <n v="1345.94"/>
    <n v="-201.89"/>
    <x v="494"/>
    <n v="1547.83"/>
  </r>
  <r>
    <x v="495"/>
    <x v="18"/>
    <s v="2025-06-09"/>
    <s v="Withdrawal"/>
    <x v="6"/>
    <x v="12"/>
    <x v="480"/>
    <n v="635.84"/>
    <n v="-95.38"/>
    <x v="495"/>
    <n v="731.22"/>
  </r>
  <r>
    <x v="496"/>
    <x v="38"/>
    <s v="2025-06-08"/>
    <s v="Withdrawal"/>
    <x v="5"/>
    <x v="10"/>
    <x v="481"/>
    <n v="737.72"/>
    <n v="-110.66"/>
    <x v="496"/>
    <n v="848.38"/>
  </r>
  <r>
    <x v="497"/>
    <x v="114"/>
    <s v="2025-06-12"/>
    <s v="Deposit"/>
    <x v="1"/>
    <x v="14"/>
    <x v="482"/>
    <n v="907.67"/>
    <n v="184.62"/>
    <x v="497"/>
    <n v="723.05"/>
  </r>
  <r>
    <x v="498"/>
    <x v="142"/>
    <s v="2025-05-08"/>
    <s v="Deposit"/>
    <x v="3"/>
    <x v="8"/>
    <x v="30"/>
    <n v="118.65"/>
    <n v="18.649999999999999"/>
    <x v="498"/>
    <n v="100"/>
  </r>
  <r>
    <x v="499"/>
    <x v="8"/>
    <s v="2025-02-26"/>
    <s v="Deposit"/>
    <x v="4"/>
    <x v="19"/>
    <x v="483"/>
    <n v="1503.2"/>
    <n v="423.57"/>
    <x v="499"/>
    <n v="1079.6300000000001"/>
  </r>
  <r>
    <x v="500"/>
    <x v="111"/>
    <s v="2025-07-02"/>
    <s v="Deposit"/>
    <x v="0"/>
    <x v="0"/>
    <x v="484"/>
    <n v="1052.53"/>
    <n v="162.46"/>
    <x v="500"/>
    <n v="890.06999999999994"/>
  </r>
  <r>
    <x v="501"/>
    <x v="46"/>
    <s v="2025-06-26"/>
    <s v="Deposit"/>
    <x v="1"/>
    <x v="14"/>
    <x v="485"/>
    <n v="881.82"/>
    <n v="200.39"/>
    <x v="501"/>
    <n v="681.43000000000006"/>
  </r>
  <r>
    <x v="502"/>
    <x v="71"/>
    <s v="2025-12-21"/>
    <s v="Withdrawal"/>
    <x v="3"/>
    <x v="7"/>
    <x v="486"/>
    <n v="7439.48"/>
    <n v="-1115.92"/>
    <x v="502"/>
    <n v="8555.4"/>
  </r>
  <r>
    <x v="503"/>
    <x v="140"/>
    <s v="2025-10-12"/>
    <s v="Withdrawal"/>
    <x v="1"/>
    <x v="15"/>
    <x v="487"/>
    <n v="1455.47"/>
    <n v="-218.32"/>
    <x v="503"/>
    <n v="1673.79"/>
  </r>
  <r>
    <x v="504"/>
    <x v="43"/>
    <s v="2025-05-02"/>
    <s v="Withdrawal"/>
    <x v="0"/>
    <x v="20"/>
    <x v="488"/>
    <n v="132.02000000000001"/>
    <n v="-19.8"/>
    <x v="504"/>
    <n v="151.82000000000002"/>
  </r>
  <r>
    <x v="505"/>
    <x v="92"/>
    <s v="2025-04-26"/>
    <s v="Deposit"/>
    <x v="2"/>
    <x v="13"/>
    <x v="489"/>
    <n v="938.49"/>
    <n v="147.16"/>
    <x v="505"/>
    <n v="791.33"/>
  </r>
  <r>
    <x v="506"/>
    <x v="125"/>
    <s v="2025-10-18"/>
    <s v="Deposit"/>
    <x v="2"/>
    <x v="13"/>
    <x v="490"/>
    <n v="1174.3599999999999"/>
    <n v="241.95"/>
    <x v="506"/>
    <n v="932.40999999999985"/>
  </r>
  <r>
    <x v="507"/>
    <x v="4"/>
    <s v="2025-08-05"/>
    <s v="Deposit"/>
    <x v="2"/>
    <x v="2"/>
    <x v="491"/>
    <n v="67.37"/>
    <n v="10.18"/>
    <x v="507"/>
    <n v="57.190000000000005"/>
  </r>
  <r>
    <x v="508"/>
    <x v="61"/>
    <s v="2025-01-20"/>
    <s v="Withdrawal"/>
    <x v="0"/>
    <x v="0"/>
    <x v="492"/>
    <n v="1091.5999999999999"/>
    <n v="-163.74"/>
    <x v="508"/>
    <n v="1255.3399999999999"/>
  </r>
  <r>
    <x v="509"/>
    <x v="113"/>
    <s v="2025-12-18"/>
    <s v="Withdrawal"/>
    <x v="0"/>
    <x v="18"/>
    <x v="493"/>
    <n v="110.4"/>
    <n v="-16.559999999999999"/>
    <x v="509"/>
    <n v="126.96000000000001"/>
  </r>
  <r>
    <x v="510"/>
    <x v="82"/>
    <s v="2025-01-01"/>
    <s v="Withdrawal"/>
    <x v="6"/>
    <x v="12"/>
    <x v="494"/>
    <n v="1613.2"/>
    <n v="-241.98"/>
    <x v="510"/>
    <n v="1855.18"/>
  </r>
  <r>
    <x v="511"/>
    <x v="52"/>
    <s v="2025-12-11"/>
    <s v="Deposit"/>
    <x v="1"/>
    <x v="14"/>
    <x v="495"/>
    <n v="722.03"/>
    <n v="95.28"/>
    <x v="511"/>
    <n v="626.75"/>
  </r>
  <r>
    <x v="512"/>
    <x v="49"/>
    <s v="2025-08-01"/>
    <s v="Withdrawal"/>
    <x v="1"/>
    <x v="14"/>
    <x v="496"/>
    <n v="862.22"/>
    <n v="-129.33000000000001"/>
    <x v="512"/>
    <n v="991.55000000000007"/>
  </r>
  <r>
    <x v="513"/>
    <x v="98"/>
    <s v="2025-10-24"/>
    <s v="Deposit"/>
    <x v="1"/>
    <x v="15"/>
    <x v="497"/>
    <n v="791.59"/>
    <n v="124.2"/>
    <x v="513"/>
    <n v="667.39"/>
  </r>
  <r>
    <x v="514"/>
    <x v="112"/>
    <s v="2025-11-19"/>
    <s v="Withdrawal"/>
    <x v="2"/>
    <x v="4"/>
    <x v="498"/>
    <n v="1571.32"/>
    <n v="-235.7"/>
    <x v="514"/>
    <n v="1807.02"/>
  </r>
  <r>
    <x v="515"/>
    <x v="82"/>
    <s v="2025-03-17"/>
    <s v="Deposit"/>
    <x v="5"/>
    <x v="17"/>
    <x v="499"/>
    <n v="589.88"/>
    <n v="104.21"/>
    <x v="515"/>
    <n v="485.67"/>
  </r>
  <r>
    <x v="516"/>
    <x v="84"/>
    <s v="2025-11-02"/>
    <s v="Withdrawal"/>
    <x v="0"/>
    <x v="0"/>
    <x v="500"/>
    <n v="64.75"/>
    <n v="-9.7100000000000009"/>
    <x v="516"/>
    <n v="74.460000000000008"/>
  </r>
  <r>
    <x v="517"/>
    <x v="91"/>
    <s v="2025-01-02"/>
    <s v="Withdrawal"/>
    <x v="2"/>
    <x v="13"/>
    <x v="501"/>
    <n v="967.3"/>
    <n v="-145.09"/>
    <x v="517"/>
    <n v="1112.3899999999999"/>
  </r>
  <r>
    <x v="518"/>
    <x v="1"/>
    <s v="2025-07-12"/>
    <s v="Deposit"/>
    <x v="3"/>
    <x v="3"/>
    <x v="502"/>
    <n v="6632.14"/>
    <n v="1894.18"/>
    <x v="518"/>
    <n v="4737.96"/>
  </r>
  <r>
    <x v="519"/>
    <x v="143"/>
    <s v="2025-01-14"/>
    <s v="Deposit"/>
    <x v="1"/>
    <x v="15"/>
    <x v="503"/>
    <n v="115.35"/>
    <n v="26.38"/>
    <x v="519"/>
    <n v="88.97"/>
  </r>
  <r>
    <x v="520"/>
    <x v="14"/>
    <s v="2025-04-11"/>
    <s v="Withdrawal"/>
    <x v="1"/>
    <x v="14"/>
    <x v="504"/>
    <n v="338.33"/>
    <n v="-50.75"/>
    <x v="520"/>
    <n v="389.08"/>
  </r>
  <r>
    <x v="521"/>
    <x v="105"/>
    <s v="2025-05-15"/>
    <s v="Withdrawal"/>
    <x v="5"/>
    <x v="10"/>
    <x v="505"/>
    <n v="48.54"/>
    <n v="-7.28"/>
    <x v="521"/>
    <n v="55.82"/>
  </r>
  <r>
    <x v="522"/>
    <x v="50"/>
    <s v="2025-09-29"/>
    <s v="Deposit"/>
    <x v="5"/>
    <x v="17"/>
    <x v="506"/>
    <n v="1207.29"/>
    <n v="240.54"/>
    <x v="522"/>
    <n v="966.75"/>
  </r>
  <r>
    <x v="523"/>
    <x v="110"/>
    <s v="2025-07-08"/>
    <s v="Withdrawal"/>
    <x v="2"/>
    <x v="4"/>
    <x v="507"/>
    <n v="1412.23"/>
    <n v="-211.83"/>
    <x v="523"/>
    <n v="1624.06"/>
  </r>
  <r>
    <x v="524"/>
    <x v="102"/>
    <s v="2025-07-11"/>
    <s v="Withdrawal"/>
    <x v="2"/>
    <x v="13"/>
    <x v="508"/>
    <n v="1331.47"/>
    <n v="-199.72"/>
    <x v="524"/>
    <n v="1531.19"/>
  </r>
  <r>
    <x v="525"/>
    <x v="33"/>
    <s v="CORRUPT_DATE_FLAG"/>
    <s v="Withdrawal"/>
    <x v="4"/>
    <x v="5"/>
    <x v="30"/>
    <n v="121.7"/>
    <n v="-18.25"/>
    <x v="336"/>
    <n v="139.94999999999999"/>
  </r>
  <r>
    <x v="526"/>
    <x v="62"/>
    <s v="2025-03-09"/>
    <s v="Withdrawal"/>
    <x v="3"/>
    <x v="3"/>
    <x v="509"/>
    <n v="6468.03"/>
    <n v="-970.2"/>
    <x v="525"/>
    <n v="7438.23"/>
  </r>
  <r>
    <x v="527"/>
    <x v="134"/>
    <s v="2025-07-23"/>
    <s v="Deposit"/>
    <x v="5"/>
    <x v="6"/>
    <x v="510"/>
    <n v="962.39"/>
    <n v="158.81"/>
    <x v="526"/>
    <n v="803.57999999999993"/>
  </r>
  <r>
    <x v="528"/>
    <x v="73"/>
    <s v="2025-01-04"/>
    <s v="Withdrawal"/>
    <x v="0"/>
    <x v="20"/>
    <x v="511"/>
    <n v="493.06"/>
    <n v="-73.959999999999994"/>
    <x v="527"/>
    <n v="567.02"/>
  </r>
  <r>
    <x v="529"/>
    <x v="137"/>
    <s v="2025-11-04"/>
    <s v="Withdrawal"/>
    <x v="0"/>
    <x v="20"/>
    <x v="512"/>
    <n v="1443.46"/>
    <n v="-216.52"/>
    <x v="528"/>
    <n v="1659.98"/>
  </r>
  <r>
    <x v="530"/>
    <x v="55"/>
    <s v="2025-11-29"/>
    <s v="Withdrawal"/>
    <x v="0"/>
    <x v="0"/>
    <x v="513"/>
    <n v="1190.29"/>
    <n v="-178.54"/>
    <x v="529"/>
    <n v="1368.83"/>
  </r>
  <r>
    <x v="531"/>
    <x v="54"/>
    <s v="2025-06-01"/>
    <s v="Withdrawal"/>
    <x v="2"/>
    <x v="4"/>
    <x v="514"/>
    <n v="992.87"/>
    <n v="-148.93"/>
    <x v="530"/>
    <n v="1141.8"/>
  </r>
  <r>
    <x v="532"/>
    <x v="27"/>
    <s v="2025-02-15"/>
    <s v="Deposit"/>
    <x v="4"/>
    <x v="19"/>
    <x v="515"/>
    <n v="186.79"/>
    <n v="36.159999999999997"/>
    <x v="531"/>
    <n v="150.63"/>
  </r>
  <r>
    <x v="533"/>
    <x v="8"/>
    <s v="2025-03-10"/>
    <s v="Deposit"/>
    <x v="0"/>
    <x v="20"/>
    <x v="516"/>
    <n v="822.1"/>
    <n v="227.88"/>
    <x v="532"/>
    <n v="594.22"/>
  </r>
  <r>
    <x v="534"/>
    <x v="136"/>
    <s v="2025-06-05"/>
    <s v="Deposit"/>
    <x v="3"/>
    <x v="7"/>
    <x v="517"/>
    <n v="7807.43"/>
    <n v="2195.2399999999998"/>
    <x v="533"/>
    <n v="5612.1900000000005"/>
  </r>
  <r>
    <x v="535"/>
    <x v="115"/>
    <s v="2025-08-31"/>
    <s v="Withdrawal"/>
    <x v="1"/>
    <x v="15"/>
    <x v="518"/>
    <n v="692.02"/>
    <n v="-103.8"/>
    <x v="534"/>
    <n v="795.81999999999994"/>
  </r>
  <r>
    <x v="536"/>
    <x v="95"/>
    <s v="2025-06-14"/>
    <s v="Deposit"/>
    <x v="5"/>
    <x v="17"/>
    <x v="519"/>
    <n v="1456.47"/>
    <n v="355.09"/>
    <x v="535"/>
    <n v="1101.3800000000001"/>
  </r>
  <r>
    <x v="537"/>
    <x v="144"/>
    <s v="2025-06-03"/>
    <s v="Withdrawal"/>
    <x v="6"/>
    <x v="12"/>
    <x v="30"/>
    <n v="136.59"/>
    <n v="-20.49"/>
    <x v="536"/>
    <n v="157.08000000000001"/>
  </r>
  <r>
    <x v="538"/>
    <x v="145"/>
    <s v="2025-11-08"/>
    <s v="Deposit"/>
    <x v="6"/>
    <x v="16"/>
    <x v="520"/>
    <n v="61.23"/>
    <n v="15.29"/>
    <x v="537"/>
    <n v="45.94"/>
  </r>
  <r>
    <x v="539"/>
    <x v="40"/>
    <s v="2025-04-26"/>
    <s v="Withdrawal"/>
    <x v="5"/>
    <x v="17"/>
    <x v="521"/>
    <n v="238.47"/>
    <n v="-35.770000000000003"/>
    <x v="538"/>
    <n v="274.24"/>
  </r>
  <r>
    <x v="540"/>
    <x v="77"/>
    <s v="2025-08-18"/>
    <s v="Withdrawal"/>
    <x v="6"/>
    <x v="16"/>
    <x v="522"/>
    <n v="786.72"/>
    <n v="-118.01"/>
    <x v="539"/>
    <n v="904.73"/>
  </r>
  <r>
    <x v="541"/>
    <x v="116"/>
    <s v="2025-01-09"/>
    <s v="Withdrawal"/>
    <x v="2"/>
    <x v="4"/>
    <x v="523"/>
    <n v="865.81"/>
    <n v="-129.87"/>
    <x v="540"/>
    <n v="995.68"/>
  </r>
  <r>
    <x v="542"/>
    <x v="20"/>
    <s v="2025-10-15"/>
    <s v="Withdrawal"/>
    <x v="2"/>
    <x v="13"/>
    <x v="524"/>
    <n v="1031.3599999999999"/>
    <n v="-154.69999999999999"/>
    <x v="541"/>
    <n v="1186.06"/>
  </r>
  <r>
    <x v="543"/>
    <x v="11"/>
    <s v="2025-03-29"/>
    <s v="Deposit"/>
    <x v="3"/>
    <x v="8"/>
    <x v="30"/>
    <n v="135.03"/>
    <n v="35.03"/>
    <x v="542"/>
    <n v="100"/>
  </r>
  <r>
    <x v="544"/>
    <x v="100"/>
    <s v="2025-09-04"/>
    <s v="Deposit"/>
    <x v="1"/>
    <x v="1"/>
    <x v="525"/>
    <n v="535.37"/>
    <n v="130.31"/>
    <x v="543"/>
    <n v="405.06"/>
  </r>
  <r>
    <x v="545"/>
    <x v="110"/>
    <s v="2025-01-22"/>
    <s v="Withdrawal"/>
    <x v="3"/>
    <x v="7"/>
    <x v="526"/>
    <n v="11919.04"/>
    <n v="-1787.86"/>
    <x v="544"/>
    <n v="13706.900000000001"/>
  </r>
  <r>
    <x v="546"/>
    <x v="49"/>
    <s v="2025-11-05"/>
    <s v="Deposit"/>
    <x v="5"/>
    <x v="17"/>
    <x v="527"/>
    <n v="1372.34"/>
    <n v="214.22"/>
    <x v="545"/>
    <n v="1158.1199999999999"/>
  </r>
  <r>
    <x v="547"/>
    <x v="76"/>
    <s v="2025-12-09"/>
    <s v="Withdrawal"/>
    <x v="1"/>
    <x v="15"/>
    <x v="528"/>
    <n v="1415.4"/>
    <n v="-212.31"/>
    <x v="546"/>
    <n v="1627.71"/>
  </r>
  <r>
    <x v="548"/>
    <x v="3"/>
    <s v="2025-05-03"/>
    <s v="Deposit"/>
    <x v="0"/>
    <x v="20"/>
    <x v="30"/>
    <n v="117.88"/>
    <n v="17.88"/>
    <x v="547"/>
    <n v="100"/>
  </r>
  <r>
    <x v="549"/>
    <x v="79"/>
    <s v="2025-04-26"/>
    <s v="Withdrawal"/>
    <x v="6"/>
    <x v="12"/>
    <x v="529"/>
    <n v="760.34"/>
    <n v="-114.05"/>
    <x v="548"/>
    <n v="874.39"/>
  </r>
  <r>
    <x v="550"/>
    <x v="70"/>
    <s v="2025-02-08"/>
    <s v="Withdrawal"/>
    <x v="4"/>
    <x v="5"/>
    <x v="530"/>
    <n v="731.49"/>
    <n v="-109.72"/>
    <x v="549"/>
    <n v="841.21"/>
  </r>
  <r>
    <x v="551"/>
    <x v="52"/>
    <s v="2025-03-08"/>
    <s v="Deposit"/>
    <x v="1"/>
    <x v="14"/>
    <x v="531"/>
    <n v="1064.07"/>
    <n v="-44.182985074626863"/>
    <x v="550"/>
    <n v="1108.2529850746268"/>
  </r>
  <r>
    <x v="552"/>
    <x v="77"/>
    <s v="2025-02-28"/>
    <s v="Deposit"/>
    <x v="4"/>
    <x v="19"/>
    <x v="532"/>
    <n v="57.75"/>
    <n v="14.97"/>
    <x v="551"/>
    <n v="42.78"/>
  </r>
  <r>
    <x v="553"/>
    <x v="58"/>
    <s v="2025-09-11"/>
    <s v="Deposit"/>
    <x v="5"/>
    <x v="17"/>
    <x v="533"/>
    <n v="321.56"/>
    <n v="52.22"/>
    <x v="552"/>
    <n v="269.34000000000003"/>
  </r>
  <r>
    <x v="554"/>
    <x v="31"/>
    <s v="2025-01-06"/>
    <s v="Deposit"/>
    <x v="5"/>
    <x v="17"/>
    <x v="534"/>
    <n v="1236.97"/>
    <n v="300.60000000000002"/>
    <x v="553"/>
    <n v="936.37"/>
  </r>
  <r>
    <x v="555"/>
    <x v="84"/>
    <s v="2025-05-18"/>
    <s v="Deposit"/>
    <x v="5"/>
    <x v="17"/>
    <x v="535"/>
    <n v="1056.6400000000001"/>
    <n v="144.76"/>
    <x v="554"/>
    <n v="911.88000000000011"/>
  </r>
  <r>
    <x v="556"/>
    <x v="86"/>
    <s v="2025-04-03"/>
    <s v="Withdrawal"/>
    <x v="1"/>
    <x v="14"/>
    <x v="536"/>
    <n v="1337.4"/>
    <n v="-200.61"/>
    <x v="555"/>
    <n v="1538.0100000000002"/>
  </r>
  <r>
    <x v="557"/>
    <x v="98"/>
    <s v="2025-05-05"/>
    <s v="Withdrawal"/>
    <x v="3"/>
    <x v="7"/>
    <x v="537"/>
    <n v="9134.74"/>
    <n v="-1370.21"/>
    <x v="556"/>
    <n v="10504.95"/>
  </r>
  <r>
    <x v="558"/>
    <x v="129"/>
    <s v="2025-07-13"/>
    <s v="Withdrawal"/>
    <x v="0"/>
    <x v="0"/>
    <x v="538"/>
    <n v="998.74"/>
    <n v="-149.81"/>
    <x v="557"/>
    <n v="1148.55"/>
  </r>
  <r>
    <x v="559"/>
    <x v="90"/>
    <s v="2025-01-21"/>
    <s v="Withdrawal"/>
    <x v="3"/>
    <x v="3"/>
    <x v="539"/>
    <n v="7052.05"/>
    <n v="-1057.81"/>
    <x v="558"/>
    <n v="8109.8600000000006"/>
  </r>
  <r>
    <x v="560"/>
    <x v="112"/>
    <s v="CORRUPT_DATE_FLAG"/>
    <s v="Deposit"/>
    <x v="3"/>
    <x v="7"/>
    <x v="540"/>
    <n v="7580.66"/>
    <n v="2033.12"/>
    <x v="559"/>
    <n v="5547.54"/>
  </r>
  <r>
    <x v="561"/>
    <x v="107"/>
    <s v="2025-10-29"/>
    <s v="Deposit"/>
    <x v="1"/>
    <x v="15"/>
    <x v="541"/>
    <n v="620.58000000000004"/>
    <n v="169.78"/>
    <x v="560"/>
    <n v="450.80000000000007"/>
  </r>
  <r>
    <x v="562"/>
    <x v="82"/>
    <s v="2025-04-26"/>
    <s v="Withdrawal"/>
    <x v="0"/>
    <x v="18"/>
    <x v="542"/>
    <n v="1280.8499999999999"/>
    <n v="-192.13"/>
    <x v="561"/>
    <n v="1472.98"/>
  </r>
  <r>
    <x v="563"/>
    <x v="123"/>
    <s v="2025-09-04"/>
    <s v="Withdrawal"/>
    <x v="2"/>
    <x v="2"/>
    <x v="543"/>
    <n v="827.06"/>
    <n v="-124.06"/>
    <x v="562"/>
    <n v="951.11999999999989"/>
  </r>
  <r>
    <x v="564"/>
    <x v="69"/>
    <s v="2025-09-13"/>
    <s v="Withdrawal"/>
    <x v="1"/>
    <x v="15"/>
    <x v="544"/>
    <n v="1355.26"/>
    <n v="-203.29"/>
    <x v="563"/>
    <n v="1558.55"/>
  </r>
  <r>
    <x v="565"/>
    <x v="70"/>
    <s v="2025-10-21"/>
    <s v="Withdrawal"/>
    <x v="3"/>
    <x v="8"/>
    <x v="545"/>
    <n v="9721.69"/>
    <n v="-1458.25"/>
    <x v="564"/>
    <n v="11179.94"/>
  </r>
  <r>
    <x v="566"/>
    <x v="9"/>
    <s v="2025-08-07"/>
    <s v="Deposit"/>
    <x v="6"/>
    <x v="11"/>
    <x v="546"/>
    <n v="158.66"/>
    <n v="29.74"/>
    <x v="565"/>
    <n v="128.91999999999999"/>
  </r>
  <r>
    <x v="567"/>
    <x v="1"/>
    <s v="2025-04-30"/>
    <s v="Deposit"/>
    <x v="5"/>
    <x v="10"/>
    <x v="547"/>
    <n v="47.61"/>
    <n v="11.85"/>
    <x v="566"/>
    <n v="35.76"/>
  </r>
  <r>
    <x v="568"/>
    <x v="144"/>
    <s v="14/01/2025"/>
    <s v="Withdrawal"/>
    <x v="6"/>
    <x v="11"/>
    <x v="548"/>
    <n v="791.81"/>
    <n v="-118.77"/>
    <x v="567"/>
    <n v="910.57999999999993"/>
  </r>
  <r>
    <x v="569"/>
    <x v="5"/>
    <s v="2025-04-24"/>
    <s v="Withdrawal"/>
    <x v="3"/>
    <x v="8"/>
    <x v="30"/>
    <n v="129.55000000000001"/>
    <n v="-19.43"/>
    <x v="568"/>
    <n v="148.98000000000002"/>
  </r>
  <r>
    <x v="570"/>
    <x v="108"/>
    <s v="2025-08-23"/>
    <s v="Deposit"/>
    <x v="4"/>
    <x v="19"/>
    <x v="549"/>
    <n v="1304.3599999999999"/>
    <n v="285.79000000000002"/>
    <x v="569"/>
    <n v="1018.5699999999999"/>
  </r>
  <r>
    <x v="571"/>
    <x v="144"/>
    <s v="2025-01-28"/>
    <s v="Withdrawal"/>
    <x v="3"/>
    <x v="8"/>
    <x v="550"/>
    <n v="7225.42"/>
    <n v="-1083.81"/>
    <x v="570"/>
    <n v="8309.23"/>
  </r>
  <r>
    <x v="572"/>
    <x v="92"/>
    <s v="2025-01-16"/>
    <s v="Withdrawal"/>
    <x v="0"/>
    <x v="18"/>
    <x v="551"/>
    <n v="1317.92"/>
    <n v="-197.69"/>
    <x v="571"/>
    <n v="1515.6100000000001"/>
  </r>
  <r>
    <x v="573"/>
    <x v="78"/>
    <s v="2025-11-11"/>
    <s v="Deposit"/>
    <x v="1"/>
    <x v="14"/>
    <x v="552"/>
    <n v="1082.6300000000001"/>
    <n v="146.62"/>
    <x v="572"/>
    <n v="936.0100000000001"/>
  </r>
  <r>
    <x v="574"/>
    <x v="77"/>
    <s v="2025-11-13"/>
    <s v="Withdrawal"/>
    <x v="6"/>
    <x v="11"/>
    <x v="553"/>
    <n v="492.45"/>
    <n v="-73.87"/>
    <x v="573"/>
    <n v="566.31999999999994"/>
  </r>
  <r>
    <x v="575"/>
    <x v="93"/>
    <s v="2025-08-31"/>
    <s v="Withdrawal"/>
    <x v="3"/>
    <x v="8"/>
    <x v="554"/>
    <n v="8240.7900000000009"/>
    <n v="-1236.1199999999999"/>
    <x v="574"/>
    <n v="9476.91"/>
  </r>
  <r>
    <x v="576"/>
    <x v="90"/>
    <s v="2025-01-11"/>
    <s v="Deposit"/>
    <x v="5"/>
    <x v="17"/>
    <x v="555"/>
    <n v="681.79"/>
    <n v="168.86"/>
    <x v="575"/>
    <n v="512.92999999999995"/>
  </r>
  <r>
    <x v="577"/>
    <x v="18"/>
    <s v="2025-11-02"/>
    <s v="Deposit"/>
    <x v="5"/>
    <x v="10"/>
    <x v="556"/>
    <n v="1217.95"/>
    <n v="233.7"/>
    <x v="576"/>
    <n v="984.25"/>
  </r>
  <r>
    <x v="578"/>
    <x v="55"/>
    <s v="2025-05-17"/>
    <s v="Deposit"/>
    <x v="2"/>
    <x v="4"/>
    <x v="557"/>
    <n v="425.08"/>
    <n v="64.59"/>
    <x v="577"/>
    <n v="360.49"/>
  </r>
  <r>
    <x v="579"/>
    <x v="26"/>
    <s v="2025-01-11"/>
    <s v="Deposit"/>
    <x v="4"/>
    <x v="19"/>
    <x v="558"/>
    <n v="525.41999999999996"/>
    <n v="98.49"/>
    <x v="578"/>
    <n v="426.92999999999995"/>
  </r>
  <r>
    <x v="580"/>
    <x v="117"/>
    <s v="2025-09-29"/>
    <s v="Withdrawal"/>
    <x v="6"/>
    <x v="16"/>
    <x v="559"/>
    <n v="104.72"/>
    <n v="-15.71"/>
    <x v="579"/>
    <n v="120.43"/>
  </r>
  <r>
    <x v="581"/>
    <x v="55"/>
    <s v="2025-10-17"/>
    <s v="Withdrawal"/>
    <x v="1"/>
    <x v="14"/>
    <x v="560"/>
    <n v="521.94000000000005"/>
    <n v="-78.290000000000006"/>
    <x v="580"/>
    <n v="600.23"/>
  </r>
  <r>
    <x v="582"/>
    <x v="93"/>
    <s v="2025-12-23"/>
    <s v="Deposit"/>
    <x v="1"/>
    <x v="15"/>
    <x v="561"/>
    <n v="987.23"/>
    <n v="151.83000000000001"/>
    <x v="581"/>
    <n v="835.4"/>
  </r>
  <r>
    <x v="583"/>
    <x v="140"/>
    <s v="2025-05-24"/>
    <s v="Withdrawal"/>
    <x v="2"/>
    <x v="13"/>
    <x v="562"/>
    <n v="219.37"/>
    <n v="-32.909999999999997"/>
    <x v="582"/>
    <n v="252.28"/>
  </r>
  <r>
    <x v="584"/>
    <x v="132"/>
    <s v="2025-09-05"/>
    <s v="Withdrawal"/>
    <x v="1"/>
    <x v="1"/>
    <x v="563"/>
    <n v="706.57"/>
    <n v="-105.99"/>
    <x v="583"/>
    <n v="812.56000000000006"/>
  </r>
  <r>
    <x v="585"/>
    <x v="9"/>
    <s v="2025-09-19"/>
    <s v="Deposit"/>
    <x v="6"/>
    <x v="16"/>
    <x v="564"/>
    <n v="1447.19"/>
    <n v="377.87"/>
    <x v="584"/>
    <n v="1069.3200000000002"/>
  </r>
  <r>
    <x v="586"/>
    <x v="27"/>
    <s v="2025-11-23"/>
    <s v="Deposit"/>
    <x v="6"/>
    <x v="12"/>
    <x v="565"/>
    <n v="1512.49"/>
    <n v="360.18"/>
    <x v="585"/>
    <n v="1152.31"/>
  </r>
  <r>
    <x v="587"/>
    <x v="146"/>
    <s v="2025-10-21"/>
    <s v="Deposit"/>
    <x v="5"/>
    <x v="17"/>
    <x v="566"/>
    <n v="415.49"/>
    <n v="56.26"/>
    <x v="586"/>
    <n v="359.23"/>
  </r>
  <r>
    <x v="588"/>
    <x v="83"/>
    <s v="2025-05-11"/>
    <s v="Deposit"/>
    <x v="4"/>
    <x v="5"/>
    <x v="30"/>
    <n v="136.46"/>
    <n v="36.46"/>
    <x v="587"/>
    <n v="100"/>
  </r>
  <r>
    <x v="589"/>
    <x v="14"/>
    <s v="2025-12-07"/>
    <s v="Withdrawal"/>
    <x v="4"/>
    <x v="5"/>
    <x v="567"/>
    <n v="168.04"/>
    <n v="-25.21"/>
    <x v="588"/>
    <n v="193.25"/>
  </r>
  <r>
    <x v="590"/>
    <x v="90"/>
    <s v="2025-08-08"/>
    <s v="Withdrawal"/>
    <x v="0"/>
    <x v="0"/>
    <x v="568"/>
    <n v="1565.55"/>
    <n v="-234.83"/>
    <x v="589"/>
    <n v="1800.3799999999999"/>
  </r>
  <r>
    <x v="591"/>
    <x v="116"/>
    <s v="2025-02-05"/>
    <s v="Deposit"/>
    <x v="0"/>
    <x v="20"/>
    <x v="569"/>
    <n v="691.44"/>
    <n v="158.80000000000001"/>
    <x v="590"/>
    <n v="532.6400000000001"/>
  </r>
  <r>
    <x v="592"/>
    <x v="48"/>
    <s v="2025-04-09"/>
    <s v="Deposit"/>
    <x v="0"/>
    <x v="20"/>
    <x v="570"/>
    <n v="1261.3800000000001"/>
    <n v="265.10000000000002"/>
    <x v="591"/>
    <n v="996.28000000000009"/>
  </r>
  <r>
    <x v="593"/>
    <x v="96"/>
    <s v="2025-11-12"/>
    <s v="Withdrawal"/>
    <x v="6"/>
    <x v="12"/>
    <x v="571"/>
    <n v="1572.98"/>
    <n v="-235.95"/>
    <x v="592"/>
    <n v="1808.93"/>
  </r>
  <r>
    <x v="594"/>
    <x v="1"/>
    <s v="2025-07-28"/>
    <s v="Deposit"/>
    <x v="0"/>
    <x v="20"/>
    <x v="572"/>
    <n v="1053.03"/>
    <n v="294.82"/>
    <x v="593"/>
    <n v="758.21"/>
  </r>
  <r>
    <x v="595"/>
    <x v="57"/>
    <s v="2025-12-13"/>
    <s v="Withdrawal"/>
    <x v="2"/>
    <x v="2"/>
    <x v="573"/>
    <n v="1279.53"/>
    <n v="-191.93"/>
    <x v="594"/>
    <n v="1471.46"/>
  </r>
  <r>
    <x v="596"/>
    <x v="28"/>
    <s v="03/08/2025"/>
    <s v="Deposit"/>
    <x v="6"/>
    <x v="12"/>
    <x v="574"/>
    <n v="1159.98"/>
    <n v="291.81"/>
    <x v="595"/>
    <n v="868.17000000000007"/>
  </r>
  <r>
    <x v="597"/>
    <x v="73"/>
    <s v="2025-11-24"/>
    <s v="Deposit"/>
    <x v="0"/>
    <x v="20"/>
    <x v="575"/>
    <n v="1315.85"/>
    <n v="324.88"/>
    <x v="596"/>
    <n v="990.96999999999991"/>
  </r>
  <r>
    <x v="598"/>
    <x v="15"/>
    <s v="2025-11-03"/>
    <s v="Withdrawal"/>
    <x v="5"/>
    <x v="17"/>
    <x v="576"/>
    <n v="46.21"/>
    <n v="-6.93"/>
    <x v="597"/>
    <n v="53.14"/>
  </r>
  <r>
    <x v="599"/>
    <x v="97"/>
    <s v="CORRUPT_DATE_FLAG"/>
    <s v="Withdrawal"/>
    <x v="5"/>
    <x v="6"/>
    <x v="577"/>
    <n v="138.5"/>
    <n v="-20.77"/>
    <x v="598"/>
    <n v="159.27000000000001"/>
  </r>
  <r>
    <x v="600"/>
    <x v="29"/>
    <s v="2025-03-23"/>
    <s v="Withdrawal"/>
    <x v="0"/>
    <x v="18"/>
    <x v="578"/>
    <n v="190.33"/>
    <n v="-28.55"/>
    <x v="599"/>
    <n v="218.88000000000002"/>
  </r>
  <r>
    <x v="601"/>
    <x v="131"/>
    <s v="2025-03-09"/>
    <s v="Deposit"/>
    <x v="4"/>
    <x v="9"/>
    <x v="579"/>
    <n v="23.75"/>
    <n v="5.08"/>
    <x v="600"/>
    <n v="18.670000000000002"/>
  </r>
  <r>
    <x v="602"/>
    <x v="16"/>
    <s v="2025-10-23"/>
    <s v="Deposit"/>
    <x v="3"/>
    <x v="8"/>
    <x v="580"/>
    <n v="11015.41"/>
    <n v="1753.91"/>
    <x v="601"/>
    <n v="9261.5"/>
  </r>
  <r>
    <x v="603"/>
    <x v="134"/>
    <s v="2025-12-18"/>
    <s v="Deposit"/>
    <x v="6"/>
    <x v="16"/>
    <x v="581"/>
    <n v="1261.92"/>
    <n v="-44.182985074626863"/>
    <x v="602"/>
    <n v="1306.102985074627"/>
  </r>
  <r>
    <x v="604"/>
    <x v="70"/>
    <s v="2025-08-22"/>
    <s v="Withdrawal"/>
    <x v="5"/>
    <x v="10"/>
    <x v="582"/>
    <n v="936.7"/>
    <n v="-140.5"/>
    <x v="603"/>
    <n v="1077.2"/>
  </r>
  <r>
    <x v="605"/>
    <x v="147"/>
    <s v="2025-12-24"/>
    <s v="Withdrawal"/>
    <x v="2"/>
    <x v="2"/>
    <x v="583"/>
    <n v="1357.37"/>
    <n v="-203.61"/>
    <x v="604"/>
    <n v="1560.98"/>
  </r>
  <r>
    <x v="606"/>
    <x v="5"/>
    <s v="2025-06-10"/>
    <s v="Deposit"/>
    <x v="5"/>
    <x v="6"/>
    <x v="584"/>
    <n v="809.24"/>
    <n v="176.73"/>
    <x v="605"/>
    <n v="632.51"/>
  </r>
  <r>
    <x v="607"/>
    <x v="84"/>
    <s v="2025-12-12"/>
    <s v="Deposit"/>
    <x v="6"/>
    <x v="12"/>
    <x v="585"/>
    <n v="308.77999999999997"/>
    <n v="82.34"/>
    <x v="606"/>
    <n v="226.43999999999997"/>
  </r>
  <r>
    <x v="608"/>
    <x v="6"/>
    <s v="2025-11-22"/>
    <s v="Deposit"/>
    <x v="5"/>
    <x v="6"/>
    <x v="586"/>
    <n v="24.99"/>
    <n v="5.73"/>
    <x v="607"/>
    <n v="19.259999999999998"/>
  </r>
  <r>
    <x v="609"/>
    <x v="114"/>
    <s v="2025-01-29"/>
    <s v="Deposit"/>
    <x v="5"/>
    <x v="6"/>
    <x v="587"/>
    <n v="1364.85"/>
    <n v="212.58"/>
    <x v="608"/>
    <n v="1152.27"/>
  </r>
  <r>
    <x v="610"/>
    <x v="58"/>
    <s v="2025-07-02"/>
    <s v="Deposit"/>
    <x v="5"/>
    <x v="10"/>
    <x v="588"/>
    <n v="1324.44"/>
    <n v="300.82"/>
    <x v="609"/>
    <n v="1023.6200000000001"/>
  </r>
  <r>
    <x v="611"/>
    <x v="86"/>
    <s v="2025-10-30"/>
    <s v="Withdrawal"/>
    <x v="3"/>
    <x v="8"/>
    <x v="589"/>
    <n v="8814.48"/>
    <n v="-1322.17"/>
    <x v="610"/>
    <n v="10136.65"/>
  </r>
  <r>
    <x v="612"/>
    <x v="31"/>
    <s v="2025-08-22"/>
    <s v="Deposit"/>
    <x v="0"/>
    <x v="20"/>
    <x v="590"/>
    <n v="595.46"/>
    <n v="138.94999999999999"/>
    <x v="611"/>
    <n v="456.51000000000005"/>
  </r>
  <r>
    <x v="613"/>
    <x v="29"/>
    <s v="27/11/2025"/>
    <s v="Withdrawal"/>
    <x v="3"/>
    <x v="7"/>
    <x v="591"/>
    <n v="9319.61"/>
    <n v="-1397.94"/>
    <x v="612"/>
    <n v="10717.550000000001"/>
  </r>
  <r>
    <x v="614"/>
    <x v="128"/>
    <s v="2025-08-18"/>
    <s v="Deposit"/>
    <x v="1"/>
    <x v="15"/>
    <x v="592"/>
    <n v="90.88"/>
    <n v="23.65"/>
    <x v="613"/>
    <n v="67.22999999999999"/>
  </r>
  <r>
    <x v="615"/>
    <x v="131"/>
    <s v="2025-09-27"/>
    <s v="Withdrawal"/>
    <x v="3"/>
    <x v="7"/>
    <x v="593"/>
    <n v="4800.0200000000004"/>
    <n v="-720"/>
    <x v="614"/>
    <n v="5520.02"/>
  </r>
  <r>
    <x v="616"/>
    <x v="18"/>
    <s v="2025-11-17"/>
    <s v="Deposit"/>
    <x v="1"/>
    <x v="1"/>
    <x v="594"/>
    <n v="1228.46"/>
    <n v="293.57"/>
    <x v="615"/>
    <n v="934.8900000000001"/>
  </r>
  <r>
    <x v="617"/>
    <x v="32"/>
    <s v="2025-10-17"/>
    <s v="Withdrawal"/>
    <x v="3"/>
    <x v="8"/>
    <x v="595"/>
    <n v="6897.12"/>
    <n v="-1034.57"/>
    <x v="616"/>
    <n v="7931.69"/>
  </r>
  <r>
    <x v="618"/>
    <x v="102"/>
    <s v="2025-01-10"/>
    <s v="Deposit"/>
    <x v="0"/>
    <x v="20"/>
    <x v="596"/>
    <n v="1030.3800000000001"/>
    <n v="253.55"/>
    <x v="617"/>
    <n v="776.83000000000015"/>
  </r>
  <r>
    <x v="619"/>
    <x v="10"/>
    <s v="2025-01-29"/>
    <s v="Withdrawal"/>
    <x v="2"/>
    <x v="4"/>
    <x v="597"/>
    <n v="844.93"/>
    <n v="-126.74"/>
    <x v="618"/>
    <n v="971.67"/>
  </r>
  <r>
    <x v="620"/>
    <x v="146"/>
    <s v="2025-04-10"/>
    <s v="Withdrawal"/>
    <x v="5"/>
    <x v="10"/>
    <x v="598"/>
    <n v="923.7"/>
    <n v="-138.56"/>
    <x v="619"/>
    <n v="1062.26"/>
  </r>
  <r>
    <x v="621"/>
    <x v="77"/>
    <s v="2025-01-05"/>
    <s v="Withdrawal"/>
    <x v="5"/>
    <x v="17"/>
    <x v="599"/>
    <n v="1177.06"/>
    <n v="-176.56"/>
    <x v="620"/>
    <n v="1353.62"/>
  </r>
  <r>
    <x v="622"/>
    <x v="76"/>
    <s v="2025-10-11"/>
    <s v="Withdrawal"/>
    <x v="1"/>
    <x v="14"/>
    <x v="600"/>
    <n v="127.55"/>
    <n v="-19.13"/>
    <x v="621"/>
    <n v="146.68"/>
  </r>
  <r>
    <x v="623"/>
    <x v="61"/>
    <s v="2025-06-12"/>
    <s v="Deposit"/>
    <x v="6"/>
    <x v="11"/>
    <x v="601"/>
    <n v="187.58"/>
    <n v="44.84"/>
    <x v="622"/>
    <n v="142.74"/>
  </r>
  <r>
    <x v="624"/>
    <x v="147"/>
    <s v="2025-04-15"/>
    <s v="Withdrawal"/>
    <x v="3"/>
    <x v="8"/>
    <x v="602"/>
    <n v="11685.72"/>
    <n v="-1752.86"/>
    <x v="623"/>
    <n v="13438.58"/>
  </r>
  <r>
    <x v="625"/>
    <x v="130"/>
    <s v="CORRUPT_DATE_FLAG"/>
    <s v="Deposit"/>
    <x v="5"/>
    <x v="17"/>
    <x v="603"/>
    <n v="691.89"/>
    <n v="161.44"/>
    <x v="624"/>
    <n v="530.45000000000005"/>
  </r>
  <r>
    <x v="626"/>
    <x v="79"/>
    <s v="2025-02-06"/>
    <s v="Deposit"/>
    <x v="0"/>
    <x v="0"/>
    <x v="604"/>
    <n v="771.7"/>
    <n v="106.69"/>
    <x v="625"/>
    <n v="665.01"/>
  </r>
  <r>
    <x v="627"/>
    <x v="72"/>
    <s v="CORRUPT_DATE_FLAG"/>
    <s v="Deposit"/>
    <x v="5"/>
    <x v="10"/>
    <x v="605"/>
    <n v="1028.73"/>
    <n v="138.05000000000001"/>
    <x v="626"/>
    <n v="890.68000000000006"/>
  </r>
  <r>
    <x v="628"/>
    <x v="127"/>
    <s v="2025-02-28"/>
    <s v="Withdrawal"/>
    <x v="4"/>
    <x v="9"/>
    <x v="606"/>
    <n v="626.61"/>
    <n v="-93.99"/>
    <x v="627"/>
    <n v="720.6"/>
  </r>
  <r>
    <x v="629"/>
    <x v="39"/>
    <s v="2025-07-03"/>
    <s v="Deposit"/>
    <x v="6"/>
    <x v="11"/>
    <x v="30"/>
    <n v="136.33000000000001"/>
    <n v="36.33"/>
    <x v="628"/>
    <n v="100.00000000000001"/>
  </r>
  <r>
    <x v="630"/>
    <x v="137"/>
    <s v="2025-05-19"/>
    <s v="Withdrawal"/>
    <x v="6"/>
    <x v="12"/>
    <x v="607"/>
    <n v="138.79"/>
    <n v="-20.82"/>
    <x v="629"/>
    <n v="159.60999999999999"/>
  </r>
  <r>
    <x v="631"/>
    <x v="148"/>
    <s v="2025-03-22"/>
    <s v="Deposit"/>
    <x v="2"/>
    <x v="13"/>
    <x v="608"/>
    <n v="639.82000000000005"/>
    <n v="126.15"/>
    <x v="630"/>
    <n v="513.67000000000007"/>
  </r>
  <r>
    <x v="632"/>
    <x v="63"/>
    <s v="2025-07-18"/>
    <s v="Withdrawal"/>
    <x v="3"/>
    <x v="8"/>
    <x v="609"/>
    <n v="11411.99"/>
    <n v="-1711.8"/>
    <x v="631"/>
    <n v="13123.789999999999"/>
  </r>
  <r>
    <x v="633"/>
    <x v="103"/>
    <s v="2025-06-25"/>
    <s v="Withdrawal"/>
    <x v="0"/>
    <x v="0"/>
    <x v="610"/>
    <n v="1573.01"/>
    <n v="-235.95"/>
    <x v="632"/>
    <n v="1808.96"/>
  </r>
  <r>
    <x v="634"/>
    <x v="49"/>
    <s v="30/05/2025"/>
    <s v="Withdrawal"/>
    <x v="2"/>
    <x v="13"/>
    <x v="611"/>
    <n v="299.13"/>
    <n v="-44.87"/>
    <x v="633"/>
    <n v="344"/>
  </r>
  <r>
    <x v="635"/>
    <x v="134"/>
    <s v="2025-05-05"/>
    <s v="Deposit"/>
    <x v="4"/>
    <x v="5"/>
    <x v="612"/>
    <n v="1295.3900000000001"/>
    <n v="364.18"/>
    <x v="634"/>
    <n v="931.21"/>
  </r>
  <r>
    <x v="636"/>
    <x v="88"/>
    <s v="2025-03-23"/>
    <s v="Withdrawal"/>
    <x v="5"/>
    <x v="17"/>
    <x v="613"/>
    <n v="1271.43"/>
    <n v="-190.71"/>
    <x v="635"/>
    <n v="1462.14"/>
  </r>
  <r>
    <x v="637"/>
    <x v="95"/>
    <s v="2025-10-09"/>
    <s v="Withdrawal"/>
    <x v="0"/>
    <x v="0"/>
    <x v="614"/>
    <n v="425.76"/>
    <n v="-63.86"/>
    <x v="636"/>
    <n v="489.62"/>
  </r>
  <r>
    <x v="638"/>
    <x v="50"/>
    <s v="2025-02-01"/>
    <s v="Withdrawal"/>
    <x v="0"/>
    <x v="20"/>
    <x v="615"/>
    <n v="239.9"/>
    <n v="-35.979999999999997"/>
    <x v="637"/>
    <n v="275.88"/>
  </r>
  <r>
    <x v="639"/>
    <x v="149"/>
    <s v="2025-12-21"/>
    <s v="Withdrawal"/>
    <x v="1"/>
    <x v="1"/>
    <x v="616"/>
    <n v="910.19"/>
    <n v="-136.53"/>
    <x v="638"/>
    <n v="1046.72"/>
  </r>
  <r>
    <x v="640"/>
    <x v="35"/>
    <s v="2025-09-25"/>
    <s v="Withdrawal"/>
    <x v="1"/>
    <x v="15"/>
    <x v="617"/>
    <n v="1425.43"/>
    <n v="-213.81"/>
    <x v="639"/>
    <n v="1639.24"/>
  </r>
  <r>
    <x v="641"/>
    <x v="62"/>
    <s v="2025-02-25"/>
    <s v="Withdrawal"/>
    <x v="4"/>
    <x v="5"/>
    <x v="618"/>
    <n v="212.46"/>
    <n v="-31.87"/>
    <x v="640"/>
    <n v="244.33"/>
  </r>
  <r>
    <x v="642"/>
    <x v="41"/>
    <s v="2025-07-03"/>
    <s v="Withdrawal"/>
    <x v="1"/>
    <x v="15"/>
    <x v="619"/>
    <n v="1420.2638235294123"/>
    <n v="-31.47"/>
    <x v="641"/>
    <n v="1451.7338235294123"/>
  </r>
  <r>
    <x v="643"/>
    <x v="94"/>
    <s v="2025-12-17"/>
    <s v="Withdrawal"/>
    <x v="5"/>
    <x v="6"/>
    <x v="620"/>
    <n v="936.1"/>
    <n v="-140.41"/>
    <x v="642"/>
    <n v="1076.51"/>
  </r>
  <r>
    <x v="644"/>
    <x v="47"/>
    <s v="2025-03-13"/>
    <s v="Deposit"/>
    <x v="3"/>
    <x v="7"/>
    <x v="621"/>
    <n v="9590.48"/>
    <n v="2194.34"/>
    <x v="643"/>
    <n v="7396.1399999999994"/>
  </r>
  <r>
    <x v="645"/>
    <x v="100"/>
    <s v="2025-07-18"/>
    <s v="Withdrawal"/>
    <x v="1"/>
    <x v="1"/>
    <x v="622"/>
    <n v="464.87"/>
    <n v="-69.73"/>
    <x v="644"/>
    <n v="534.6"/>
  </r>
  <r>
    <x v="646"/>
    <x v="14"/>
    <s v="2025-03-08"/>
    <s v="Deposit"/>
    <x v="2"/>
    <x v="2"/>
    <x v="623"/>
    <n v="380.47"/>
    <n v="49.65"/>
    <x v="645"/>
    <n v="330.82000000000005"/>
  </r>
  <r>
    <x v="647"/>
    <x v="148"/>
    <s v="2025-03-19"/>
    <s v="Withdrawal"/>
    <x v="1"/>
    <x v="14"/>
    <x v="624"/>
    <n v="1420.2638235294123"/>
    <n v="-122.48"/>
    <x v="646"/>
    <n v="1542.7438235294123"/>
  </r>
  <r>
    <x v="648"/>
    <x v="64"/>
    <s v="2025-03-23"/>
    <s v="Withdrawal"/>
    <x v="2"/>
    <x v="13"/>
    <x v="625"/>
    <n v="344.01"/>
    <n v="-51.6"/>
    <x v="647"/>
    <n v="395.61"/>
  </r>
  <r>
    <x v="649"/>
    <x v="107"/>
    <s v="2025-05-05"/>
    <s v="Deposit"/>
    <x v="6"/>
    <x v="16"/>
    <x v="626"/>
    <n v="1380.88"/>
    <n v="393.89"/>
    <x v="648"/>
    <n v="986.99000000000012"/>
  </r>
  <r>
    <x v="650"/>
    <x v="138"/>
    <s v="2025-08-22"/>
    <s v="Withdrawal"/>
    <x v="2"/>
    <x v="13"/>
    <x v="627"/>
    <n v="546.62"/>
    <n v="-81.99"/>
    <x v="649"/>
    <n v="628.61"/>
  </r>
  <r>
    <x v="651"/>
    <x v="93"/>
    <s v="2025-02-03"/>
    <s v="Deposit"/>
    <x v="2"/>
    <x v="4"/>
    <x v="628"/>
    <n v="162.93"/>
    <n v="30.89"/>
    <x v="650"/>
    <n v="132.04000000000002"/>
  </r>
  <r>
    <x v="652"/>
    <x v="6"/>
    <s v="2025-05-01"/>
    <s v="Withdrawal"/>
    <x v="6"/>
    <x v="11"/>
    <x v="629"/>
    <n v="1168.9100000000001"/>
    <n v="-175.34"/>
    <x v="651"/>
    <n v="1344.25"/>
  </r>
  <r>
    <x v="653"/>
    <x v="132"/>
    <s v="2025-04-14"/>
    <s v="Withdrawal"/>
    <x v="1"/>
    <x v="1"/>
    <x v="630"/>
    <n v="776.07"/>
    <n v="-116.41"/>
    <x v="652"/>
    <n v="892.48"/>
  </r>
  <r>
    <x v="654"/>
    <x v="0"/>
    <s v="2025-05-23"/>
    <s v="Deposit"/>
    <x v="1"/>
    <x v="14"/>
    <x v="631"/>
    <n v="1190.77"/>
    <n v="232.18"/>
    <x v="653"/>
    <n v="958.58999999999992"/>
  </r>
  <r>
    <x v="655"/>
    <x v="133"/>
    <s v="2025-11-16"/>
    <s v="Withdrawal"/>
    <x v="6"/>
    <x v="11"/>
    <x v="632"/>
    <n v="212.2"/>
    <n v="-31.83"/>
    <x v="654"/>
    <n v="244.02999999999997"/>
  </r>
  <r>
    <x v="656"/>
    <x v="122"/>
    <s v="2025-07-12"/>
    <s v="Withdrawal"/>
    <x v="6"/>
    <x v="16"/>
    <x v="633"/>
    <n v="766.91"/>
    <n v="-115.04"/>
    <x v="655"/>
    <n v="881.94999999999993"/>
  </r>
  <r>
    <x v="657"/>
    <x v="47"/>
    <s v="2026-01-01"/>
    <s v="Deposit"/>
    <x v="5"/>
    <x v="10"/>
    <x v="634"/>
    <n v="777.62"/>
    <n v="103.65"/>
    <x v="656"/>
    <n v="673.97"/>
  </r>
  <r>
    <x v="658"/>
    <x v="122"/>
    <s v="2025-09-15"/>
    <s v="Deposit"/>
    <x v="3"/>
    <x v="8"/>
    <x v="635"/>
    <n v="11935.15"/>
    <n v="3134.16"/>
    <x v="657"/>
    <n v="8800.99"/>
  </r>
  <r>
    <x v="659"/>
    <x v="45"/>
    <s v="2025-12-31"/>
    <s v="Deposit"/>
    <x v="5"/>
    <x v="17"/>
    <x v="636"/>
    <n v="1037.3"/>
    <n v="151.66"/>
    <x v="658"/>
    <n v="885.64"/>
  </r>
  <r>
    <x v="660"/>
    <x v="115"/>
    <s v="2025-09-19"/>
    <s v="Withdrawal"/>
    <x v="3"/>
    <x v="3"/>
    <x v="637"/>
    <n v="12793.44"/>
    <n v="-1919.02"/>
    <x v="659"/>
    <n v="14712.460000000001"/>
  </r>
  <r>
    <x v="661"/>
    <x v="66"/>
    <s v="CORRUPT_DATE_FLAG"/>
    <s v="Withdrawal"/>
    <x v="2"/>
    <x v="2"/>
    <x v="638"/>
    <n v="128.12"/>
    <n v="-19.22"/>
    <x v="660"/>
    <n v="147.34"/>
  </r>
  <r>
    <x v="662"/>
    <x v="141"/>
    <s v="2025-05-17"/>
    <s v="Withdrawal"/>
    <x v="5"/>
    <x v="6"/>
    <x v="639"/>
    <n v="1346.11"/>
    <n v="-201.92"/>
    <x v="661"/>
    <n v="1548.03"/>
  </r>
  <r>
    <x v="663"/>
    <x v="71"/>
    <s v="2025-10-01"/>
    <s v="Withdrawal"/>
    <x v="3"/>
    <x v="7"/>
    <x v="30"/>
    <n v="128.1"/>
    <n v="-19.21"/>
    <x v="662"/>
    <n v="147.31"/>
  </r>
  <r>
    <x v="664"/>
    <x v="69"/>
    <s v="2025-08-02"/>
    <s v="Deposit"/>
    <x v="1"/>
    <x v="14"/>
    <x v="640"/>
    <n v="1150.77"/>
    <n v="166.95"/>
    <x v="663"/>
    <n v="983.81999999999994"/>
  </r>
  <r>
    <x v="665"/>
    <x v="69"/>
    <s v="2025-03-03"/>
    <s v="Deposit"/>
    <x v="6"/>
    <x v="12"/>
    <x v="641"/>
    <n v="1179.94"/>
    <n v="230.99"/>
    <x v="664"/>
    <n v="948.95"/>
  </r>
  <r>
    <x v="666"/>
    <x v="101"/>
    <s v="2025-04-13"/>
    <s v="Deposit"/>
    <x v="5"/>
    <x v="6"/>
    <x v="642"/>
    <n v="1195.43"/>
    <n v="308.47000000000003"/>
    <x v="665"/>
    <n v="886.96"/>
  </r>
  <r>
    <x v="667"/>
    <x v="12"/>
    <s v="2025-04-09"/>
    <s v="Withdrawal"/>
    <x v="4"/>
    <x v="5"/>
    <x v="643"/>
    <n v="1420.2638235294123"/>
    <n v="-124.63"/>
    <x v="666"/>
    <n v="1544.8938235294122"/>
  </r>
  <r>
    <x v="668"/>
    <x v="100"/>
    <s v="2025-09-08"/>
    <s v="Deposit"/>
    <x v="3"/>
    <x v="8"/>
    <x v="644"/>
    <n v="10770.09"/>
    <n v="1867.49"/>
    <x v="667"/>
    <n v="8902.6"/>
  </r>
  <r>
    <x v="669"/>
    <x v="31"/>
    <s v="2025-10-08"/>
    <s v="Deposit"/>
    <x v="5"/>
    <x v="6"/>
    <x v="645"/>
    <n v="507.57"/>
    <n v="121.54"/>
    <x v="668"/>
    <n v="386.03"/>
  </r>
  <r>
    <x v="670"/>
    <x v="140"/>
    <s v="04/03/2025"/>
    <s v="Withdrawal"/>
    <x v="3"/>
    <x v="3"/>
    <x v="646"/>
    <n v="9626.34"/>
    <n v="-1443.95"/>
    <x v="669"/>
    <n v="11070.29"/>
  </r>
  <r>
    <x v="671"/>
    <x v="59"/>
    <s v="2025-12-02"/>
    <s v="Deposit"/>
    <x v="3"/>
    <x v="3"/>
    <x v="647"/>
    <n v="7068.84"/>
    <n v="1367.97"/>
    <x v="670"/>
    <n v="5700.87"/>
  </r>
  <r>
    <x v="672"/>
    <x v="20"/>
    <s v="2025-06-22"/>
    <s v="Withdrawal"/>
    <x v="6"/>
    <x v="11"/>
    <x v="648"/>
    <n v="760.54"/>
    <n v="-44.182985074626863"/>
    <x v="671"/>
    <n v="804.72298507462688"/>
  </r>
  <r>
    <x v="673"/>
    <x v="64"/>
    <s v="2025-04-06"/>
    <s v="Deposit"/>
    <x v="4"/>
    <x v="9"/>
    <x v="649"/>
    <n v="891.3"/>
    <n v="183.3"/>
    <x v="672"/>
    <n v="708"/>
  </r>
  <r>
    <x v="674"/>
    <x v="135"/>
    <s v="2025-08-05"/>
    <s v="Deposit"/>
    <x v="1"/>
    <x v="14"/>
    <x v="650"/>
    <n v="1370.83"/>
    <n v="327.91"/>
    <x v="673"/>
    <n v="1042.9199999999998"/>
  </r>
  <r>
    <x v="675"/>
    <x v="89"/>
    <s v="2025-01-04"/>
    <s v="Deposit"/>
    <x v="4"/>
    <x v="5"/>
    <x v="30"/>
    <n v="1420.2638235294123"/>
    <n v="32.729999999999997"/>
    <x v="674"/>
    <n v="1387.5338235294123"/>
  </r>
  <r>
    <x v="676"/>
    <x v="99"/>
    <s v="2025-07-28"/>
    <s v="Deposit"/>
    <x v="3"/>
    <x v="8"/>
    <x v="651"/>
    <n v="11274.01"/>
    <n v="2721.44"/>
    <x v="675"/>
    <n v="8552.57"/>
  </r>
  <r>
    <x v="677"/>
    <x v="144"/>
    <s v="2025-08-29"/>
    <s v="Deposit"/>
    <x v="2"/>
    <x v="13"/>
    <x v="652"/>
    <n v="1370.96"/>
    <n v="388.56"/>
    <x v="676"/>
    <n v="982.40000000000009"/>
  </r>
  <r>
    <x v="678"/>
    <x v="79"/>
    <s v="2025-12-24"/>
    <s v="Withdrawal"/>
    <x v="5"/>
    <x v="17"/>
    <x v="653"/>
    <n v="829.59"/>
    <n v="-124.44"/>
    <x v="677"/>
    <n v="954.03"/>
  </r>
  <r>
    <x v="679"/>
    <x v="45"/>
    <s v="2025-01-17"/>
    <s v="Deposit"/>
    <x v="1"/>
    <x v="1"/>
    <x v="654"/>
    <n v="187.72"/>
    <n v="41.14"/>
    <x v="678"/>
    <n v="146.57999999999998"/>
  </r>
  <r>
    <x v="680"/>
    <x v="57"/>
    <s v="2025-08-30"/>
    <s v="Deposit"/>
    <x v="1"/>
    <x v="1"/>
    <x v="655"/>
    <n v="937.66"/>
    <n v="195.43"/>
    <x v="679"/>
    <n v="742.23"/>
  </r>
  <r>
    <x v="681"/>
    <x v="90"/>
    <s v="2025-11-04"/>
    <s v="Withdrawal"/>
    <x v="1"/>
    <x v="14"/>
    <x v="656"/>
    <n v="126.83"/>
    <n v="-19.02"/>
    <x v="680"/>
    <n v="145.85"/>
  </r>
  <r>
    <x v="682"/>
    <x v="44"/>
    <s v="2025-06-02"/>
    <s v="Withdrawal"/>
    <x v="1"/>
    <x v="15"/>
    <x v="657"/>
    <n v="1028.3"/>
    <n v="-154.24"/>
    <x v="681"/>
    <n v="1182.54"/>
  </r>
  <r>
    <x v="683"/>
    <x v="106"/>
    <s v="CORRUPT_DATE_FLAG"/>
    <s v="Deposit"/>
    <x v="0"/>
    <x v="0"/>
    <x v="658"/>
    <n v="664"/>
    <n v="113.59"/>
    <x v="682"/>
    <n v="550.41"/>
  </r>
  <r>
    <x v="684"/>
    <x v="45"/>
    <s v="2025-04-07"/>
    <s v="Withdrawal"/>
    <x v="4"/>
    <x v="5"/>
    <x v="659"/>
    <n v="1441.18"/>
    <n v="-216.18"/>
    <x v="683"/>
    <n v="1657.3600000000001"/>
  </r>
  <r>
    <x v="685"/>
    <x v="12"/>
    <s v="2025-07-17"/>
    <s v="Withdrawal"/>
    <x v="6"/>
    <x v="16"/>
    <x v="660"/>
    <n v="1029.44"/>
    <n v="-154.41999999999999"/>
    <x v="684"/>
    <n v="1183.8600000000001"/>
  </r>
  <r>
    <x v="686"/>
    <x v="99"/>
    <s v="2025-02-07"/>
    <s v="Deposit"/>
    <x v="2"/>
    <x v="13"/>
    <x v="661"/>
    <n v="1505.54"/>
    <n v="363.55"/>
    <x v="685"/>
    <n v="1141.99"/>
  </r>
  <r>
    <x v="687"/>
    <x v="108"/>
    <s v="2025-08-31"/>
    <s v="Deposit"/>
    <x v="4"/>
    <x v="5"/>
    <x v="662"/>
    <n v="1082.93"/>
    <n v="264.79000000000002"/>
    <x v="686"/>
    <n v="818.1400000000001"/>
  </r>
  <r>
    <x v="688"/>
    <x v="136"/>
    <s v="2025-11-13"/>
    <s v="Withdrawal"/>
    <x v="1"/>
    <x v="1"/>
    <x v="663"/>
    <n v="824.78"/>
    <n v="-123.72"/>
    <x v="687"/>
    <n v="948.5"/>
  </r>
  <r>
    <x v="689"/>
    <x v="37"/>
    <s v="2025-10-19"/>
    <s v="Withdrawal"/>
    <x v="0"/>
    <x v="0"/>
    <x v="664"/>
    <n v="405.53"/>
    <n v="-60.83"/>
    <x v="688"/>
    <n v="466.35999999999996"/>
  </r>
  <r>
    <x v="690"/>
    <x v="73"/>
    <s v="2025-09-07"/>
    <s v="Withdrawal"/>
    <x v="0"/>
    <x v="20"/>
    <x v="665"/>
    <n v="1338.18"/>
    <n v="-200.73"/>
    <x v="689"/>
    <n v="1538.91"/>
  </r>
  <r>
    <x v="691"/>
    <x v="113"/>
    <s v="2025-08-31"/>
    <s v="Withdrawal"/>
    <x v="4"/>
    <x v="9"/>
    <x v="30"/>
    <n v="136.28"/>
    <n v="-20.440000000000001"/>
    <x v="690"/>
    <n v="156.72"/>
  </r>
  <r>
    <x v="692"/>
    <x v="23"/>
    <s v="2025-01-26"/>
    <s v="Deposit"/>
    <x v="3"/>
    <x v="3"/>
    <x v="666"/>
    <n v="10024.84"/>
    <n v="2407.1799999999998"/>
    <x v="691"/>
    <n v="7617.66"/>
  </r>
  <r>
    <x v="693"/>
    <x v="58"/>
    <s v="2025-02-22"/>
    <s v="Deposit"/>
    <x v="5"/>
    <x v="10"/>
    <x v="30"/>
    <n v="118.25"/>
    <n v="18.25"/>
    <x v="692"/>
    <n v="100"/>
  </r>
  <r>
    <x v="694"/>
    <x v="9"/>
    <s v="2025-11-14"/>
    <s v="Deposit"/>
    <x v="2"/>
    <x v="13"/>
    <x v="667"/>
    <n v="372.32"/>
    <n v="104.32"/>
    <x v="693"/>
    <n v="268"/>
  </r>
  <r>
    <x v="695"/>
    <x v="121"/>
    <s v="2025-04-11"/>
    <s v="Withdrawal"/>
    <x v="3"/>
    <x v="8"/>
    <x v="668"/>
    <n v="8977.35"/>
    <n v="-1346.6"/>
    <x v="694"/>
    <n v="10323.950000000001"/>
  </r>
  <r>
    <x v="696"/>
    <x v="130"/>
    <s v="2025-12-16"/>
    <s v="Deposit"/>
    <x v="5"/>
    <x v="17"/>
    <x v="669"/>
    <n v="1355.06"/>
    <n v="190.48"/>
    <x v="695"/>
    <n v="1164.58"/>
  </r>
  <r>
    <x v="697"/>
    <x v="144"/>
    <s v="2025-07-09"/>
    <s v="Deposit"/>
    <x v="5"/>
    <x v="6"/>
    <x v="670"/>
    <n v="66.86"/>
    <n v="15.77"/>
    <x v="696"/>
    <n v="51.09"/>
  </r>
  <r>
    <x v="698"/>
    <x v="86"/>
    <s v="2025-07-21"/>
    <s v="Deposit"/>
    <x v="3"/>
    <x v="7"/>
    <x v="671"/>
    <n v="5786.93"/>
    <n v="921.55"/>
    <x v="697"/>
    <n v="4865.38"/>
  </r>
  <r>
    <x v="699"/>
    <x v="65"/>
    <s v="2025-01-14"/>
    <s v="Deposit"/>
    <x v="1"/>
    <x v="1"/>
    <x v="672"/>
    <n v="666.83"/>
    <n v="128.01"/>
    <x v="698"/>
    <n v="538.82000000000005"/>
  </r>
  <r>
    <x v="700"/>
    <x v="85"/>
    <s v="2025-06-05"/>
    <s v="Deposit"/>
    <x v="4"/>
    <x v="5"/>
    <x v="673"/>
    <n v="105.63"/>
    <n v="27.44"/>
    <x v="699"/>
    <n v="78.19"/>
  </r>
  <r>
    <x v="701"/>
    <x v="45"/>
    <s v="2025-07-12"/>
    <s v="Deposit"/>
    <x v="5"/>
    <x v="10"/>
    <x v="674"/>
    <n v="202.07"/>
    <n v="31.9"/>
    <x v="700"/>
    <n v="170.17"/>
  </r>
  <r>
    <x v="702"/>
    <x v="112"/>
    <s v="2025-02-11"/>
    <s v="Deposit"/>
    <x v="6"/>
    <x v="12"/>
    <x v="675"/>
    <n v="177.27"/>
    <n v="-44.182985074626863"/>
    <x v="701"/>
    <n v="221.45298507462687"/>
  </r>
  <r>
    <x v="703"/>
    <x v="126"/>
    <s v="2025-12-11"/>
    <s v="Deposit"/>
    <x v="6"/>
    <x v="11"/>
    <x v="676"/>
    <n v="1381.27"/>
    <n v="332.49"/>
    <x v="702"/>
    <n v="1048.78"/>
  </r>
  <r>
    <x v="704"/>
    <x v="125"/>
    <s v="09/02/2025"/>
    <s v="Deposit"/>
    <x v="5"/>
    <x v="6"/>
    <x v="677"/>
    <n v="700.14"/>
    <n v="182.61"/>
    <x v="703"/>
    <n v="517.53"/>
  </r>
  <r>
    <x v="705"/>
    <x v="133"/>
    <s v="2025-10-30"/>
    <s v="Deposit"/>
    <x v="3"/>
    <x v="8"/>
    <x v="678"/>
    <n v="9089.2199999999993"/>
    <n v="1903.93"/>
    <x v="704"/>
    <n v="7185.2899999999991"/>
  </r>
  <r>
    <x v="706"/>
    <x v="139"/>
    <s v="2025-05-21"/>
    <s v="Withdrawal"/>
    <x v="3"/>
    <x v="3"/>
    <x v="679"/>
    <n v="10184.200000000001"/>
    <n v="-1527.63"/>
    <x v="705"/>
    <n v="11711.830000000002"/>
  </r>
  <r>
    <x v="707"/>
    <x v="24"/>
    <s v="2025-07-29"/>
    <s v="Deposit"/>
    <x v="5"/>
    <x v="6"/>
    <x v="680"/>
    <n v="1002.05"/>
    <n v="276.08"/>
    <x v="706"/>
    <n v="725.97"/>
  </r>
  <r>
    <x v="708"/>
    <x v="80"/>
    <s v="2025-10-29"/>
    <s v="Deposit"/>
    <x v="6"/>
    <x v="11"/>
    <x v="681"/>
    <n v="32.86"/>
    <n v="7.36"/>
    <x v="707"/>
    <n v="25.5"/>
  </r>
  <r>
    <x v="709"/>
    <x v="12"/>
    <s v="2025-03-20"/>
    <s v="Deposit"/>
    <x v="0"/>
    <x v="0"/>
    <x v="682"/>
    <n v="602.26"/>
    <n v="126.64"/>
    <x v="708"/>
    <n v="475.62"/>
  </r>
  <r>
    <x v="710"/>
    <x v="130"/>
    <s v="04/03/2025"/>
    <s v="Withdrawal"/>
    <x v="3"/>
    <x v="3"/>
    <x v="683"/>
    <n v="9042.6200000000008"/>
    <n v="-1356.39"/>
    <x v="709"/>
    <n v="10399.01"/>
  </r>
  <r>
    <x v="711"/>
    <x v="133"/>
    <s v="13/05/2025"/>
    <s v="Deposit"/>
    <x v="2"/>
    <x v="4"/>
    <x v="684"/>
    <n v="1624.56"/>
    <n v="425.07"/>
    <x v="710"/>
    <n v="1199.49"/>
  </r>
  <r>
    <x v="712"/>
    <x v="37"/>
    <s v="2025-08-27"/>
    <s v="Deposit"/>
    <x v="4"/>
    <x v="5"/>
    <x v="685"/>
    <n v="1309.47"/>
    <n v="210.4"/>
    <x v="711"/>
    <n v="1099.07"/>
  </r>
  <r>
    <x v="713"/>
    <x v="144"/>
    <s v="2025-04-19"/>
    <s v="Deposit"/>
    <x v="5"/>
    <x v="10"/>
    <x v="686"/>
    <n v="241.15"/>
    <n v="51.25"/>
    <x v="712"/>
    <n v="189.9"/>
  </r>
  <r>
    <x v="714"/>
    <x v="100"/>
    <s v="2025-07-05"/>
    <s v="Withdrawal"/>
    <x v="4"/>
    <x v="5"/>
    <x v="687"/>
    <n v="605.92999999999995"/>
    <n v="-90.89"/>
    <x v="713"/>
    <n v="696.81999999999994"/>
  </r>
  <r>
    <x v="715"/>
    <x v="56"/>
    <s v="2025-06-05"/>
    <s v="Withdrawal"/>
    <x v="6"/>
    <x v="16"/>
    <x v="688"/>
    <n v="1311.78"/>
    <n v="-196.77"/>
    <x v="714"/>
    <n v="1508.55"/>
  </r>
  <r>
    <x v="716"/>
    <x v="22"/>
    <s v="2025-09-30"/>
    <s v="Deposit"/>
    <x v="1"/>
    <x v="15"/>
    <x v="689"/>
    <n v="117.39"/>
    <n v="28.07"/>
    <x v="715"/>
    <n v="89.32"/>
  </r>
  <r>
    <x v="717"/>
    <x v="46"/>
    <s v="2025-05-26"/>
    <s v="Withdrawal"/>
    <x v="3"/>
    <x v="3"/>
    <x v="690"/>
    <n v="11302.48"/>
    <n v="-1695.37"/>
    <x v="716"/>
    <n v="12997.849999999999"/>
  </r>
  <r>
    <x v="718"/>
    <x v="113"/>
    <s v="2025-04-23"/>
    <s v="Deposit"/>
    <x v="6"/>
    <x v="11"/>
    <x v="691"/>
    <n v="1211.7"/>
    <n v="166.56"/>
    <x v="717"/>
    <n v="1045.1400000000001"/>
  </r>
  <r>
    <x v="719"/>
    <x v="123"/>
    <s v="2025-12-18"/>
    <s v="Deposit"/>
    <x v="5"/>
    <x v="10"/>
    <x v="692"/>
    <n v="408.56"/>
    <n v="74.02"/>
    <x v="718"/>
    <n v="334.54"/>
  </r>
  <r>
    <x v="720"/>
    <x v="148"/>
    <s v="2025-02-21"/>
    <s v="Deposit"/>
    <x v="5"/>
    <x v="6"/>
    <x v="693"/>
    <n v="1130.45"/>
    <n v="178.8"/>
    <x v="719"/>
    <n v="951.65000000000009"/>
  </r>
  <r>
    <x v="721"/>
    <x v="55"/>
    <s v="2025-02-25"/>
    <s v="Withdrawal"/>
    <x v="5"/>
    <x v="6"/>
    <x v="694"/>
    <n v="651.04"/>
    <n v="-97.66"/>
    <x v="720"/>
    <n v="748.69999999999993"/>
  </r>
  <r>
    <x v="722"/>
    <x v="44"/>
    <s v="2025-08-29"/>
    <s v="Withdrawal"/>
    <x v="1"/>
    <x v="15"/>
    <x v="695"/>
    <n v="572.04"/>
    <n v="-85.81"/>
    <x v="721"/>
    <n v="657.84999999999991"/>
  </r>
  <r>
    <x v="723"/>
    <x v="77"/>
    <s v="2025-11-09"/>
    <s v="Withdrawal"/>
    <x v="2"/>
    <x v="2"/>
    <x v="696"/>
    <n v="172.97"/>
    <n v="-25.95"/>
    <x v="722"/>
    <n v="198.92"/>
  </r>
  <r>
    <x v="724"/>
    <x v="126"/>
    <s v="2025-10-29"/>
    <s v="Deposit"/>
    <x v="4"/>
    <x v="19"/>
    <x v="697"/>
    <n v="1396.27"/>
    <n v="299.26"/>
    <x v="723"/>
    <n v="1097.01"/>
  </r>
  <r>
    <x v="725"/>
    <x v="147"/>
    <s v="2025-11-17"/>
    <s v="Withdrawal"/>
    <x v="2"/>
    <x v="13"/>
    <x v="698"/>
    <n v="295.89999999999998"/>
    <n v="-44.38"/>
    <x v="724"/>
    <n v="340.28"/>
  </r>
  <r>
    <x v="726"/>
    <x v="112"/>
    <s v="2025-03-12"/>
    <s v="Deposit"/>
    <x v="6"/>
    <x v="12"/>
    <x v="699"/>
    <n v="1335.62"/>
    <n v="274.27999999999997"/>
    <x v="725"/>
    <n v="1061.3399999999999"/>
  </r>
  <r>
    <x v="727"/>
    <x v="95"/>
    <s v="2025-04-23"/>
    <s v="Deposit"/>
    <x v="4"/>
    <x v="5"/>
    <x v="700"/>
    <n v="1251.5999999999999"/>
    <n v="221.55"/>
    <x v="726"/>
    <n v="1030.05"/>
  </r>
  <r>
    <x v="728"/>
    <x v="53"/>
    <s v="2025-12-26"/>
    <s v="Withdrawal"/>
    <x v="3"/>
    <x v="7"/>
    <x v="701"/>
    <n v="9415.5"/>
    <n v="-1412.33"/>
    <x v="727"/>
    <n v="10827.83"/>
  </r>
  <r>
    <x v="729"/>
    <x v="138"/>
    <s v="2025-06-20"/>
    <s v="Withdrawal"/>
    <x v="6"/>
    <x v="11"/>
    <x v="702"/>
    <n v="1412.34"/>
    <n v="-211.85"/>
    <x v="728"/>
    <n v="1624.1899999999998"/>
  </r>
  <r>
    <x v="730"/>
    <x v="40"/>
    <s v="19/07/2025"/>
    <s v="Withdrawal"/>
    <x v="3"/>
    <x v="7"/>
    <x v="703"/>
    <n v="9967.5499999999993"/>
    <n v="-1495.13"/>
    <x v="729"/>
    <n v="11462.68"/>
  </r>
  <r>
    <x v="731"/>
    <x v="10"/>
    <s v="CORRUPT_DATE_FLAG"/>
    <s v="Withdrawal"/>
    <x v="4"/>
    <x v="5"/>
    <x v="704"/>
    <n v="1420.2638235294123"/>
    <n v="-108.24"/>
    <x v="730"/>
    <n v="1528.5038235294123"/>
  </r>
  <r>
    <x v="732"/>
    <x v="129"/>
    <s v="19/04/2025"/>
    <s v="Deposit"/>
    <x v="5"/>
    <x v="6"/>
    <x v="705"/>
    <n v="1227.93"/>
    <n v="236.37"/>
    <x v="731"/>
    <n v="991.56000000000006"/>
  </r>
  <r>
    <x v="733"/>
    <x v="125"/>
    <s v="2025-10-18"/>
    <s v="Deposit"/>
    <x v="4"/>
    <x v="19"/>
    <x v="706"/>
    <n v="678.98"/>
    <n v="157.84"/>
    <x v="732"/>
    <n v="521.14"/>
  </r>
  <r>
    <x v="734"/>
    <x v="104"/>
    <s v="2025-12-23"/>
    <s v="Deposit"/>
    <x v="5"/>
    <x v="10"/>
    <x v="707"/>
    <n v="917.44"/>
    <n v="141.26"/>
    <x v="733"/>
    <n v="776.18000000000006"/>
  </r>
  <r>
    <x v="735"/>
    <x v="144"/>
    <s v="2025-05-17"/>
    <s v="Withdrawal"/>
    <x v="6"/>
    <x v="16"/>
    <x v="708"/>
    <n v="1065.95"/>
    <n v="-159.88999999999999"/>
    <x v="734"/>
    <n v="1225.8400000000001"/>
  </r>
  <r>
    <x v="736"/>
    <x v="140"/>
    <s v="2025-01-08"/>
    <s v="Deposit"/>
    <x v="5"/>
    <x v="10"/>
    <x v="709"/>
    <n v="877.35"/>
    <n v="243.83"/>
    <x v="735"/>
    <n v="633.52"/>
  </r>
  <r>
    <x v="737"/>
    <x v="68"/>
    <s v="16/05/2025"/>
    <s v="Withdrawal"/>
    <x v="0"/>
    <x v="18"/>
    <x v="710"/>
    <n v="1185.54"/>
    <n v="-177.83"/>
    <x v="736"/>
    <n v="1363.37"/>
  </r>
  <r>
    <x v="738"/>
    <x v="87"/>
    <s v="05/06/2025"/>
    <s v="Withdrawal"/>
    <x v="0"/>
    <x v="20"/>
    <x v="711"/>
    <n v="36.28"/>
    <n v="-5.44"/>
    <x v="737"/>
    <n v="41.72"/>
  </r>
  <r>
    <x v="739"/>
    <x v="73"/>
    <s v="2025-08-12"/>
    <s v="Withdrawal"/>
    <x v="6"/>
    <x v="11"/>
    <x v="712"/>
    <n v="943.34"/>
    <n v="-141.5"/>
    <x v="738"/>
    <n v="1084.8400000000001"/>
  </r>
  <r>
    <x v="740"/>
    <x v="106"/>
    <s v="2025-06-15"/>
    <s v="Deposit"/>
    <x v="4"/>
    <x v="5"/>
    <x v="713"/>
    <n v="1079.7"/>
    <n v="307.52999999999997"/>
    <x v="739"/>
    <n v="772.17000000000007"/>
  </r>
  <r>
    <x v="741"/>
    <x v="19"/>
    <s v="2025-11-05"/>
    <s v="Withdrawal"/>
    <x v="3"/>
    <x v="3"/>
    <x v="714"/>
    <n v="7807.24"/>
    <n v="-1171.0899999999999"/>
    <x v="740"/>
    <n v="8978.33"/>
  </r>
  <r>
    <x v="742"/>
    <x v="35"/>
    <s v="2025-01-06"/>
    <s v="Withdrawal"/>
    <x v="3"/>
    <x v="8"/>
    <x v="715"/>
    <n v="9796.7800000000007"/>
    <n v="-1469.52"/>
    <x v="741"/>
    <n v="11266.300000000001"/>
  </r>
  <r>
    <x v="743"/>
    <x v="115"/>
    <s v="2025-07-15"/>
    <s v="Deposit"/>
    <x v="3"/>
    <x v="8"/>
    <x v="716"/>
    <n v="5517.98"/>
    <n v="765.51"/>
    <x v="742"/>
    <n v="4752.4699999999993"/>
  </r>
  <r>
    <x v="744"/>
    <x v="101"/>
    <s v="2025-09-19"/>
    <s v="Deposit"/>
    <x v="4"/>
    <x v="5"/>
    <x v="717"/>
    <n v="113.46"/>
    <n v="17.34"/>
    <x v="743"/>
    <n v="96.11999999999999"/>
  </r>
  <r>
    <x v="745"/>
    <x v="83"/>
    <s v="2025-05-31"/>
    <s v="Withdrawal"/>
    <x v="5"/>
    <x v="10"/>
    <x v="718"/>
    <n v="845.66"/>
    <n v="-126.85"/>
    <x v="744"/>
    <n v="972.51"/>
  </r>
  <r>
    <x v="746"/>
    <x v="13"/>
    <s v="2025-03-30"/>
    <s v="Withdrawal"/>
    <x v="2"/>
    <x v="13"/>
    <x v="719"/>
    <n v="1584.56"/>
    <n v="-237.68"/>
    <x v="745"/>
    <n v="1822.24"/>
  </r>
  <r>
    <x v="747"/>
    <x v="31"/>
    <s v="2025-05-28"/>
    <s v="Deposit"/>
    <x v="2"/>
    <x v="4"/>
    <x v="720"/>
    <n v="861.69"/>
    <n v="160.05000000000001"/>
    <x v="746"/>
    <n v="701.6400000000001"/>
  </r>
  <r>
    <x v="748"/>
    <x v="143"/>
    <s v="2025-10-06"/>
    <s v="Withdrawal"/>
    <x v="3"/>
    <x v="3"/>
    <x v="721"/>
    <n v="10411.280000000001"/>
    <n v="-1561.69"/>
    <x v="747"/>
    <n v="11972.970000000001"/>
  </r>
  <r>
    <x v="749"/>
    <x v="108"/>
    <s v="2025-06-01"/>
    <s v="Withdrawal"/>
    <x v="6"/>
    <x v="16"/>
    <x v="722"/>
    <n v="356.68"/>
    <n v="-53.5"/>
    <x v="748"/>
    <n v="410.18"/>
  </r>
  <r>
    <x v="750"/>
    <x v="18"/>
    <s v="2025-04-25"/>
    <s v="Deposit"/>
    <x v="0"/>
    <x v="0"/>
    <x v="723"/>
    <n v="343.5"/>
    <n v="96.2"/>
    <x v="749"/>
    <n v="247.3"/>
  </r>
  <r>
    <x v="751"/>
    <x v="28"/>
    <s v="22/11/2025"/>
    <s v="Withdrawal"/>
    <x v="6"/>
    <x v="16"/>
    <x v="724"/>
    <n v="161.27000000000001"/>
    <n v="-24.19"/>
    <x v="750"/>
    <n v="185.46"/>
  </r>
  <r>
    <x v="752"/>
    <x v="130"/>
    <s v="2025-08-12"/>
    <s v="Deposit"/>
    <x v="5"/>
    <x v="6"/>
    <x v="725"/>
    <n v="596.45000000000005"/>
    <n v="159.18"/>
    <x v="751"/>
    <n v="437.27000000000004"/>
  </r>
  <r>
    <x v="753"/>
    <x v="44"/>
    <s v="2025-07-09"/>
    <s v="Withdrawal"/>
    <x v="1"/>
    <x v="14"/>
    <x v="726"/>
    <n v="363.16"/>
    <n v="-54.47"/>
    <x v="752"/>
    <n v="417.63"/>
  </r>
  <r>
    <x v="754"/>
    <x v="34"/>
    <s v="2025-03-18"/>
    <s v="Deposit"/>
    <x v="1"/>
    <x v="15"/>
    <x v="727"/>
    <n v="401.51"/>
    <n v="90.68"/>
    <x v="753"/>
    <n v="310.83"/>
  </r>
  <r>
    <x v="755"/>
    <x v="115"/>
    <s v="2025-09-08"/>
    <s v="Withdrawal"/>
    <x v="1"/>
    <x v="15"/>
    <x v="728"/>
    <n v="913.83"/>
    <n v="-137.07"/>
    <x v="754"/>
    <n v="1050.9000000000001"/>
  </r>
  <r>
    <x v="756"/>
    <x v="107"/>
    <s v="2025-11-01"/>
    <s v="Deposit"/>
    <x v="4"/>
    <x v="5"/>
    <x v="729"/>
    <n v="1429.62"/>
    <n v="332.85"/>
    <x v="755"/>
    <n v="1096.77"/>
  </r>
  <r>
    <x v="757"/>
    <x v="30"/>
    <s v="2025-10-18"/>
    <s v="Deposit"/>
    <x v="3"/>
    <x v="3"/>
    <x v="730"/>
    <n v="5793.07"/>
    <n v="1020.77"/>
    <x v="756"/>
    <n v="4772.2999999999993"/>
  </r>
  <r>
    <x v="758"/>
    <x v="82"/>
    <s v="2025-02-21"/>
    <s v="Withdrawal"/>
    <x v="3"/>
    <x v="3"/>
    <x v="731"/>
    <n v="11209.19"/>
    <n v="-1681.38"/>
    <x v="757"/>
    <n v="12890.57"/>
  </r>
  <r>
    <x v="759"/>
    <x v="146"/>
    <s v="2025-09-19"/>
    <s v="Deposit"/>
    <x v="3"/>
    <x v="3"/>
    <x v="732"/>
    <n v="9416.61"/>
    <n v="1951.52"/>
    <x v="758"/>
    <n v="7465.09"/>
  </r>
  <r>
    <x v="760"/>
    <x v="35"/>
    <s v="2025-06-14"/>
    <s v="Withdrawal"/>
    <x v="3"/>
    <x v="8"/>
    <x v="733"/>
    <n v="12233.73"/>
    <n v="-1835.06"/>
    <x v="759"/>
    <n v="14068.789999999999"/>
  </r>
  <r>
    <x v="761"/>
    <x v="108"/>
    <s v="2025-05-11"/>
    <s v="Deposit"/>
    <x v="5"/>
    <x v="6"/>
    <x v="734"/>
    <n v="674.88"/>
    <n v="-44.182985074626863"/>
    <x v="760"/>
    <n v="719.06298507462691"/>
  </r>
  <r>
    <x v="762"/>
    <x v="11"/>
    <s v="2025-08-21"/>
    <s v="Withdrawal"/>
    <x v="6"/>
    <x v="11"/>
    <x v="735"/>
    <n v="1185.95"/>
    <n v="-177.89"/>
    <x v="761"/>
    <n v="1363.8400000000001"/>
  </r>
  <r>
    <x v="763"/>
    <x v="32"/>
    <s v="2025-08-02"/>
    <s v="Deposit"/>
    <x v="1"/>
    <x v="15"/>
    <x v="736"/>
    <n v="638.79999999999995"/>
    <n v="127.39"/>
    <x v="762"/>
    <n v="511.40999999999997"/>
  </r>
  <r>
    <x v="764"/>
    <x v="80"/>
    <s v="2025-10-13"/>
    <s v="Withdrawal"/>
    <x v="3"/>
    <x v="7"/>
    <x v="30"/>
    <n v="139.35"/>
    <n v="-20.9"/>
    <x v="763"/>
    <n v="160.25"/>
  </r>
  <r>
    <x v="765"/>
    <x v="60"/>
    <s v="2025-10-27"/>
    <s v="Withdrawal"/>
    <x v="2"/>
    <x v="13"/>
    <x v="737"/>
    <n v="922.83"/>
    <n v="-138.41999999999999"/>
    <x v="764"/>
    <n v="1061.25"/>
  </r>
  <r>
    <x v="766"/>
    <x v="64"/>
    <s v="2025-02-19"/>
    <s v="Deposit"/>
    <x v="3"/>
    <x v="7"/>
    <x v="738"/>
    <n v="6020.42"/>
    <n v="1250.1500000000001"/>
    <x v="765"/>
    <n v="4770.2700000000004"/>
  </r>
  <r>
    <x v="767"/>
    <x v="73"/>
    <s v="2025-07-30"/>
    <s v="Deposit"/>
    <x v="4"/>
    <x v="5"/>
    <x v="739"/>
    <n v="173.83"/>
    <n v="48.99"/>
    <x v="766"/>
    <n v="124.84"/>
  </r>
  <r>
    <x v="768"/>
    <x v="31"/>
    <s v="2025-03-19"/>
    <s v="Withdrawal"/>
    <x v="6"/>
    <x v="12"/>
    <x v="740"/>
    <n v="45.39"/>
    <n v="-6.81"/>
    <x v="767"/>
    <n v="52.2"/>
  </r>
  <r>
    <x v="769"/>
    <x v="41"/>
    <s v="2025-02-20"/>
    <s v="Withdrawal"/>
    <x v="1"/>
    <x v="14"/>
    <x v="741"/>
    <n v="394.67"/>
    <n v="-59.2"/>
    <x v="768"/>
    <n v="453.87"/>
  </r>
  <r>
    <x v="770"/>
    <x v="115"/>
    <s v="2025-07-06"/>
    <s v="Deposit"/>
    <x v="2"/>
    <x v="2"/>
    <x v="742"/>
    <n v="19.11"/>
    <n v="3.79"/>
    <x v="769"/>
    <n v="15.32"/>
  </r>
  <r>
    <x v="771"/>
    <x v="86"/>
    <s v="2025-05-24"/>
    <s v="Deposit"/>
    <x v="2"/>
    <x v="2"/>
    <x v="743"/>
    <n v="1287.97"/>
    <n v="201.09"/>
    <x v="770"/>
    <n v="1086.8800000000001"/>
  </r>
  <r>
    <x v="772"/>
    <x v="123"/>
    <s v="2025-04-29"/>
    <s v="Withdrawal"/>
    <x v="4"/>
    <x v="9"/>
    <x v="744"/>
    <n v="238.62"/>
    <n v="-35.79"/>
    <x v="771"/>
    <n v="274.41000000000003"/>
  </r>
  <r>
    <x v="773"/>
    <x v="92"/>
    <s v="2025-10-12"/>
    <s v="Withdrawal"/>
    <x v="6"/>
    <x v="12"/>
    <x v="745"/>
    <n v="883.6"/>
    <n v="-132.54"/>
    <x v="772"/>
    <n v="1016.14"/>
  </r>
  <r>
    <x v="774"/>
    <x v="143"/>
    <s v="2025-10-22"/>
    <s v="Deposit"/>
    <x v="5"/>
    <x v="6"/>
    <x v="746"/>
    <n v="1263.72"/>
    <n v="334.74"/>
    <x v="773"/>
    <n v="928.9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5">
  <r>
    <s v="TXN200001"/>
    <s v="CUST649"/>
    <s v="2025-10-04"/>
    <s v="Withdrawal"/>
    <x v="0"/>
    <s v="State Hydro Grid"/>
    <n v="269.20999999999998"/>
    <n v="324.51"/>
    <n v="-48.68"/>
    <n v="265.58999999999997"/>
    <n v="373.19"/>
    <n v="3.6200000000000045"/>
  </r>
  <r>
    <s v="TXN200002"/>
    <s v="CUST555"/>
    <s v="2025-08-13"/>
    <s v="Deposit"/>
    <x v="1"/>
    <s v="Amazon Digital Supply"/>
    <n v="542.58000000000004"/>
    <n v="696.85"/>
    <n v="154.27000000000001"/>
    <n v="519.51"/>
    <n v="542.58000000000004"/>
    <n v="23.07000000000005"/>
  </r>
  <r>
    <s v="TXN200003"/>
    <s v="CUST562"/>
    <s v="2025-07-26"/>
    <s v="Withdrawal"/>
    <x v="2"/>
    <s v="Supermart Marketplace"/>
    <n v="375.58"/>
    <n v="442.32"/>
    <n v="-66.349999999999994"/>
    <n v="430.8"/>
    <n v="508.66999999999996"/>
    <n v="-55.220000000000027"/>
  </r>
  <r>
    <s v="TXN200004"/>
    <s v="CUST569"/>
    <s v="2025-07-14"/>
    <s v="Deposit"/>
    <x v="0"/>
    <s v="State Hydro Grid"/>
    <n v="807.69"/>
    <n v="930.16"/>
    <n v="122.47"/>
    <n v="839.38"/>
    <n v="807.68999999999994"/>
    <n v="-31.689999999999941"/>
  </r>
  <r>
    <s v="TXN200005"/>
    <s v="CUST589"/>
    <s v="2025-07-09"/>
    <s v="Withdrawal"/>
    <x v="3"/>
    <s v="Global Industries Llc"/>
    <n v="4843.5200000000004"/>
    <n v="5611.92"/>
    <n v="-841.79"/>
    <n v="4621.9399999999996"/>
    <n v="6453.71"/>
    <n v="221.58000000000084"/>
  </r>
  <r>
    <s v="TXN200006"/>
    <s v="CUST539"/>
    <s v="2025-07-05"/>
    <s v="Withdrawal"/>
    <x v="2"/>
    <s v="Whole Foods Store"/>
    <n v="619.87"/>
    <n v="847.4"/>
    <n v="-127.11"/>
    <n v="591.57000000000005"/>
    <n v="974.51"/>
    <n v="28.299999999999955"/>
  </r>
  <r>
    <s v="TXN200007"/>
    <s v="CUST502"/>
    <s v="2025-02-03"/>
    <s v="Deposit"/>
    <x v="4"/>
    <s v="Mcdonalds Corp Express"/>
    <n v="847.04"/>
    <n v="1067.75"/>
    <n v="220.71"/>
    <n v="970"/>
    <n v="847.04"/>
    <n v="-122.96000000000004"/>
  </r>
  <r>
    <s v="TXN200008"/>
    <s v="CUST618"/>
    <s v="2025-03-13"/>
    <s v="Deposit"/>
    <x v="5"/>
    <s v="Internal P2P Route"/>
    <n v="1072.55"/>
    <n v="1353.15"/>
    <n v="280.60000000000002"/>
    <n v="1251.53"/>
    <n v="1072.5500000000002"/>
    <n v="-178.98000000000002"/>
  </r>
  <r>
    <s v="TXN200009"/>
    <s v="CUST539"/>
    <s v="2025-06-22"/>
    <s v="Withdrawal"/>
    <x v="3"/>
    <s v="Techcorp Payroll Inc"/>
    <n v="7790.63"/>
    <n v="9641.6299999999992"/>
    <n v="-1446.24"/>
    <n v="7145.94"/>
    <n v="11087.869999999999"/>
    <n v="644.69000000000051"/>
  </r>
  <r>
    <s v="TXN200010"/>
    <s v="CUST584"/>
    <s v="2025-03-20"/>
    <s v="Withdrawal"/>
    <x v="0"/>
    <s v="State Hydro Grid"/>
    <n v="636.4"/>
    <n v="859.18"/>
    <n v="-128.88"/>
    <n v="755.92"/>
    <n v="988.06"/>
    <n v="-119.51999999999998"/>
  </r>
  <r>
    <s v="TXN200011"/>
    <s v="CUST572"/>
    <s v="2025-04-01"/>
    <s v="Deposit"/>
    <x v="3"/>
    <s v="Stark Retail Labs"/>
    <n v="7371.46"/>
    <n v="9685.99"/>
    <n v="2314.5300000000002"/>
    <n v="6732.63"/>
    <n v="7371.4599999999991"/>
    <n v="638.82999999999993"/>
  </r>
  <r>
    <s v="TXN200012"/>
    <s v="CUST570"/>
    <s v="2025-04-11"/>
    <s v="Withdrawal"/>
    <x v="1"/>
    <s v="Amazon Digital Supply"/>
    <n v="356.46"/>
    <n v="470.43"/>
    <n v="-70.56"/>
    <n v="416.43"/>
    <n v="540.99"/>
    <n v="-59.970000000000027"/>
  </r>
  <r>
    <s v="TXN200013"/>
    <s v="CUST514"/>
    <s v="2025-09-22"/>
    <s v="Deposit"/>
    <x v="2"/>
    <s v="Supermart Marketplace"/>
    <n v="187.84"/>
    <n v="221.72"/>
    <n v="33.880000000000003"/>
    <n v="170.4"/>
    <n v="187.84"/>
    <n v="17.439999999999998"/>
  </r>
  <r>
    <s v="TXN200014"/>
    <s v="CUST552"/>
    <s v="2025-12-18"/>
    <s v="Withdrawal"/>
    <x v="4"/>
    <s v="Olive Garden Gourmet"/>
    <n v="262.58"/>
    <n v="332.06"/>
    <n v="-49.81"/>
    <n v="280.13"/>
    <n v="381.87"/>
    <n v="-17.550000000000011"/>
  </r>
  <r>
    <s v="TXN200015"/>
    <s v="CUST578"/>
    <s v="2025-05-04"/>
    <s v="Withdrawal"/>
    <x v="2"/>
    <s v="Whole Foods Store"/>
    <n v="905.35"/>
    <n v="1096.8499999999999"/>
    <n v="-164.53"/>
    <n v="971.85"/>
    <n v="1261.3799999999999"/>
    <n v="-66.5"/>
  </r>
  <r>
    <s v="TXN200016"/>
    <s v="CUST613"/>
    <s v="2025-01-27"/>
    <s v="Withdrawal"/>
    <x v="4"/>
    <s v="Olive Garden Gourmet"/>
    <n v="54.92"/>
    <n v="75.510000000000005"/>
    <n v="-11.33"/>
    <n v="65.489999999999995"/>
    <n v="86.84"/>
    <n v="-10.569999999999993"/>
  </r>
  <r>
    <s v="TXN200017"/>
    <s v="CUST515"/>
    <s v="CORRUPT_DATE_FLAG"/>
    <s v="Withdrawal"/>
    <x v="5"/>
    <s v="Zelle Payment Engine"/>
    <n v="592.55999999999995"/>
    <n v="800.74"/>
    <n v="-120.11"/>
    <n v="646.33000000000004"/>
    <n v="920.85"/>
    <n v="-53.770000000000095"/>
  </r>
  <r>
    <s v="TXN200018"/>
    <s v="CUST569"/>
    <s v="2025-03-04"/>
    <s v="Deposit"/>
    <x v="4"/>
    <s v="Mcdonalds Corp Express"/>
    <n v="880.09"/>
    <n v="1044.4000000000001"/>
    <n v="164.31"/>
    <n v="980.5"/>
    <n v="880.09000000000015"/>
    <n v="-100.40999999999997"/>
  </r>
  <r>
    <s v="TXN200019"/>
    <s v="CUST568"/>
    <s v="CORRUPT_DATE_FLAG"/>
    <s v="Deposit"/>
    <x v="6"/>
    <s v="Spotify Music Hub"/>
    <n v="290.32"/>
    <n v="347.82"/>
    <n v="57.5"/>
    <n v="275.05"/>
    <n v="290.32"/>
    <n v="15.269999999999982"/>
  </r>
  <r>
    <s v="TXN200020"/>
    <s v="CUST550"/>
    <s v="2025-01-20"/>
    <s v="Deposit"/>
    <x v="4"/>
    <s v="Olive Garden Gourmet"/>
    <n v="824.84"/>
    <n v="1130.0899999999999"/>
    <n v="305.25"/>
    <n v="768.34"/>
    <n v="824.83999999999992"/>
    <n v="56.5"/>
  </r>
  <r>
    <s v="TXN200021"/>
    <s v="CUST504"/>
    <s v="2025-09-18"/>
    <s v="Deposit"/>
    <x v="4"/>
    <s v="Olive Garden Gourmet"/>
    <n v="167.75"/>
    <n v="197.55"/>
    <n v="29.8"/>
    <n v="153.03"/>
    <n v="167.75"/>
    <n v="14.719999999999999"/>
  </r>
  <r>
    <s v="TXN200022"/>
    <s v="CUST524"/>
    <s v="2025-07-26"/>
    <s v="Deposit"/>
    <x v="6"/>
    <s v="Netflix Streaming Premium"/>
    <n v="826.21"/>
    <n v="962.91"/>
    <n v="136.69999999999999"/>
    <n v="767.46"/>
    <n v="826.21"/>
    <n v="58.75"/>
  </r>
  <r>
    <s v="TXN200023"/>
    <s v="CUST543"/>
    <s v="2025-07-18"/>
    <s v="Withdrawal"/>
    <x v="2"/>
    <s v="Fresh &amp; Fast Logistics"/>
    <n v="1123.8"/>
    <n v="1385.8"/>
    <n v="-207.87"/>
    <n v="1022.35"/>
    <n v="1593.67"/>
    <n v="101.44999999999993"/>
  </r>
  <r>
    <s v="TXN200024"/>
    <s v="CUST562"/>
    <s v="2025-04-13"/>
    <s v="Withdrawal"/>
    <x v="2"/>
    <s v="Fresh &amp; Fast Logistics"/>
    <n v="535.25"/>
    <n v="739.41"/>
    <n v="-110.91"/>
    <n v="623.66"/>
    <n v="850.31999999999994"/>
    <n v="-88.409999999999968"/>
  </r>
  <r>
    <s v="TXN200025"/>
    <s v="CUST549"/>
    <s v="2025-01-20"/>
    <s v="Deposit"/>
    <x v="1"/>
    <s v="Target Direct Online"/>
    <n v="910.95"/>
    <n v="1133.02"/>
    <n v="222.07"/>
    <n v="889.39"/>
    <n v="910.95"/>
    <n v="21.560000000000059"/>
  </r>
  <r>
    <s v="TXN200026"/>
    <s v="CUST595"/>
    <s v="2025-08-23"/>
    <s v="Withdrawal"/>
    <x v="5"/>
    <s v="Internal P2P Route"/>
    <n v="372.66"/>
    <n v="445"/>
    <n v="-66.75"/>
    <n v="337.75"/>
    <n v="511.75"/>
    <n v="34.910000000000025"/>
  </r>
  <r>
    <s v="TXN200027"/>
    <s v="CUST512"/>
    <s v="2025-07-16"/>
    <s v="Deposit"/>
    <x v="1"/>
    <s v="Amazon Digital Supply"/>
    <n v="465.17"/>
    <n v="591.79999999999995"/>
    <n v="126.63"/>
    <n v="473.28"/>
    <n v="465.16999999999996"/>
    <n v="-8.1099999999999568"/>
  </r>
  <r>
    <s v="TXN200028"/>
    <s v="CUST548"/>
    <s v="2025-12-05"/>
    <s v="Withdrawal"/>
    <x v="1"/>
    <s v="Ebay International"/>
    <n v="878.04"/>
    <n v="1159.96"/>
    <n v="-173.99"/>
    <n v="865.19"/>
    <n v="1333.95"/>
    <n v="12.849999999999909"/>
  </r>
  <r>
    <s v="TXN200029"/>
    <s v="CUST543"/>
    <s v="2025-09-07"/>
    <s v="Withdrawal"/>
    <x v="2"/>
    <s v="Whole Foods Store"/>
    <n v="637.79999999999995"/>
    <n v="742.06"/>
    <n v="-111.31"/>
    <n v="594.55999999999995"/>
    <n v="853.36999999999989"/>
    <n v="43.240000000000009"/>
  </r>
  <r>
    <s v="TXN200030"/>
    <s v="CUST626"/>
    <s v="2025-11-17"/>
    <s v="Withdrawal"/>
    <x v="4"/>
    <s v="Mcdonalds Corp Express"/>
    <n v="1133.3699999999999"/>
    <n v="1372.11"/>
    <n v="-205.82"/>
    <n v="1066.43"/>
    <n v="1577.9299999999998"/>
    <n v="66.939999999999827"/>
  </r>
  <r>
    <s v="TXN200031"/>
    <s v="CUST517"/>
    <s v="2025-11-15"/>
    <s v="Withdrawal"/>
    <x v="3"/>
    <s v="Stark Retail Labs"/>
    <n v="1219.4163333333336"/>
    <n v="121.8"/>
    <n v="-18.27"/>
    <n v="100.37"/>
    <n v="140.07"/>
    <n v="1119.0463333333337"/>
  </r>
  <r>
    <s v="TXN200032"/>
    <s v="CUST520"/>
    <s v="2025-04-30"/>
    <s v="Withdrawal"/>
    <x v="6"/>
    <s v="Amc Cinema Network"/>
    <n v="1095.26"/>
    <n v="1274.47"/>
    <n v="-191.17"/>
    <n v="1229.27"/>
    <n v="1465.64"/>
    <n v="-134.01"/>
  </r>
  <r>
    <s v="TXN200033"/>
    <s v="CUST504"/>
    <s v="2025-03-23"/>
    <s v="Deposit"/>
    <x v="4"/>
    <s v="Olive Garden Gourmet"/>
    <n v="686.79"/>
    <n v="940.71"/>
    <n v="253.92"/>
    <n v="820.01"/>
    <n v="686.79000000000008"/>
    <n v="-133.22000000000003"/>
  </r>
  <r>
    <s v="TXN200034"/>
    <s v="CUST523"/>
    <s v="2025-01-27"/>
    <s v="Deposit"/>
    <x v="5"/>
    <s v="External Wire Clearance"/>
    <n v="189.72"/>
    <n v="241.89"/>
    <n v="52.17"/>
    <n v="188.11"/>
    <n v="189.71999999999997"/>
    <n v="1.6099999999999852"/>
  </r>
  <r>
    <s v="TXN200035"/>
    <s v="CUST541"/>
    <s v="2025-09-04"/>
    <s v="Deposit"/>
    <x v="2"/>
    <s v="Whole Foods Store"/>
    <n v="103.46"/>
    <n v="1420.2638235294123"/>
    <n v="22.01"/>
    <n v="113.87"/>
    <n v="1398.2538235294123"/>
    <n v="-10.410000000000011"/>
  </r>
  <r>
    <s v="TXN200036"/>
    <s v="CUST583"/>
    <s v="17/05/2025"/>
    <s v="Deposit"/>
    <x v="6"/>
    <s v="Netflix Streaming Premium"/>
    <n v="1038.3"/>
    <n v="1300.33"/>
    <n v="262.02999999999997"/>
    <n v="1133.24"/>
    <n v="1038.3"/>
    <n v="-94.940000000000055"/>
  </r>
  <r>
    <s v="TXN200037"/>
    <s v="CUST538"/>
    <s v="2025-10-25"/>
    <s v="Withdrawal"/>
    <x v="1"/>
    <s v="Target Direct Online"/>
    <n v="282.83"/>
    <n v="346.58"/>
    <n v="-51.99"/>
    <n v="335.75"/>
    <n v="398.57"/>
    <n v="-52.920000000000016"/>
  </r>
  <r>
    <s v="TXN200038"/>
    <s v="CUST609"/>
    <s v="2025-03-22"/>
    <s v="Deposit"/>
    <x v="6"/>
    <s v="Netflix Streaming Premium"/>
    <n v="640.4"/>
    <n v="868.35"/>
    <n v="227.95"/>
    <n v="726.25"/>
    <n v="640.40000000000009"/>
    <n v="-85.850000000000023"/>
  </r>
  <r>
    <s v="TXN200039"/>
    <s v="CUST555"/>
    <s v="2025-10-23"/>
    <s v="Deposit"/>
    <x v="2"/>
    <s v="Supermart Marketplace"/>
    <n v="1082.23"/>
    <n v="1461.75"/>
    <n v="379.52"/>
    <n v="1102.7"/>
    <n v="1082.23"/>
    <n v="-20.470000000000027"/>
  </r>
  <r>
    <s v="TXN200040"/>
    <s v="CUST578"/>
    <s v="2025-03-07"/>
    <s v="Withdrawal"/>
    <x v="3"/>
    <s v="Stark Retail Labs"/>
    <n v="7381.28"/>
    <n v="9756.2099999999991"/>
    <n v="-1463.43"/>
    <n v="7096.85"/>
    <n v="11219.64"/>
    <n v="284.42999999999938"/>
  </r>
  <r>
    <s v="TXN200041"/>
    <s v="CUST579"/>
    <s v="2025-03-30"/>
    <s v="Deposit"/>
    <x v="0"/>
    <s v="Metropolitan Water Sewer"/>
    <n v="612.38"/>
    <n v="826.06"/>
    <n v="213.68"/>
    <n v="668.94"/>
    <n v="612.37999999999988"/>
    <n v="-56.560000000000059"/>
  </r>
  <r>
    <s v="TXN200042"/>
    <s v="CUST636"/>
    <s v="2025-03-19"/>
    <s v="Deposit"/>
    <x v="5"/>
    <s v="External Wire Clearance"/>
    <n v="602.71"/>
    <n v="807.39"/>
    <n v="204.68"/>
    <n v="657.35"/>
    <n v="602.71"/>
    <n v="-54.639999999999986"/>
  </r>
  <r>
    <s v="TXN200043"/>
    <s v="CUST613"/>
    <s v="2025-08-04"/>
    <s v="Withdrawal"/>
    <x v="1"/>
    <s v="Target Direct Online"/>
    <n v="839.49"/>
    <n v="1038.4000000000001"/>
    <n v="-155.76"/>
    <n v="765.46"/>
    <n v="1194.1600000000001"/>
    <n v="74.029999999999973"/>
  </r>
  <r>
    <s v="TXN200044"/>
    <s v="CUST589"/>
    <s v="2025-02-05"/>
    <s v="Deposit"/>
    <x v="3"/>
    <s v="Global Industries Llc"/>
    <n v="5226.95"/>
    <n v="7054.36"/>
    <n v="1827.41"/>
    <n v="4977.54"/>
    <n v="5226.95"/>
    <n v="249.40999999999985"/>
  </r>
  <r>
    <s v="TXN200045"/>
    <s v="CUST535"/>
    <s v="2025-05-27"/>
    <s v="Withdrawal"/>
    <x v="5"/>
    <s v="Zelle Payment Engine"/>
    <n v="856.89"/>
    <n v="1061.83"/>
    <n v="-159.27000000000001"/>
    <n v="929.66"/>
    <n v="1221.0999999999999"/>
    <n v="-72.769999999999982"/>
  </r>
  <r>
    <s v="TXN200046"/>
    <s v="CUST607"/>
    <s v="2025-11-01"/>
    <s v="Withdrawal"/>
    <x v="1"/>
    <s v="Target Direct Online"/>
    <n v="187.47"/>
    <n v="247.07"/>
    <n v="-37.06"/>
    <n v="197.85"/>
    <n v="284.13"/>
    <n v="-10.379999999999995"/>
  </r>
  <r>
    <s v="TXN200047"/>
    <s v="CUST612"/>
    <s v="2025-01-13"/>
    <s v="Withdrawal"/>
    <x v="1"/>
    <s v="Amazon Digital Supply"/>
    <n v="406.95"/>
    <n v="485.37"/>
    <n v="-72.81"/>
    <n v="485.2"/>
    <n v="558.18000000000006"/>
    <n v="-78.25"/>
  </r>
  <r>
    <s v="TXN200048"/>
    <s v="CUST521"/>
    <s v="2025-05-20"/>
    <s v="Deposit"/>
    <x v="1"/>
    <s v="Amazon Digital Supply"/>
    <n v="300.83"/>
    <n v="348.51"/>
    <n v="47.68"/>
    <n v="271.29000000000002"/>
    <n v="300.83"/>
    <n v="29.539999999999964"/>
  </r>
  <r>
    <s v="TXN200049"/>
    <s v="CUST603"/>
    <s v="2025-06-25"/>
    <s v="Deposit"/>
    <x v="0"/>
    <s v="Metropolitan Water Sewer"/>
    <n v="1139.92"/>
    <n v="1517.98"/>
    <n v="378.06"/>
    <n v="1049.77"/>
    <n v="1139.92"/>
    <n v="90.150000000000091"/>
  </r>
  <r>
    <s v="TXN200050"/>
    <s v="CUST579"/>
    <s v="2025-02-07"/>
    <s v="Withdrawal"/>
    <x v="2"/>
    <s v="Supermart Marketplace"/>
    <n v="594.03"/>
    <n v="699.49"/>
    <n v="-104.92"/>
    <n v="627.42999999999995"/>
    <n v="804.41"/>
    <n v="-33.399999999999977"/>
  </r>
  <r>
    <s v="TXN200051"/>
    <s v="CUST635"/>
    <s v="2025-04-07"/>
    <s v="Withdrawal"/>
    <x v="5"/>
    <s v="External Wire Clearance"/>
    <n v="204.97"/>
    <n v="250.26"/>
    <n v="-37.54"/>
    <n v="237.92"/>
    <n v="287.8"/>
    <n v="-32.949999999999989"/>
  </r>
  <r>
    <s v="TXN200052"/>
    <s v="CUST541"/>
    <s v="2025-04-13"/>
    <s v="Withdrawal"/>
    <x v="3"/>
    <s v="Stark Retail Labs"/>
    <n v="5922.17"/>
    <n v="7709.52"/>
    <n v="-1156.43"/>
    <n v="6487.1"/>
    <n v="8865.9500000000007"/>
    <n v="-564.93000000000029"/>
  </r>
  <r>
    <s v="TXN200053"/>
    <s v="CUST544"/>
    <s v="2025-09-29"/>
    <s v="Deposit"/>
    <x v="4"/>
    <s v="Starbucks Hub Cafe"/>
    <n v="588.09"/>
    <n v="783.59"/>
    <n v="195.5"/>
    <n v="555.89"/>
    <n v="588.09"/>
    <n v="32.200000000000045"/>
  </r>
  <r>
    <s v="TXN200054"/>
    <s v="CUST635"/>
    <s v="2025-09-14"/>
    <s v="Deposit"/>
    <x v="5"/>
    <s v="Internal P2P Route"/>
    <n v="499.91"/>
    <n v="641.9"/>
    <n v="141.99"/>
    <n v="518.9"/>
    <n v="499.90999999999997"/>
    <n v="-18.989999999999952"/>
  </r>
  <r>
    <s v="TXN200055"/>
    <s v="CUST541"/>
    <s v="2025-05-11"/>
    <s v="Withdrawal"/>
    <x v="6"/>
    <s v="Netflix Streaming Premium"/>
    <n v="808.68"/>
    <n v="966.99"/>
    <n v="-145.05000000000001"/>
    <n v="776.25"/>
    <n v="1112.04"/>
    <n v="32.42999999999995"/>
  </r>
  <r>
    <s v="TXN200056"/>
    <s v="CUST634"/>
    <s v="2025-11-24"/>
    <s v="Deposit"/>
    <x v="2"/>
    <s v="Whole Foods Store"/>
    <n v="296.45999999999998"/>
    <n v="347.06"/>
    <n v="50.6"/>
    <n v="271.08999999999997"/>
    <n v="296.45999999999998"/>
    <n v="25.370000000000005"/>
  </r>
  <r>
    <s v="TXN200057"/>
    <s v="CUST564"/>
    <s v="2025-10-13"/>
    <s v="Withdrawal"/>
    <x v="3"/>
    <s v="Stark Retail Labs"/>
    <n v="8220.42"/>
    <n v="9951.33"/>
    <n v="-1492.7"/>
    <n v="8123.23"/>
    <n v="11444.03"/>
    <n v="97.190000000000509"/>
  </r>
  <r>
    <s v="TXN200058"/>
    <s v="CUST614"/>
    <s v="2025-05-21"/>
    <s v="Deposit"/>
    <x v="5"/>
    <s v="Internal P2P Route"/>
    <n v="158.06"/>
    <n v="184.47"/>
    <n v="26.41"/>
    <n v="183.81"/>
    <n v="158.06"/>
    <n v="-25.75"/>
  </r>
  <r>
    <s v="TXN200059"/>
    <s v="CUST602"/>
    <s v="2025-05-26"/>
    <s v="Deposit"/>
    <x v="6"/>
    <s v="Netflix Streaming Premium"/>
    <n v="167.65"/>
    <n v="216.12"/>
    <n v="48.47"/>
    <n v="175.86"/>
    <n v="167.65"/>
    <n v="-8.210000000000008"/>
  </r>
  <r>
    <s v="TXN200060"/>
    <s v="CUST529"/>
    <s v="2025-06-18"/>
    <s v="Deposit"/>
    <x v="6"/>
    <s v="Amc Cinema Network"/>
    <n v="699.8"/>
    <n v="931.41"/>
    <n v="231.61"/>
    <n v="679.72"/>
    <n v="699.8"/>
    <n v="20.079999999999927"/>
  </r>
  <r>
    <s v="TXN200061"/>
    <s v="CUST547"/>
    <s v="2025-08-06"/>
    <s v="Withdrawal"/>
    <x v="6"/>
    <s v="Netflix Streaming Premium"/>
    <n v="981.8"/>
    <n v="1177.1300000000001"/>
    <n v="-176.57"/>
    <n v="1114.22"/>
    <n v="1353.7"/>
    <n v="-132.42000000000007"/>
  </r>
  <r>
    <s v="TXN200062"/>
    <s v="CUST623"/>
    <s v="2025-10-06"/>
    <s v="Withdrawal"/>
    <x v="3"/>
    <s v="Global Industries Llc"/>
    <n v="5950.68"/>
    <n v="7219.95"/>
    <n v="-1082.99"/>
    <n v="5792.42"/>
    <n v="8302.94"/>
    <n v="158.26000000000022"/>
  </r>
  <r>
    <s v="TXN200063"/>
    <s v="CUST587"/>
    <s v="2025-09-26"/>
    <s v="Deposit"/>
    <x v="1"/>
    <s v="Amazon Digital Supply"/>
    <n v="910.02"/>
    <n v="1166.1500000000001"/>
    <n v="256.13"/>
    <n v="1032.0899999999999"/>
    <n v="910.0200000000001"/>
    <n v="-122.06999999999994"/>
  </r>
  <r>
    <s v="TXN200064"/>
    <s v="CUST546"/>
    <s v="2025-06-21"/>
    <s v="Withdrawal"/>
    <x v="2"/>
    <s v="Fresh &amp; Fast Logistics"/>
    <n v="1138.1400000000001"/>
    <n v="1508.39"/>
    <n v="-226.26"/>
    <n v="1340.26"/>
    <n v="1734.65"/>
    <n v="-202.11999999999989"/>
  </r>
  <r>
    <s v="TXN200065"/>
    <s v="CUST528"/>
    <s v="2025-04-02"/>
    <s v="Withdrawal"/>
    <x v="3"/>
    <s v="Stark Retail Labs"/>
    <n v="7654.98"/>
    <n v="9831.4699999999993"/>
    <n v="-1474.72"/>
    <n v="8743.2199999999993"/>
    <n v="11306.189999999999"/>
    <n v="-1088.2399999999998"/>
  </r>
  <r>
    <s v="TXN200066"/>
    <s v="CUST574"/>
    <s v="2025-02-03"/>
    <s v="Deposit"/>
    <x v="5"/>
    <s v="External Wire Clearance"/>
    <n v="694.02"/>
    <n v="967.83"/>
    <n v="273.81"/>
    <n v="625.45000000000005"/>
    <n v="694.02"/>
    <n v="68.569999999999936"/>
  </r>
  <r>
    <s v="TXN200067"/>
    <s v="CUST521"/>
    <s v="2025-01-09"/>
    <s v="Withdrawal"/>
    <x v="1"/>
    <s v="Ebay International"/>
    <n v="1171.03"/>
    <n v="1490.89"/>
    <n v="-223.63"/>
    <n v="1133.21"/>
    <n v="1714.52"/>
    <n v="37.819999999999936"/>
  </r>
  <r>
    <s v="TXN200068"/>
    <s v="CUST606"/>
    <s v="2025-05-22"/>
    <s v="Withdrawal"/>
    <x v="6"/>
    <s v="Spotify Music Hub"/>
    <n v="839.82"/>
    <n v="1098.96"/>
    <n v="-44.182985074626863"/>
    <n v="929.12"/>
    <n v="1143.1429850746269"/>
    <n v="-89.299999999999955"/>
  </r>
  <r>
    <s v="TXN200069"/>
    <s v="CUST606"/>
    <s v="2025-12-11"/>
    <s v="Deposit"/>
    <x v="2"/>
    <s v="Whole Foods Store"/>
    <n v="617.58000000000004"/>
    <n v="835.1"/>
    <n v="217.52"/>
    <n v="573.22"/>
    <n v="617.58000000000004"/>
    <n v="44.360000000000014"/>
  </r>
  <r>
    <s v="TXN200070"/>
    <s v="CUST623"/>
    <s v="2025-07-09"/>
    <s v="Withdrawal"/>
    <x v="6"/>
    <s v="Netflix Streaming Premium"/>
    <n v="171.76"/>
    <n v="236.98"/>
    <n v="-35.549999999999997"/>
    <n v="185.16"/>
    <n v="272.52999999999997"/>
    <n v="-13.400000000000006"/>
  </r>
  <r>
    <s v="TXN200071"/>
    <s v="CUST539"/>
    <s v="2025-10-15"/>
    <s v="Withdrawal"/>
    <x v="6"/>
    <s v="Amc Cinema Network"/>
    <n v="378.35"/>
    <n v="484.23"/>
    <n v="-72.63"/>
    <n v="353.95"/>
    <n v="556.86"/>
    <n v="24.400000000000034"/>
  </r>
  <r>
    <s v="TXN200072"/>
    <s v="CUST516"/>
    <s v="2025-06-16"/>
    <s v="Deposit"/>
    <x v="5"/>
    <s v="External Wire Clearance"/>
    <n v="1027.06"/>
    <n v="1263.48"/>
    <n v="236.42"/>
    <n v="1039.8800000000001"/>
    <n v="1027.06"/>
    <n v="-12.820000000000164"/>
  </r>
  <r>
    <s v="TXN200073"/>
    <s v="CUST619"/>
    <s v="2025-09-22"/>
    <s v="Withdrawal"/>
    <x v="4"/>
    <s v="Olive Garden Gourmet"/>
    <n v="1162.17"/>
    <n v="1459.38"/>
    <n v="-218.91"/>
    <n v="1173.9000000000001"/>
    <n v="1678.2900000000002"/>
    <n v="-11.730000000000018"/>
  </r>
  <r>
    <s v="TXN200074"/>
    <s v="CUST601"/>
    <s v="2025-09-05"/>
    <s v="Withdrawal"/>
    <x v="3"/>
    <s v="Stark Retail Labs"/>
    <n v="4397.12"/>
    <n v="5162.83"/>
    <n v="-774.42"/>
    <n v="4591.32"/>
    <n v="5937.25"/>
    <n v="-194.19999999999982"/>
  </r>
  <r>
    <s v="TXN200075"/>
    <s v="CUST551"/>
    <s v="24/04/2025"/>
    <s v="Deposit"/>
    <x v="2"/>
    <s v="Fresh &amp; Fast Logistics"/>
    <n v="602.55999999999995"/>
    <n v="825.13"/>
    <n v="222.57"/>
    <n v="588.21"/>
    <n v="602.55999999999995"/>
    <n v="14.349999999999909"/>
  </r>
  <r>
    <s v="TXN200076"/>
    <s v="CUST519"/>
    <s v="2025-01-18"/>
    <s v="Deposit"/>
    <x v="4"/>
    <s v="Olive Garden Gourmet"/>
    <n v="600.04999999999995"/>
    <n v="814.45"/>
    <n v="214.4"/>
    <n v="716.7"/>
    <n v="600.05000000000007"/>
    <n v="-116.65000000000009"/>
  </r>
  <r>
    <s v="TXN200077"/>
    <s v="CUST623"/>
    <s v="2025-03-11"/>
    <s v="Deposit"/>
    <x v="6"/>
    <s v="Netflix Streaming Premium"/>
    <n v="216.63"/>
    <n v="287.18"/>
    <n v="70.55"/>
    <n v="230.03"/>
    <n v="216.63"/>
    <n v="-13.400000000000006"/>
  </r>
  <r>
    <s v="TXN200078"/>
    <s v="CUST641"/>
    <s v="2025-06-01"/>
    <s v="Withdrawal"/>
    <x v="6"/>
    <s v="Netflix Streaming Premium"/>
    <n v="501.53"/>
    <n v="653.67999999999995"/>
    <n v="-98.05"/>
    <n v="594.04"/>
    <n v="751.7299999999999"/>
    <n v="-92.509999999999991"/>
  </r>
  <r>
    <s v="TXN200079"/>
    <s v="CUST623"/>
    <s v="2025-07-08"/>
    <s v="Withdrawal"/>
    <x v="5"/>
    <s v="External Wire Clearance"/>
    <n v="212.62"/>
    <n v="283.29000000000002"/>
    <n v="-42.49"/>
    <n v="249.41"/>
    <n v="325.78000000000003"/>
    <n v="-36.789999999999992"/>
  </r>
  <r>
    <s v="TXN200080"/>
    <s v="CUST625"/>
    <s v="2025-09-15"/>
    <s v="Deposit"/>
    <x v="5"/>
    <s v="Zelle Payment Engine"/>
    <n v="509.28"/>
    <n v="637.9"/>
    <n v="128.62"/>
    <n v="469.11"/>
    <n v="509.28"/>
    <n v="40.169999999999959"/>
  </r>
  <r>
    <s v="TXN200081"/>
    <s v="CUST595"/>
    <s v="2025-11-17"/>
    <s v="Withdrawal"/>
    <x v="1"/>
    <s v="Ebay International"/>
    <n v="1178.42"/>
    <n v="1363.1"/>
    <n v="-204.46"/>
    <n v="1140.98"/>
    <n v="1567.56"/>
    <n v="37.440000000000055"/>
  </r>
  <r>
    <s v="TXN200082"/>
    <s v="CUST588"/>
    <s v="2025-09-10"/>
    <s v="Deposit"/>
    <x v="4"/>
    <s v="Olive Garden Gourmet"/>
    <n v="1083.47"/>
    <n v="1381.74"/>
    <n v="298.27"/>
    <n v="1130.3599999999999"/>
    <n v="1083.47"/>
    <n v="-46.889999999999873"/>
  </r>
  <r>
    <s v="TXN200083"/>
    <s v="CUST549"/>
    <s v="2025-03-24"/>
    <s v="Deposit"/>
    <x v="2"/>
    <s v="Supermart Marketplace"/>
    <n v="68.66"/>
    <n v="85.02"/>
    <n v="16.36"/>
    <n v="69.25"/>
    <n v="68.66"/>
    <n v="-0.59000000000000341"/>
  </r>
  <r>
    <s v="TXN200084"/>
    <s v="CUST537"/>
    <s v="2025-10-26"/>
    <s v="Deposit"/>
    <x v="2"/>
    <s v="Fresh &amp; Fast Logistics"/>
    <n v="504.94"/>
    <n v="582.02"/>
    <n v="77.08"/>
    <n v="595.73"/>
    <n v="504.94"/>
    <n v="-90.79000000000002"/>
  </r>
  <r>
    <s v="TXN200085"/>
    <s v="CUST624"/>
    <s v="2025-05-26"/>
    <s v="Withdrawal"/>
    <x v="6"/>
    <s v="Amc Cinema Network"/>
    <n v="643.58000000000004"/>
    <n v="831.12"/>
    <n v="-124.67"/>
    <n v="661.41"/>
    <n v="955.79"/>
    <n v="-17.829999999999927"/>
  </r>
  <r>
    <s v="TXN200086"/>
    <s v="CUST617"/>
    <s v="2025-08-17"/>
    <s v="Deposit"/>
    <x v="3"/>
    <s v="Stark Retail Labs"/>
    <n v="7836.93"/>
    <n v="10463.299999999999"/>
    <n v="2626.37"/>
    <n v="7901.05"/>
    <n v="7836.9299999999994"/>
    <n v="-64.119999999999891"/>
  </r>
  <r>
    <s v="TXN200087"/>
    <s v="CUST584"/>
    <s v="2025-07-18"/>
    <s v="Withdrawal"/>
    <x v="5"/>
    <s v="Zelle Payment Engine"/>
    <n v="988.89"/>
    <n v="1163.1500000000001"/>
    <n v="-174.47"/>
    <n v="1107.17"/>
    <n v="1337.6200000000001"/>
    <n v="-118.28000000000009"/>
  </r>
  <r>
    <s v="TXN200088"/>
    <s v="CUST524"/>
    <s v="2025-03-11"/>
    <s v="Withdrawal"/>
    <x v="5"/>
    <s v="Zelle Payment Engine"/>
    <n v="1118.08"/>
    <n v="1304.02"/>
    <n v="-195.6"/>
    <n v="1032.93"/>
    <n v="1499.62"/>
    <n v="85.149999999999864"/>
  </r>
  <r>
    <s v="TXN200089"/>
    <s v="CUST531"/>
    <s v="2025-05-06"/>
    <s v="Withdrawal"/>
    <x v="4"/>
    <s v="Starbucks Hub Cafe"/>
    <n v="667.25"/>
    <n v="887.17"/>
    <n v="-133.08000000000001"/>
    <n v="748.3"/>
    <n v="1020.25"/>
    <n v="-81.049999999999955"/>
  </r>
  <r>
    <s v="TXN200090"/>
    <s v="CUST562"/>
    <s v="2025-01-19"/>
    <s v="Deposit"/>
    <x v="4"/>
    <s v="Olive Garden Gourmet"/>
    <n v="524.34"/>
    <n v="604.51"/>
    <n v="80.17"/>
    <n v="556.99"/>
    <n v="524.34"/>
    <n v="-32.649999999999977"/>
  </r>
  <r>
    <s v="TXN200091"/>
    <s v="CUST564"/>
    <s v="2025-07-01"/>
    <s v="Deposit"/>
    <x v="5"/>
    <s v="Zelle Payment Engine"/>
    <n v="138.19"/>
    <n v="172.88"/>
    <n v="34.69"/>
    <n v="124.86"/>
    <n v="138.19"/>
    <n v="13.329999999999998"/>
  </r>
  <r>
    <s v="TXN200092"/>
    <s v="CUST564"/>
    <s v="2025-02-15"/>
    <s v="Withdrawal"/>
    <x v="3"/>
    <s v="Stark Retail Labs"/>
    <n v="7077.71"/>
    <n v="9339.86"/>
    <n v="-1400.98"/>
    <n v="6915.55"/>
    <n v="10740.84"/>
    <n v="162.15999999999985"/>
  </r>
  <r>
    <s v="TXN200093"/>
    <s v="CUST523"/>
    <s v="2025-06-28"/>
    <s v="Withdrawal"/>
    <x v="1"/>
    <s v="Target Direct Online"/>
    <n v="877.02"/>
    <n v="1072.52"/>
    <n v="-160.88"/>
    <n v="954.45"/>
    <n v="1233.4000000000001"/>
    <n v="-77.430000000000064"/>
  </r>
  <r>
    <s v="TXN200094"/>
    <s v="CUST516"/>
    <s v="2025-02-12"/>
    <s v="Withdrawal"/>
    <x v="5"/>
    <s v="Internal P2P Route"/>
    <n v="17.399999999999999"/>
    <n v="21.29"/>
    <n v="-3.19"/>
    <n v="18.47"/>
    <n v="24.48"/>
    <n v="-1.0700000000000003"/>
  </r>
  <r>
    <s v="TXN200095"/>
    <s v="CUST550"/>
    <s v="2025-02-27"/>
    <s v="Withdrawal"/>
    <x v="1"/>
    <s v="Target Direct Online"/>
    <n v="22.11"/>
    <n v="29.11"/>
    <n v="-4.37"/>
    <n v="25.89"/>
    <n v="33.479999999999997"/>
    <n v="-3.7800000000000011"/>
  </r>
  <r>
    <s v="TXN200096"/>
    <s v="CUST609"/>
    <s v="2025-04-28"/>
    <s v="Withdrawal"/>
    <x v="1"/>
    <s v="Amazon Digital Supply"/>
    <n v="836.38"/>
    <n v="1059.04"/>
    <n v="-158.86000000000001"/>
    <n v="1003.13"/>
    <n v="1217.9000000000001"/>
    <n v="-166.75"/>
  </r>
  <r>
    <s v="TXN200097"/>
    <s v="CUST536"/>
    <s v="2025-07-20"/>
    <s v="Withdrawal"/>
    <x v="1"/>
    <s v="Target Direct Online"/>
    <n v="191.06"/>
    <n v="219.87"/>
    <n v="-32.979999999999997"/>
    <n v="199.5"/>
    <n v="252.85"/>
    <n v="-8.4399999999999977"/>
  </r>
  <r>
    <s v="TXN200098"/>
    <s v="CUST636"/>
    <s v="26/01/2025"/>
    <s v="Withdrawal"/>
    <x v="1"/>
    <s v="Amazon Digital Supply"/>
    <n v="36.090000000000003"/>
    <n v="42.9"/>
    <n v="-6.43"/>
    <n v="40.270000000000003"/>
    <n v="49.33"/>
    <n v="-4.18"/>
  </r>
  <r>
    <s v="TXN200099"/>
    <s v="CUST601"/>
    <s v="2025-08-15"/>
    <s v="Deposit"/>
    <x v="5"/>
    <s v="Internal P2P Route"/>
    <n v="318.33"/>
    <n v="385.21"/>
    <n v="66.88"/>
    <n v="369.8"/>
    <n v="318.33"/>
    <n v="-51.470000000000027"/>
  </r>
  <r>
    <s v="TXN200100"/>
    <s v="CUST633"/>
    <s v="2025-05-09"/>
    <s v="Withdrawal"/>
    <x v="6"/>
    <s v="Spotify Music Hub"/>
    <n v="972.48"/>
    <n v="1151.8800000000001"/>
    <n v="-172.78"/>
    <n v="1139.21"/>
    <n v="1324.66"/>
    <n v="-166.73000000000002"/>
  </r>
  <r>
    <s v="TXN200101"/>
    <s v="CUST604"/>
    <s v="28/08/2025"/>
    <s v="Deposit"/>
    <x v="5"/>
    <s v="External Wire Clearance"/>
    <n v="775.78"/>
    <n v="1073.77"/>
    <n v="297.99"/>
    <n v="762.83"/>
    <n v="775.78"/>
    <n v="12.949999999999932"/>
  </r>
  <r>
    <s v="TXN200102"/>
    <s v="CUST615"/>
    <s v="2025-03-02"/>
    <s v="Withdrawal"/>
    <x v="2"/>
    <s v="Supermart Marketplace"/>
    <n v="274.52"/>
    <n v="371.45"/>
    <n v="-55.72"/>
    <n v="270.39999999999998"/>
    <n v="427.16999999999996"/>
    <n v="4.1200000000000045"/>
  </r>
  <r>
    <s v="TXN200103"/>
    <s v="CUST636"/>
    <s v="2025-08-09"/>
    <s v="Withdrawal"/>
    <x v="6"/>
    <s v="Amc Cinema Network"/>
    <n v="607.16"/>
    <n v="825.93"/>
    <n v="-123.89"/>
    <n v="697.65"/>
    <n v="949.81999999999994"/>
    <n v="-90.490000000000009"/>
  </r>
  <r>
    <s v="TXN200104"/>
    <s v="CUST563"/>
    <s v="2025-12-06"/>
    <s v="Deposit"/>
    <x v="6"/>
    <s v="Amc Cinema Network"/>
    <n v="597.12"/>
    <n v="723.99"/>
    <n v="126.87"/>
    <n v="569.04"/>
    <n v="597.12"/>
    <n v="28.080000000000041"/>
  </r>
  <r>
    <s v="TXN200105"/>
    <s v="CUST529"/>
    <s v="2025-02-07"/>
    <s v="Deposit"/>
    <x v="0"/>
    <s v="State Hydro Grid"/>
    <n v="1035.31"/>
    <n v="1371.11"/>
    <n v="335.8"/>
    <n v="1171.1300000000001"/>
    <n v="1035.31"/>
    <n v="-135.82000000000016"/>
  </r>
  <r>
    <s v="TXN200106"/>
    <s v="CUST513"/>
    <s v="2025-02-15"/>
    <s v="Withdrawal"/>
    <x v="2"/>
    <s v="Supermart Marketplace"/>
    <n v="293.99"/>
    <n v="352.6"/>
    <n v="-52.89"/>
    <n v="328.61"/>
    <n v="405.49"/>
    <n v="-34.620000000000005"/>
  </r>
  <r>
    <s v="TXN200107"/>
    <s v="CUST643"/>
    <s v="21/01/2025"/>
    <s v="Withdrawal"/>
    <x v="0"/>
    <s v="City Power &amp; Gas Co"/>
    <n v="858.16"/>
    <n v="1058.8599999999999"/>
    <n v="-158.83000000000001"/>
    <n v="1013.52"/>
    <n v="1217.6899999999998"/>
    <n v="-155.36000000000001"/>
  </r>
  <r>
    <s v="TXN200108"/>
    <s v="CUST626"/>
    <s v="2025-06-28"/>
    <s v="Deposit"/>
    <x v="2"/>
    <s v="Fresh &amp; Fast Logistics"/>
    <n v="42.92"/>
    <n v="55.8"/>
    <n v="12.88"/>
    <n v="47.99"/>
    <n v="42.919999999999995"/>
    <n v="-5.07"/>
  </r>
  <r>
    <s v="TXN200109"/>
    <s v="CUST502"/>
    <s v="2025-10-31"/>
    <s v="Withdrawal"/>
    <x v="5"/>
    <s v="External Wire Clearance"/>
    <n v="999.75"/>
    <n v="1420.2638235294123"/>
    <n v="-206.75"/>
    <n v="1024.3"/>
    <n v="1627.0138235294123"/>
    <n v="-24.549999999999955"/>
  </r>
  <r>
    <s v="TXN200110"/>
    <s v="CUST632"/>
    <s v="2025-02-17"/>
    <s v="Withdrawal"/>
    <x v="3"/>
    <s v="Global Industries Llc"/>
    <n v="9276.6299999999992"/>
    <n v="11020.52"/>
    <n v="-1653.08"/>
    <n v="10676.28"/>
    <n v="12673.6"/>
    <n v="-1399.6500000000015"/>
  </r>
  <r>
    <s v="TXN200111"/>
    <s v="CUST602"/>
    <s v="2025-05-26"/>
    <s v="Withdrawal"/>
    <x v="0"/>
    <s v="City Power &amp; Gas Co"/>
    <n v="18.36"/>
    <n v="24.44"/>
    <n v="-3.67"/>
    <n v="20.38"/>
    <n v="28.11"/>
    <n v="-2.0199999999999996"/>
  </r>
  <r>
    <s v="TXN200112"/>
    <s v="CUST514"/>
    <s v="2025-11-13"/>
    <s v="Withdrawal"/>
    <x v="2"/>
    <s v="Supermart Marketplace"/>
    <n v="886.44"/>
    <n v="1169.2"/>
    <n v="-175.38"/>
    <n v="824.26"/>
    <n v="1344.58"/>
    <n v="62.180000000000064"/>
  </r>
  <r>
    <s v="TXN200113"/>
    <s v="CUST617"/>
    <s v="2025-08-29"/>
    <s v="Deposit"/>
    <x v="1"/>
    <s v="Amazon Digital Supply"/>
    <n v="1125.46"/>
    <n v="1512.57"/>
    <n v="387.11"/>
    <n v="1137.97"/>
    <n v="1125.46"/>
    <n v="-12.509999999999991"/>
  </r>
  <r>
    <s v="TXN200114"/>
    <s v="CUST641"/>
    <s v="2025-10-20"/>
    <s v="Withdrawal"/>
    <x v="3"/>
    <s v="Global Industries Llc"/>
    <n v="7606.6"/>
    <n v="9642.1"/>
    <n v="-1446.32"/>
    <n v="7397.25"/>
    <n v="11088.42"/>
    <n v="209.35000000000036"/>
  </r>
  <r>
    <s v="TXN200115"/>
    <s v="CUST559"/>
    <s v="2025-10-25"/>
    <s v="Deposit"/>
    <x v="4"/>
    <s v="Mcdonalds Corp Express"/>
    <n v="249.89"/>
    <n v="313.18"/>
    <n v="63.29"/>
    <n v="266.27999999999997"/>
    <n v="249.89000000000001"/>
    <n v="-16.389999999999986"/>
  </r>
  <r>
    <s v="TXN200116"/>
    <s v="CUST510"/>
    <s v="2025-06-19"/>
    <s v="Deposit"/>
    <x v="1"/>
    <s v="Amazon Digital Supply"/>
    <n v="289.27999999999997"/>
    <n v="399.35"/>
    <n v="110.07"/>
    <n v="338.34"/>
    <n v="289.28000000000003"/>
    <n v="-49.06"/>
  </r>
  <r>
    <s v="TXN200117"/>
    <s v="CUST515"/>
    <s v="2025-03-30"/>
    <s v="Deposit"/>
    <x v="0"/>
    <s v="City Power &amp; Gas Co"/>
    <n v="1043.3900000000001"/>
    <n v="1270.08"/>
    <n v="226.69"/>
    <n v="1056.8"/>
    <n v="1043.3899999999999"/>
    <n v="-13.409999999999854"/>
  </r>
  <r>
    <s v="TXN200118"/>
    <s v="CUST562"/>
    <s v="2025-06-05"/>
    <s v="Withdrawal"/>
    <x v="1"/>
    <s v="Amazon Digital Supply"/>
    <n v="1024.26"/>
    <n v="1293.48"/>
    <n v="-194.02"/>
    <n v="1184.25"/>
    <n v="1487.5"/>
    <n v="-159.99"/>
  </r>
  <r>
    <s v="TXN200119"/>
    <s v="CUST589"/>
    <s v="2025-09-06"/>
    <s v="Deposit"/>
    <x v="5"/>
    <s v="Zelle Payment Engine"/>
    <n v="1059.55"/>
    <n v="1481.94"/>
    <n v="422.39"/>
    <n v="1261.1199999999999"/>
    <n v="1059.5500000000002"/>
    <n v="-201.56999999999994"/>
  </r>
  <r>
    <s v="TXN200120"/>
    <s v="CUST617"/>
    <s v="2025-04-30"/>
    <s v="Withdrawal"/>
    <x v="0"/>
    <s v="Metropolitan Water Sewer"/>
    <n v="122.32"/>
    <n v="152.33000000000001"/>
    <n v="-22.85"/>
    <n v="122.1"/>
    <n v="175.18"/>
    <n v="0.21999999999999886"/>
  </r>
  <r>
    <s v="TXN200121"/>
    <s v="CUST574"/>
    <s v="2025-05-03"/>
    <s v="Deposit"/>
    <x v="2"/>
    <s v="Whole Foods Store"/>
    <n v="726.16"/>
    <n v="1011.53"/>
    <n v="285.37"/>
    <n v="808.53"/>
    <n v="726.16"/>
    <n v="-82.37"/>
  </r>
  <r>
    <s v="TXN200122"/>
    <s v="CUST546"/>
    <s v="2025-09-29"/>
    <s v="Withdrawal"/>
    <x v="1"/>
    <s v="Amazon Digital Supply"/>
    <n v="39.29"/>
    <n v="47.57"/>
    <n v="-7.14"/>
    <n v="46.59"/>
    <n v="54.71"/>
    <n v="-7.3000000000000043"/>
  </r>
  <r>
    <s v="TXN200123"/>
    <s v="CUST631"/>
    <s v="2025-07-04"/>
    <s v="Withdrawal"/>
    <x v="1"/>
    <s v="Target Direct Online"/>
    <n v="401"/>
    <n v="555.24"/>
    <n v="-83.29"/>
    <n v="438"/>
    <n v="638.53"/>
    <n v="-37"/>
  </r>
  <r>
    <s v="TXN200124"/>
    <s v="CUST527"/>
    <s v="2025-11-21"/>
    <s v="Deposit"/>
    <x v="4"/>
    <s v="Olive Garden Gourmet"/>
    <n v="1102.43"/>
    <n v="1445.07"/>
    <n v="342.64"/>
    <n v="1003.95"/>
    <n v="1102.4299999999998"/>
    <n v="98.480000000000018"/>
  </r>
  <r>
    <s v="TXN200125"/>
    <s v="CUST647"/>
    <s v="2025-06-01"/>
    <s v="Deposit"/>
    <x v="3"/>
    <s v="Techcorp Payroll Inc"/>
    <n v="4997.32"/>
    <n v="6604.31"/>
    <n v="1606.99"/>
    <n v="4853.5600000000004"/>
    <n v="4997.3200000000006"/>
    <n v="143.75999999999931"/>
  </r>
  <r>
    <s v="TXN200126"/>
    <s v="CUST504"/>
    <s v="2025-06-26"/>
    <s v="Deposit"/>
    <x v="4"/>
    <s v="Olive Garden Gourmet"/>
    <n v="1132.31"/>
    <n v="1484.58"/>
    <n v="352.27"/>
    <n v="1035.1199999999999"/>
    <n v="1132.31"/>
    <n v="97.190000000000055"/>
  </r>
  <r>
    <s v="TXN200127"/>
    <s v="CUST634"/>
    <s v="2025-08-11"/>
    <s v="Deposit"/>
    <x v="0"/>
    <s v="State Hydro Grid"/>
    <n v="238.51"/>
    <n v="323.99"/>
    <n v="-44.182985074626863"/>
    <n v="265.52999999999997"/>
    <n v="368.17298507462687"/>
    <n v="-27.019999999999982"/>
  </r>
  <r>
    <s v="TXN200128"/>
    <s v="CUST587"/>
    <s v="2025-07-13"/>
    <s v="Withdrawal"/>
    <x v="2"/>
    <s v="Whole Foods Store"/>
    <n v="188.53"/>
    <n v="245.73"/>
    <n v="-36.86"/>
    <n v="195.02"/>
    <n v="282.58999999999997"/>
    <n v="-6.4900000000000091"/>
  </r>
  <r>
    <s v="TXN200129"/>
    <s v="CUST568"/>
    <s v="2025-02-17"/>
    <s v="Withdrawal"/>
    <x v="6"/>
    <s v="Spotify Music Hub"/>
    <n v="479.3"/>
    <n v="634.08000000000004"/>
    <n v="-95.11"/>
    <n v="467.15"/>
    <n v="729.19"/>
    <n v="12.150000000000034"/>
  </r>
  <r>
    <s v="TXN200130"/>
    <s v="CUST563"/>
    <s v="2025-07-16"/>
    <s v="Deposit"/>
    <x v="2"/>
    <s v="Whole Foods Store"/>
    <n v="597.04"/>
    <n v="751.81"/>
    <n v="154.77000000000001"/>
    <n v="585.95000000000005"/>
    <n v="597.04"/>
    <n v="11.089999999999918"/>
  </r>
  <r>
    <s v="TXN200131"/>
    <s v="CUST572"/>
    <s v="2025-07-30"/>
    <s v="Withdrawal"/>
    <x v="0"/>
    <s v="State Hydro Grid"/>
    <n v="1163.19"/>
    <n v="1592.42"/>
    <n v="-238.86"/>
    <n v="1310.07"/>
    <n v="1831.2800000000002"/>
    <n v="-146.87999999999988"/>
  </r>
  <r>
    <s v="TXN200132"/>
    <s v="CUST633"/>
    <s v="2025-04-01"/>
    <s v="Deposit"/>
    <x v="6"/>
    <s v="Netflix Streaming Premium"/>
    <n v="1219.4163333333336"/>
    <n v="117.79"/>
    <n v="17.79"/>
    <n v="109.43"/>
    <n v="100"/>
    <n v="1109.9863333333335"/>
  </r>
  <r>
    <s v="TXN200133"/>
    <s v="CUST641"/>
    <s v="2025-12-03"/>
    <s v="Deposit"/>
    <x v="1"/>
    <s v="Amazon Digital Supply"/>
    <n v="893.54"/>
    <n v="1081.1300000000001"/>
    <n v="187.59"/>
    <n v="808.36"/>
    <n v="893.54000000000008"/>
    <n v="85.17999999999995"/>
  </r>
  <r>
    <s v="TXN200134"/>
    <s v="CUST588"/>
    <s v="2025-06-01"/>
    <s v="Deposit"/>
    <x v="0"/>
    <s v="State Hydro Grid"/>
    <n v="493.89"/>
    <n v="576.94000000000005"/>
    <n v="83.05"/>
    <n v="478.6"/>
    <n v="493.89000000000004"/>
    <n v="15.289999999999964"/>
  </r>
  <r>
    <s v="TXN200135"/>
    <s v="CUST627"/>
    <s v="2025-09-30"/>
    <s v="Deposit"/>
    <x v="6"/>
    <s v="Amc Cinema Network"/>
    <n v="57.51"/>
    <n v="74.39"/>
    <n v="16.88"/>
    <n v="68.72"/>
    <n v="57.510000000000005"/>
    <n v="-11.21"/>
  </r>
  <r>
    <s v="TXN200136"/>
    <s v="CUST540"/>
    <s v="2025-05-26"/>
    <s v="Deposit"/>
    <x v="2"/>
    <s v="Fresh &amp; Fast Logistics"/>
    <n v="587.71"/>
    <n v="708.89"/>
    <n v="121.18"/>
    <n v="535.13"/>
    <n v="587.71"/>
    <n v="52.580000000000041"/>
  </r>
  <r>
    <s v="TXN200137"/>
    <s v="CUST592"/>
    <s v="2025-04-08"/>
    <s v="Withdrawal"/>
    <x v="0"/>
    <s v="Metropolitan Water Sewer"/>
    <n v="1034.3800000000001"/>
    <n v="1249.32"/>
    <n v="-187.4"/>
    <n v="1167.69"/>
    <n v="1436.72"/>
    <n v="-133.30999999999995"/>
  </r>
  <r>
    <s v="TXN200138"/>
    <s v="CUST564"/>
    <s v="2025-05-13"/>
    <s v="Deposit"/>
    <x v="1"/>
    <s v="Ebay International"/>
    <n v="970.84"/>
    <n v="1223.2"/>
    <n v="252.36"/>
    <n v="915.16"/>
    <n v="970.84"/>
    <n v="55.680000000000064"/>
  </r>
  <r>
    <s v="TXN200139"/>
    <s v="CUST521"/>
    <s v="2025-05-15"/>
    <s v="Deposit"/>
    <x v="2"/>
    <s v="Whole Foods Store"/>
    <n v="190.79"/>
    <n v="238.65"/>
    <n v="47.86"/>
    <n v="179.24"/>
    <n v="190.79000000000002"/>
    <n v="11.549999999999983"/>
  </r>
  <r>
    <s v="TXN200140"/>
    <s v="CUST647"/>
    <s v="2025-05-24"/>
    <s v="Deposit"/>
    <x v="0"/>
    <s v="State Hydro Grid"/>
    <n v="439.85"/>
    <n v="562.89"/>
    <n v="123.04"/>
    <n v="459.56"/>
    <n v="439.84999999999997"/>
    <n v="-19.70999999999998"/>
  </r>
  <r>
    <s v="TXN200141"/>
    <s v="CUST573"/>
    <s v="2025-08-09"/>
    <s v="Deposit"/>
    <x v="5"/>
    <s v="Internal P2P Route"/>
    <n v="36.11"/>
    <n v="48.88"/>
    <n v="12.77"/>
    <n v="38.409999999999997"/>
    <n v="36.11"/>
    <n v="-2.2999999999999972"/>
  </r>
  <r>
    <s v="TXN200142"/>
    <s v="CUST622"/>
    <s v="2025-03-11"/>
    <s v="Withdrawal"/>
    <x v="0"/>
    <s v="State Hydro Grid"/>
    <n v="1004.23"/>
    <n v="1319.49"/>
    <n v="-197.92"/>
    <n v="1201.54"/>
    <n v="1517.41"/>
    <n v="-197.30999999999995"/>
  </r>
  <r>
    <s v="TXN200143"/>
    <s v="CUST601"/>
    <s v="2025-03-21"/>
    <s v="Withdrawal"/>
    <x v="1"/>
    <s v="Target Direct Online"/>
    <n v="868.23"/>
    <n v="1201.97"/>
    <n v="-180.3"/>
    <n v="923.48"/>
    <n v="1382.27"/>
    <n v="-55.25"/>
  </r>
  <r>
    <s v="TXN200144"/>
    <s v="CUST598"/>
    <s v="2025-12-29"/>
    <s v="Withdrawal"/>
    <x v="6"/>
    <s v="Netflix Streaming Premium"/>
    <n v="1219.4163333333336"/>
    <n v="131.96"/>
    <n v="-19.79"/>
    <n v="105.12"/>
    <n v="151.75"/>
    <n v="1114.2963333333337"/>
  </r>
  <r>
    <s v="TXN200145"/>
    <s v="CUST592"/>
    <s v="05/03/2025"/>
    <s v="Deposit"/>
    <x v="5"/>
    <s v="Internal P2P Route"/>
    <n v="596.29999999999995"/>
    <n v="738.5"/>
    <n v="142.19999999999999"/>
    <n v="699.83"/>
    <n v="596.29999999999995"/>
    <n v="-103.53000000000009"/>
  </r>
  <r>
    <s v="TXN200146"/>
    <s v="CUST530"/>
    <s v="2025-02-28"/>
    <s v="Withdrawal"/>
    <x v="6"/>
    <s v="Spotify Music Hub"/>
    <n v="769.13"/>
    <n v="1016.94"/>
    <n v="-152.54"/>
    <n v="817.78"/>
    <n v="1169.48"/>
    <n v="-48.649999999999977"/>
  </r>
  <r>
    <s v="TXN200147"/>
    <s v="CUST565"/>
    <s v="07/03/2025"/>
    <s v="Withdrawal"/>
    <x v="1"/>
    <s v="Target Direct Online"/>
    <n v="826.05"/>
    <n v="1143.29"/>
    <n v="-171.49"/>
    <n v="958.49"/>
    <n v="1314.78"/>
    <n v="-132.44000000000005"/>
  </r>
  <r>
    <s v="TXN200148"/>
    <s v="CUST597"/>
    <s v="13/08/2025"/>
    <s v="Withdrawal"/>
    <x v="5"/>
    <s v="External Wire Clearance"/>
    <n v="765.93"/>
    <n v="998.17"/>
    <n v="-149.72999999999999"/>
    <n v="873.52"/>
    <n v="1147.8999999999999"/>
    <n v="-107.59000000000003"/>
  </r>
  <r>
    <s v="TXN200149"/>
    <s v="CUST604"/>
    <s v="2025-07-05"/>
    <s v="Deposit"/>
    <x v="5"/>
    <s v="Internal P2P Route"/>
    <n v="119.61"/>
    <n v="166.21"/>
    <n v="46.6"/>
    <n v="113.76"/>
    <n v="119.61000000000001"/>
    <n v="5.8499999999999943"/>
  </r>
  <r>
    <s v="TXN200150"/>
    <s v="CUST575"/>
    <s v="2025-07-07"/>
    <s v="Deposit"/>
    <x v="5"/>
    <s v="Zelle Payment Engine"/>
    <n v="980.55"/>
    <n v="1131.6600000000001"/>
    <n v="151.11000000000001"/>
    <n v="912.68"/>
    <n v="980.55000000000007"/>
    <n v="67.87"/>
  </r>
  <r>
    <s v="TXN200151"/>
    <s v="CUST584"/>
    <s v="2025-07-15"/>
    <s v="Withdrawal"/>
    <x v="2"/>
    <s v="Supermart Marketplace"/>
    <n v="861.39"/>
    <n v="1007.39"/>
    <n v="-151.11000000000001"/>
    <n v="975.26"/>
    <n v="1158.5"/>
    <n v="-113.87"/>
  </r>
  <r>
    <s v="TXN200152"/>
    <s v="CUST537"/>
    <s v="2025-02-05"/>
    <s v="Deposit"/>
    <x v="2"/>
    <s v="Whole Foods Store"/>
    <n v="789.9"/>
    <n v="913.32"/>
    <n v="123.42"/>
    <n v="942.7"/>
    <n v="789.90000000000009"/>
    <n v="-152.80000000000007"/>
  </r>
  <r>
    <s v="TXN200153"/>
    <s v="CUST522"/>
    <s v="2025-02-04"/>
    <s v="Withdrawal"/>
    <x v="3"/>
    <s v="Techcorp Payroll Inc"/>
    <n v="6077.11"/>
    <n v="8292.0499999999993"/>
    <n v="-1243.81"/>
    <n v="5786.53"/>
    <n v="9535.8599999999988"/>
    <n v="290.57999999999993"/>
  </r>
  <r>
    <s v="TXN200154"/>
    <s v="CUST505"/>
    <s v="2025-03-08"/>
    <s v="Deposit"/>
    <x v="6"/>
    <s v="Amc Cinema Network"/>
    <n v="978.98"/>
    <n v="1210.06"/>
    <n v="231.08"/>
    <n v="1120.3"/>
    <n v="978.9799999999999"/>
    <n v="-141.31999999999994"/>
  </r>
  <r>
    <s v="TXN200155"/>
    <s v="CUST547"/>
    <s v="2025-03-05"/>
    <s v="Deposit"/>
    <x v="0"/>
    <s v="Metropolitan Water Sewer"/>
    <n v="405.49"/>
    <n v="1420.2638235294123"/>
    <n v="85.9"/>
    <n v="469.05"/>
    <n v="1334.3638235294122"/>
    <n v="-63.56"/>
  </r>
  <r>
    <s v="TXN200156"/>
    <s v="CUST555"/>
    <s v="2025-04-22"/>
    <s v="Deposit"/>
    <x v="4"/>
    <s v="Olive Garden Gourmet"/>
    <n v="1062.83"/>
    <n v="1468.18"/>
    <n v="405.35"/>
    <n v="1180.93"/>
    <n v="1062.83"/>
    <n v="-118.10000000000014"/>
  </r>
  <r>
    <s v="TXN200157"/>
    <s v="CUST599"/>
    <s v="2025-05-08"/>
    <s v="Deposit"/>
    <x v="5"/>
    <s v="Internal P2P Route"/>
    <n v="1219.4163333333336"/>
    <n v="131.19"/>
    <n v="31.19"/>
    <n v="93.17"/>
    <n v="100"/>
    <n v="1126.2463333333335"/>
  </r>
  <r>
    <s v="TXN200158"/>
    <s v="CUST626"/>
    <s v="2025-06-10"/>
    <s v="Withdrawal"/>
    <x v="5"/>
    <s v="Internal P2P Route"/>
    <n v="947.27"/>
    <n v="1281.8499999999999"/>
    <n v="-192.28"/>
    <n v="860.21"/>
    <n v="1474.1299999999999"/>
    <n v="87.059999999999945"/>
  </r>
  <r>
    <s v="TXN200159"/>
    <s v="CUST609"/>
    <s v="2025-01-22"/>
    <s v="Deposit"/>
    <x v="0"/>
    <s v="City Power &amp; Gas Co"/>
    <n v="351.59"/>
    <n v="460.86"/>
    <n v="109.27"/>
    <n v="402.77"/>
    <n v="351.59000000000003"/>
    <n v="-51.180000000000007"/>
  </r>
  <r>
    <s v="TXN200160"/>
    <s v="CUST505"/>
    <s v="2025-06-19"/>
    <s v="Deposit"/>
    <x v="3"/>
    <s v="Global Industries Llc"/>
    <n v="5599.86"/>
    <n v="7474.06"/>
    <n v="1874.2"/>
    <n v="5671.02"/>
    <n v="5599.8600000000006"/>
    <n v="-71.160000000000764"/>
  </r>
  <r>
    <s v="TXN200161"/>
    <s v="CUST596"/>
    <s v="06/07/2025"/>
    <s v="Withdrawal"/>
    <x v="2"/>
    <s v="Fresh &amp; Fast Logistics"/>
    <n v="1173.76"/>
    <n v="1585.82"/>
    <n v="-237.87"/>
    <n v="1383.86"/>
    <n v="1823.69"/>
    <n v="-210.09999999999991"/>
  </r>
  <r>
    <s v="TXN200162"/>
    <s v="CUST579"/>
    <s v="2025-01-11"/>
    <s v="Deposit"/>
    <x v="4"/>
    <s v="Starbucks Hub Cafe"/>
    <n v="231.17"/>
    <n v="292.83999999999997"/>
    <n v="61.67"/>
    <n v="263.49"/>
    <n v="231.16999999999996"/>
    <n v="-32.320000000000022"/>
  </r>
  <r>
    <s v="TXN200163"/>
    <s v="CUST587"/>
    <s v="2025-10-23"/>
    <s v="Deposit"/>
    <x v="1"/>
    <s v="Amazon Digital Supply"/>
    <n v="1034.32"/>
    <n v="1290.45"/>
    <n v="256.13"/>
    <n v="1063.8"/>
    <n v="1034.3200000000002"/>
    <n v="-29.480000000000018"/>
  </r>
  <r>
    <s v="TXN200164"/>
    <s v="CUST560"/>
    <s v="2025-11-06"/>
    <s v="Deposit"/>
    <x v="4"/>
    <s v="Mcdonalds Corp Express"/>
    <n v="39.06"/>
    <n v="51.41"/>
    <n v="12.35"/>
    <n v="39.07"/>
    <n v="39.059999999999995"/>
    <n v="-9.9999999999980105E-3"/>
  </r>
  <r>
    <s v="TXN200165"/>
    <s v="CUST569"/>
    <s v="2025-03-11"/>
    <s v="Withdrawal"/>
    <x v="2"/>
    <s v="Whole Foods Store"/>
    <n v="331.11"/>
    <n v="444.87"/>
    <n v="-66.73"/>
    <n v="370.96"/>
    <n v="511.6"/>
    <n v="-39.849999999999966"/>
  </r>
  <r>
    <s v="TXN200166"/>
    <s v="CUST586"/>
    <s v="2025-08-13"/>
    <s v="Withdrawal"/>
    <x v="6"/>
    <s v="Spotify Music Hub"/>
    <n v="565.25"/>
    <n v="729.35"/>
    <n v="-109.4"/>
    <n v="662.93"/>
    <n v="838.75"/>
    <n v="-97.67999999999995"/>
  </r>
  <r>
    <s v="TXN200167"/>
    <s v="CUST549"/>
    <s v="2025-07-06"/>
    <s v="Withdrawal"/>
    <x v="3"/>
    <s v="Techcorp Payroll Inc"/>
    <n v="4418.42"/>
    <n v="5275.29"/>
    <n v="-791.29"/>
    <n v="5027.8599999999997"/>
    <n v="6066.58"/>
    <n v="-609.4399999999996"/>
  </r>
  <r>
    <s v="TXN200168"/>
    <s v="CUST545"/>
    <s v="2025-12-19"/>
    <s v="Withdrawal"/>
    <x v="0"/>
    <s v="Metropolitan Water Sewer"/>
    <n v="958.16"/>
    <n v="1197.48"/>
    <n v="-179.62"/>
    <n v="1020.63"/>
    <n v="1377.1"/>
    <n v="-62.470000000000027"/>
  </r>
  <r>
    <s v="TXN200169"/>
    <s v="CUST600"/>
    <s v="16/01/2025"/>
    <s v="Deposit"/>
    <x v="6"/>
    <s v="Amc Cinema Network"/>
    <n v="882.09"/>
    <n v="1074.31"/>
    <n v="192.22"/>
    <n v="989.33"/>
    <n v="882.08999999999992"/>
    <n v="-107.24000000000001"/>
  </r>
  <r>
    <s v="TXN200170"/>
    <s v="CUST560"/>
    <s v="2025-07-28"/>
    <s v="Withdrawal"/>
    <x v="0"/>
    <s v="City Power &amp; Gas Co"/>
    <n v="694"/>
    <n v="917.19"/>
    <n v="-137.58000000000001"/>
    <n v="672.08"/>
    <n v="1054.77"/>
    <n v="21.919999999999959"/>
  </r>
  <r>
    <s v="TXN200171"/>
    <s v="CUST592"/>
    <s v="2025-06-26"/>
    <s v="Deposit"/>
    <x v="4"/>
    <s v="Mcdonalds Corp Express"/>
    <n v="278.52999999999997"/>
    <n v="359.17"/>
    <n v="80.64"/>
    <n v="333.49"/>
    <n v="278.53000000000003"/>
    <n v="-54.960000000000036"/>
  </r>
  <r>
    <s v="TXN200172"/>
    <s v="CUST573"/>
    <s v="2025-06-13"/>
    <s v="Deposit"/>
    <x v="3"/>
    <s v="Techcorp Payroll Inc"/>
    <n v="4667.32"/>
    <n v="5512.49"/>
    <n v="845.17"/>
    <n v="4782.46"/>
    <n v="4667.32"/>
    <n v="-115.14000000000033"/>
  </r>
  <r>
    <s v="TXN200173"/>
    <s v="CUST617"/>
    <s v="2025-06-18"/>
    <s v="Withdrawal"/>
    <x v="0"/>
    <s v="City Power &amp; Gas Co"/>
    <n v="1005.26"/>
    <n v="1385.44"/>
    <n v="-207.82"/>
    <n v="974.2"/>
    <n v="1593.26"/>
    <n v="31.059999999999945"/>
  </r>
  <r>
    <s v="TXN200174"/>
    <s v="CUST601"/>
    <s v="2025-10-14"/>
    <s v="Withdrawal"/>
    <x v="3"/>
    <s v="Stark Retail Labs"/>
    <n v="6920.99"/>
    <n v="8344.52"/>
    <n v="-1251.68"/>
    <n v="7921.12"/>
    <n v="9596.2000000000007"/>
    <n v="-1000.1300000000001"/>
  </r>
  <r>
    <s v="TXN200175"/>
    <s v="CUST605"/>
    <s v="29/07/2025"/>
    <s v="Withdrawal"/>
    <x v="6"/>
    <s v="Amc Cinema Network"/>
    <n v="530.66999999999996"/>
    <n v="694.5"/>
    <n v="-104.17"/>
    <n v="544.11"/>
    <n v="798.67"/>
    <n v="-13.440000000000055"/>
  </r>
  <r>
    <s v="TXN200176"/>
    <s v="CUST530"/>
    <s v="2025-11-05"/>
    <s v="Withdrawal"/>
    <x v="5"/>
    <s v="External Wire Clearance"/>
    <n v="856.76"/>
    <n v="1019.22"/>
    <n v="-152.88"/>
    <n v="849.05"/>
    <n v="1172.0999999999999"/>
    <n v="7.7100000000000364"/>
  </r>
  <r>
    <s v="TXN200177"/>
    <s v="CUST573"/>
    <s v="2025-03-17"/>
    <s v="Deposit"/>
    <x v="2"/>
    <s v="Supermart Marketplace"/>
    <n v="1023.93"/>
    <n v="1357.65"/>
    <n v="333.72"/>
    <n v="997.35"/>
    <n v="1023.9300000000001"/>
    <n v="26.579999999999927"/>
  </r>
  <r>
    <s v="TXN200178"/>
    <s v="CUST569"/>
    <s v="2025-03-07"/>
    <s v="Withdrawal"/>
    <x v="0"/>
    <s v="State Hydro Grid"/>
    <n v="308.8"/>
    <n v="375.04"/>
    <n v="-56.26"/>
    <n v="296.14999999999998"/>
    <n v="431.3"/>
    <n v="12.650000000000034"/>
  </r>
  <r>
    <s v="TXN200179"/>
    <s v="CUST541"/>
    <s v="2025-02-07"/>
    <s v="Withdrawal"/>
    <x v="6"/>
    <s v="Netflix Streaming Premium"/>
    <n v="1219.4163333333336"/>
    <n v="135.36000000000001"/>
    <n v="-20.3"/>
    <n v="100.34"/>
    <n v="155.66000000000003"/>
    <n v="1119.0763333333337"/>
  </r>
  <r>
    <s v="TXN200180"/>
    <s v="CUST577"/>
    <s v="2025-12-04"/>
    <s v="Withdrawal"/>
    <x v="4"/>
    <s v="Mcdonalds Corp Express"/>
    <n v="1138.18"/>
    <n v="1555.59"/>
    <n v="-233.34"/>
    <n v="1195.21"/>
    <n v="1788.9299999999998"/>
    <n v="-57.029999999999973"/>
  </r>
  <r>
    <s v="TXN200181"/>
    <s v="CUST643"/>
    <s v="2025-03-31"/>
    <s v="Deposit"/>
    <x v="2"/>
    <s v="Fresh &amp; Fast Logistics"/>
    <n v="1187.6099999999999"/>
    <n v="1642.84"/>
    <n v="455.23"/>
    <n v="1192.83"/>
    <n v="1187.6099999999999"/>
    <n v="-5.2200000000000273"/>
  </r>
  <r>
    <s v="TXN200182"/>
    <s v="CUST606"/>
    <s v="2025-10-28"/>
    <s v="Deposit"/>
    <x v="2"/>
    <s v="Fresh &amp; Fast Logistics"/>
    <n v="968.03"/>
    <n v="1140.4100000000001"/>
    <n v="172.38"/>
    <n v="1058.02"/>
    <n v="968.03000000000009"/>
    <n v="-89.990000000000009"/>
  </r>
  <r>
    <s v="TXN200183"/>
    <s v="CUST575"/>
    <s v="2025-02-08"/>
    <s v="Deposit"/>
    <x v="6"/>
    <s v="Netflix Streaming Premium"/>
    <n v="470.89"/>
    <n v="623"/>
    <n v="152.11000000000001"/>
    <n v="551.58000000000004"/>
    <n v="470.89"/>
    <n v="-80.690000000000055"/>
  </r>
  <r>
    <s v="TXN200184"/>
    <s v="CUST646"/>
    <s v="2025-07-16"/>
    <s v="Deposit"/>
    <x v="1"/>
    <s v="Ebay International"/>
    <n v="869.66"/>
    <n v="1156.4000000000001"/>
    <n v="286.74"/>
    <n v="948.02"/>
    <n v="869.66000000000008"/>
    <n v="-78.360000000000014"/>
  </r>
  <r>
    <s v="TXN200185"/>
    <s v="CUST507"/>
    <s v="2025-11-19"/>
    <s v="Withdrawal"/>
    <x v="6"/>
    <s v="Amc Cinema Network"/>
    <n v="1041.6099999999999"/>
    <n v="1420.2638235294123"/>
    <n v="-195.96"/>
    <n v="1050.25"/>
    <n v="1616.2238235294124"/>
    <n v="-8.6400000000001"/>
  </r>
  <r>
    <s v="TXN200186"/>
    <s v="CUST503"/>
    <s v="2025-11-26"/>
    <s v="Deposit"/>
    <x v="1"/>
    <s v="Ebay International"/>
    <n v="228.37"/>
    <n v="305.54000000000002"/>
    <n v="77.17"/>
    <n v="247.69"/>
    <n v="228.37"/>
    <n v="-19.319999999999993"/>
  </r>
  <r>
    <s v="TXN200187"/>
    <s v="CUST552"/>
    <s v="2025-02-28"/>
    <s v="Withdrawal"/>
    <x v="4"/>
    <s v="Starbucks Hub Cafe"/>
    <n v="158.33000000000001"/>
    <n v="221.24"/>
    <n v="-33.19"/>
    <n v="179.01"/>
    <n v="254.43"/>
    <n v="-20.679999999999978"/>
  </r>
  <r>
    <s v="TXN200188"/>
    <s v="CUST521"/>
    <s v="2025-04-28"/>
    <s v="Withdrawal"/>
    <x v="3"/>
    <s v="Techcorp Payroll Inc"/>
    <n v="7533.08"/>
    <n v="9840.92"/>
    <n v="-1476.14"/>
    <n v="7002.44"/>
    <n v="11317.06"/>
    <n v="530.64000000000033"/>
  </r>
  <r>
    <s v="TXN200189"/>
    <s v="CUST598"/>
    <s v="24/12/2025"/>
    <s v="Deposit"/>
    <x v="3"/>
    <s v="Techcorp Payroll Inc"/>
    <n v="8391.6"/>
    <n v="10026.73"/>
    <n v="1635.13"/>
    <n v="9006.27"/>
    <n v="8391.5999999999985"/>
    <n v="-614.67000000000007"/>
  </r>
  <r>
    <s v="TXN200190"/>
    <s v="CUST576"/>
    <s v="2025-05-25"/>
    <s v="Withdrawal"/>
    <x v="2"/>
    <s v="Whole Foods Store"/>
    <n v="752.66"/>
    <n v="902.48"/>
    <n v="-135.37"/>
    <n v="870.92"/>
    <n v="1037.8499999999999"/>
    <n v="-118.25999999999999"/>
  </r>
  <r>
    <s v="TXN200191"/>
    <s v="CUST571"/>
    <s v="2025-05-30"/>
    <s v="Deposit"/>
    <x v="1"/>
    <s v="Ebay International"/>
    <n v="771.23"/>
    <n v="1049.8900000000001"/>
    <n v="278.66000000000003"/>
    <n v="813.74"/>
    <n v="771.23"/>
    <n v="-42.509999999999991"/>
  </r>
  <r>
    <s v="TXN200192"/>
    <s v="CUST587"/>
    <s v="2025-04-12"/>
    <s v="Deposit"/>
    <x v="0"/>
    <s v="State Hydro Grid"/>
    <n v="1219.4163333333336"/>
    <n v="131.41999999999999"/>
    <n v="31.42"/>
    <n v="111.12"/>
    <n v="99.999999999999986"/>
    <n v="1108.2963333333337"/>
  </r>
  <r>
    <s v="TXN200193"/>
    <s v="CUST607"/>
    <s v="2025-02-14"/>
    <s v="Withdrawal"/>
    <x v="6"/>
    <s v="Spotify Music Hub"/>
    <n v="36.67"/>
    <n v="49.59"/>
    <n v="-7.44"/>
    <n v="36.33"/>
    <n v="57.03"/>
    <n v="0.34000000000000341"/>
  </r>
  <r>
    <s v="TXN200194"/>
    <s v="CUST528"/>
    <s v="2025-02-23"/>
    <s v="Deposit"/>
    <x v="4"/>
    <s v="Mcdonalds Corp Express"/>
    <n v="1219.4163333333336"/>
    <n v="129.19"/>
    <n v="29.19"/>
    <n v="102.34"/>
    <n v="100"/>
    <n v="1117.0763333333337"/>
  </r>
  <r>
    <s v="TXN200195"/>
    <s v="CUST518"/>
    <s v="2025-06-08"/>
    <s v="Withdrawal"/>
    <x v="6"/>
    <s v="Netflix Streaming Premium"/>
    <n v="807.25"/>
    <n v="1034.79"/>
    <n v="-155.22"/>
    <n v="807.23"/>
    <n v="1190.01"/>
    <n v="1.999999999998181E-2"/>
  </r>
  <r>
    <s v="TXN200196"/>
    <s v="CUST574"/>
    <s v="CORRUPT_DATE_FLAG"/>
    <s v="Deposit"/>
    <x v="5"/>
    <s v="Zelle Payment Engine"/>
    <n v="1037.43"/>
    <n v="1205.48"/>
    <n v="168.05"/>
    <n v="1000.63"/>
    <n v="1037.43"/>
    <n v="36.800000000000068"/>
  </r>
  <r>
    <s v="TXN200197"/>
    <s v="CUST565"/>
    <s v="2025-01-02"/>
    <s v="Withdrawal"/>
    <x v="0"/>
    <s v="State Hydro Grid"/>
    <n v="208.97"/>
    <n v="290.14"/>
    <n v="-43.52"/>
    <n v="250.43"/>
    <n v="333.65999999999997"/>
    <n v="-41.460000000000008"/>
  </r>
  <r>
    <s v="TXN200198"/>
    <s v="CUST526"/>
    <s v="2025-01-17"/>
    <s v="Deposit"/>
    <x v="6"/>
    <s v="Spotify Music Hub"/>
    <n v="420.69"/>
    <n v="568.63"/>
    <n v="147.94"/>
    <n v="473.54"/>
    <n v="420.69"/>
    <n v="-52.850000000000023"/>
  </r>
  <r>
    <s v="TXN200199"/>
    <s v="CUST573"/>
    <s v="2025-02-01"/>
    <s v="Deposit"/>
    <x v="1"/>
    <s v="Target Direct Online"/>
    <n v="461.4"/>
    <n v="556.80999999999995"/>
    <n v="95.41"/>
    <n v="446.28"/>
    <n v="461.4"/>
    <n v="15.120000000000005"/>
  </r>
  <r>
    <s v="TXN200200"/>
    <s v="CUST533"/>
    <s v="2025-07-31"/>
    <s v="Withdrawal"/>
    <x v="6"/>
    <s v="Netflix Streaming Premium"/>
    <n v="667.69"/>
    <n v="805.72"/>
    <n v="-120.86"/>
    <n v="655.7"/>
    <n v="926.58"/>
    <n v="11.990000000000009"/>
  </r>
  <r>
    <s v="TXN200201"/>
    <s v="CUST622"/>
    <s v="2025-02-19"/>
    <s v="Withdrawal"/>
    <x v="0"/>
    <s v="State Hydro Grid"/>
    <n v="358.78"/>
    <n v="464.94"/>
    <n v="-69.739999999999995"/>
    <n v="353.28"/>
    <n v="534.67999999999995"/>
    <n v="5.5"/>
  </r>
  <r>
    <s v="TXN200202"/>
    <s v="CUST538"/>
    <s v="2025-01-19"/>
    <s v="Deposit"/>
    <x v="1"/>
    <s v="Ebay International"/>
    <n v="80.58"/>
    <n v="111.45"/>
    <n v="30.87"/>
    <n v="91.83"/>
    <n v="80.58"/>
    <n v="-11.25"/>
  </r>
  <r>
    <s v="TXN200203"/>
    <s v="CUST502"/>
    <s v="2025-07-11"/>
    <s v="Withdrawal"/>
    <x v="2"/>
    <s v="Whole Foods Store"/>
    <n v="1149.1400000000001"/>
    <n v="1451.05"/>
    <n v="-217.66"/>
    <n v="1098.27"/>
    <n v="1668.71"/>
    <n v="50.870000000000118"/>
  </r>
  <r>
    <s v="TXN200204"/>
    <s v="CUST627"/>
    <s v="2025-01-15"/>
    <s v="Deposit"/>
    <x v="5"/>
    <s v="Internal P2P Route"/>
    <n v="269.2"/>
    <n v="371.71"/>
    <n v="102.51"/>
    <n v="289.04000000000002"/>
    <n v="269.2"/>
    <n v="-19.840000000000032"/>
  </r>
  <r>
    <s v="TXN200205"/>
    <s v="CUST642"/>
    <s v="2025-10-23"/>
    <s v="Withdrawal"/>
    <x v="6"/>
    <s v="Amc Cinema Network"/>
    <n v="472.98"/>
    <n v="578.79999999999995"/>
    <n v="-86.82"/>
    <n v="433.02"/>
    <n v="665.61999999999989"/>
    <n v="39.960000000000036"/>
  </r>
  <r>
    <s v="TXN200206"/>
    <s v="CUST534"/>
    <s v="2025-05-12"/>
    <s v="Deposit"/>
    <x v="1"/>
    <s v="Target Direct Online"/>
    <n v="669.21"/>
    <n v="836.9"/>
    <n v="167.69"/>
    <n v="612.04"/>
    <n v="669.21"/>
    <n v="57.170000000000073"/>
  </r>
  <r>
    <s v="TXN200207"/>
    <s v="CUST579"/>
    <s v="2025-11-10"/>
    <s v="Deposit"/>
    <x v="6"/>
    <s v="Amc Cinema Network"/>
    <n v="527.47"/>
    <n v="724.54"/>
    <n v="197.07"/>
    <n v="534.80999999999995"/>
    <n v="527.47"/>
    <n v="-7.3399999999999181"/>
  </r>
  <r>
    <s v="TXN200208"/>
    <s v="CUST501"/>
    <s v="12/05/2025"/>
    <s v="Deposit"/>
    <x v="4"/>
    <s v="Starbucks Hub Cafe"/>
    <n v="848.52"/>
    <n v="1127.79"/>
    <n v="279.27"/>
    <n v="908.92"/>
    <n v="848.52"/>
    <n v="-60.399999999999977"/>
  </r>
  <r>
    <s v="TXN200209"/>
    <s v="CUST614"/>
    <s v="2025-05-21"/>
    <s v="Deposit"/>
    <x v="2"/>
    <s v="Whole Foods Store"/>
    <n v="296.99"/>
    <n v="362.29"/>
    <n v="65.3"/>
    <n v="310"/>
    <n v="296.99"/>
    <n v="-13.009999999999991"/>
  </r>
  <r>
    <s v="TXN200210"/>
    <s v="CUST647"/>
    <s v="2025-12-17"/>
    <s v="Withdrawal"/>
    <x v="2"/>
    <s v="Supermart Marketplace"/>
    <n v="1058.78"/>
    <n v="1409.68"/>
    <n v="-211.45"/>
    <n v="1146.8399999999999"/>
    <n v="1621.13"/>
    <n v="-88.059999999999945"/>
  </r>
  <r>
    <s v="TXN200211"/>
    <s v="CUST504"/>
    <s v="2025-03-16"/>
    <s v="Withdrawal"/>
    <x v="1"/>
    <s v="Ebay International"/>
    <n v="180.21"/>
    <n v="209.07"/>
    <n v="-31.36"/>
    <n v="207.59"/>
    <n v="240.43"/>
    <n v="-27.379999999999995"/>
  </r>
  <r>
    <s v="TXN200212"/>
    <s v="CUST577"/>
    <s v="2025-03-09"/>
    <s v="Deposit"/>
    <x v="1"/>
    <s v="Target Direct Online"/>
    <n v="1121.73"/>
    <n v="1362.34"/>
    <n v="240.61"/>
    <n v="1228.8399999999999"/>
    <n v="1121.73"/>
    <n v="-107.1099999999999"/>
  </r>
  <r>
    <s v="TXN200213"/>
    <s v="CUST577"/>
    <s v="2025-07-25"/>
    <s v="Withdrawal"/>
    <x v="2"/>
    <s v="Fresh &amp; Fast Logistics"/>
    <n v="869.44"/>
    <n v="1086.06"/>
    <n v="-162.91"/>
    <n v="875.15"/>
    <n v="1248.97"/>
    <n v="-5.7099999999999227"/>
  </r>
  <r>
    <s v="TXN200214"/>
    <s v="CUST522"/>
    <s v="2025-05-20"/>
    <s v="Deposit"/>
    <x v="0"/>
    <s v="City Power &amp; Gas Co"/>
    <n v="1114.18"/>
    <n v="1535.96"/>
    <n v="421.78"/>
    <n v="1249.27"/>
    <n v="1114.18"/>
    <n v="-135.08999999999992"/>
  </r>
  <r>
    <s v="TXN200215"/>
    <s v="CUST567"/>
    <s v="2025-02-13"/>
    <s v="Deposit"/>
    <x v="5"/>
    <s v="Zelle Payment Engine"/>
    <n v="215.38"/>
    <n v="287.06"/>
    <n v="71.680000000000007"/>
    <n v="243.79"/>
    <n v="215.38"/>
    <n v="-28.409999999999997"/>
  </r>
  <r>
    <s v="TXN200216"/>
    <s v="CUST608"/>
    <s v="2025-02-03"/>
    <s v="Deposit"/>
    <x v="6"/>
    <s v="Amc Cinema Network"/>
    <n v="698.17"/>
    <n v="903.58"/>
    <n v="205.41"/>
    <n v="806.01"/>
    <n v="698.17000000000007"/>
    <n v="-107.84000000000003"/>
  </r>
  <r>
    <s v="TXN200217"/>
    <s v="CUST546"/>
    <s v="2025-01-07"/>
    <s v="Withdrawal"/>
    <x v="5"/>
    <s v="Zelle Payment Engine"/>
    <n v="417.51"/>
    <n v="582.95000000000005"/>
    <n v="-87.44"/>
    <n v="419.1"/>
    <n v="670.3900000000001"/>
    <n v="-1.5900000000000318"/>
  </r>
  <r>
    <s v="TXN200218"/>
    <s v="CUST625"/>
    <s v="2025-04-10"/>
    <s v="Withdrawal"/>
    <x v="0"/>
    <s v="City Power &amp; Gas Co"/>
    <n v="1111"/>
    <n v="1430.85"/>
    <n v="-214.63"/>
    <n v="1049.57"/>
    <n v="1645.48"/>
    <n v="61.430000000000064"/>
  </r>
  <r>
    <s v="TXN200219"/>
    <s v="CUST561"/>
    <s v="2025-06-10"/>
    <s v="Deposit"/>
    <x v="1"/>
    <s v="Target Direct Online"/>
    <n v="55.96"/>
    <n v="71.58"/>
    <n v="15.62"/>
    <n v="50.49"/>
    <n v="55.96"/>
    <n v="5.4699999999999989"/>
  </r>
  <r>
    <s v="TXN200220"/>
    <s v="CUST615"/>
    <s v="2025-06-08"/>
    <s v="Deposit"/>
    <x v="2"/>
    <s v="Fresh &amp; Fast Logistics"/>
    <n v="992.37"/>
    <n v="1183.57"/>
    <n v="191.2"/>
    <n v="974.03"/>
    <n v="992.36999999999989"/>
    <n v="18.340000000000032"/>
  </r>
  <r>
    <s v="TXN200221"/>
    <s v="CUST622"/>
    <s v="2025-08-27"/>
    <s v="Deposit"/>
    <x v="6"/>
    <s v="Amc Cinema Network"/>
    <n v="1070.9100000000001"/>
    <n v="1477.1"/>
    <n v="406.19"/>
    <n v="1279.06"/>
    <n v="1070.9099999999999"/>
    <n v="-208.14999999999986"/>
  </r>
  <r>
    <s v="TXN200222"/>
    <s v="CUST639"/>
    <s v="2025-07-17"/>
    <s v="Deposit"/>
    <x v="2"/>
    <s v="Whole Foods Store"/>
    <n v="249.12"/>
    <n v="332.61"/>
    <n v="83.49"/>
    <n v="233.24"/>
    <n v="249.12"/>
    <n v="15.879999999999995"/>
  </r>
  <r>
    <s v="TXN200223"/>
    <s v="CUST597"/>
    <s v="2025-10-04"/>
    <s v="Deposit"/>
    <x v="2"/>
    <s v="Whole Foods Store"/>
    <n v="1068.57"/>
    <n v="1446.28"/>
    <n v="377.71"/>
    <n v="1242.1500000000001"/>
    <n v="1068.57"/>
    <n v="-173.58000000000015"/>
  </r>
  <r>
    <s v="TXN200224"/>
    <s v="CUST574"/>
    <s v="2025-03-17"/>
    <s v="Deposit"/>
    <x v="6"/>
    <s v="Amc Cinema Network"/>
    <n v="114.45"/>
    <n v="137.91999999999999"/>
    <n v="23.47"/>
    <n v="118.61"/>
    <n v="114.44999999999999"/>
    <n v="-4.1599999999999966"/>
  </r>
  <r>
    <s v="TXN200225"/>
    <s v="CUST535"/>
    <s v="2025-11-06"/>
    <s v="Withdrawal"/>
    <x v="3"/>
    <s v="Techcorp Payroll Inc"/>
    <n v="6122.83"/>
    <n v="7572.91"/>
    <n v="-1135.94"/>
    <n v="5996.92"/>
    <n v="8708.85"/>
    <n v="125.90999999999985"/>
  </r>
  <r>
    <s v="TXN200226"/>
    <s v="CUST625"/>
    <s v="2025-08-15"/>
    <s v="Deposit"/>
    <x v="2"/>
    <s v="Whole Foods Store"/>
    <n v="375.39"/>
    <n v="491.84"/>
    <n v="116.45"/>
    <n v="399.4"/>
    <n v="375.39"/>
    <n v="-24.009999999999991"/>
  </r>
  <r>
    <s v="TXN200227"/>
    <s v="CUST639"/>
    <s v="14/06/2025"/>
    <s v="Withdrawal"/>
    <x v="6"/>
    <s v="Amc Cinema Network"/>
    <n v="181.43"/>
    <n v="216.69"/>
    <n v="-32.5"/>
    <n v="192.05"/>
    <n v="249.19"/>
    <n v="-10.620000000000005"/>
  </r>
  <r>
    <s v="TXN200228"/>
    <s v="CUST606"/>
    <s v="2025-08-17"/>
    <s v="Withdrawal"/>
    <x v="3"/>
    <s v="Global Industries Llc"/>
    <n v="9110.3700000000008"/>
    <n v="11408.57"/>
    <n v="-1711.29"/>
    <n v="10694.46"/>
    <n v="13119.86"/>
    <n v="-1584.0899999999983"/>
  </r>
  <r>
    <s v="TXN200229"/>
    <s v="CUST546"/>
    <s v="2025-11-18"/>
    <s v="Withdrawal"/>
    <x v="0"/>
    <s v="State Hydro Grid"/>
    <n v="854.74"/>
    <n v="1163.81"/>
    <n v="-174.57"/>
    <n v="904.25"/>
    <n v="1338.3799999999999"/>
    <n v="-49.509999999999991"/>
  </r>
  <r>
    <s v="TXN200230"/>
    <s v="CUST635"/>
    <s v="2025-10-19"/>
    <s v="Withdrawal"/>
    <x v="5"/>
    <s v="Zelle Payment Engine"/>
    <n v="558.49"/>
    <n v="656.15"/>
    <n v="-98.42"/>
    <n v="614.47"/>
    <n v="754.56999999999994"/>
    <n v="-55.980000000000018"/>
  </r>
  <r>
    <s v="TXN200231"/>
    <s v="CUST596"/>
    <s v="2025-05-25"/>
    <s v="Deposit"/>
    <x v="2"/>
    <s v="Whole Foods Store"/>
    <n v="1219.4163333333336"/>
    <n v="127.42"/>
    <n v="27.42"/>
    <n v="117.69"/>
    <n v="100"/>
    <n v="1101.7263333333335"/>
  </r>
  <r>
    <s v="TXN200232"/>
    <s v="CUST541"/>
    <s v="2025-10-06"/>
    <s v="Deposit"/>
    <x v="5"/>
    <s v="Internal P2P Route"/>
    <n v="689.47"/>
    <n v="960"/>
    <n v="270.52999999999997"/>
    <n v="815.57"/>
    <n v="689.47"/>
    <n v="-126.10000000000002"/>
  </r>
  <r>
    <s v="TXN200233"/>
    <s v="CUST517"/>
    <s v="2025-07-21"/>
    <s v="Deposit"/>
    <x v="0"/>
    <s v="State Hydro Grid"/>
    <n v="541.44000000000005"/>
    <n v="649.70000000000005"/>
    <n v="108.26"/>
    <n v="597.30999999999995"/>
    <n v="541.44000000000005"/>
    <n v="-55.869999999999891"/>
  </r>
  <r>
    <s v="TXN200234"/>
    <s v="CUST550"/>
    <s v="2025-09-13"/>
    <s v="Withdrawal"/>
    <x v="2"/>
    <s v="Whole Foods Store"/>
    <n v="483.65"/>
    <n v="670.32"/>
    <n v="-100.55"/>
    <n v="456.89"/>
    <n v="770.87"/>
    <n v="26.759999999999991"/>
  </r>
  <r>
    <s v="TXN200235"/>
    <s v="CUST533"/>
    <s v="2025-02-05"/>
    <s v="Withdrawal"/>
    <x v="4"/>
    <s v="Olive Garden Gourmet"/>
    <n v="1219.4163333333336"/>
    <n v="118.46"/>
    <n v="-17.77"/>
    <n v="113.78"/>
    <n v="136.22999999999999"/>
    <n v="1105.6363333333336"/>
  </r>
  <r>
    <s v="TXN200236"/>
    <s v="CUST604"/>
    <s v="2025-01-27"/>
    <s v="Deposit"/>
    <x v="1"/>
    <s v="Ebay International"/>
    <n v="117.06"/>
    <n v="138.18"/>
    <n v="21.12"/>
    <n v="120.44"/>
    <n v="117.06"/>
    <n v="-3.3799999999999955"/>
  </r>
  <r>
    <s v="TXN200237"/>
    <s v="CUST588"/>
    <s v="2025-03-19"/>
    <s v="Withdrawal"/>
    <x v="0"/>
    <s v="Metropolitan Water Sewer"/>
    <n v="1188.74"/>
    <n v="1497.17"/>
    <n v="-224.58"/>
    <n v="1331.29"/>
    <n v="1721.75"/>
    <n v="-142.54999999999995"/>
  </r>
  <r>
    <s v="TXN200238"/>
    <s v="CUST539"/>
    <s v="2025-03-26"/>
    <s v="Deposit"/>
    <x v="6"/>
    <s v="Netflix Streaming Premium"/>
    <n v="611.23"/>
    <n v="766.76"/>
    <n v="155.53"/>
    <n v="590.92999999999995"/>
    <n v="611.23"/>
    <n v="20.300000000000068"/>
  </r>
  <r>
    <s v="TXN200239"/>
    <s v="CUST585"/>
    <s v="2025-12-08"/>
    <s v="Withdrawal"/>
    <x v="6"/>
    <s v="Spotify Music Hub"/>
    <n v="1118.71"/>
    <n v="1501.04"/>
    <n v="-225.16"/>
    <n v="1048.44"/>
    <n v="1726.2"/>
    <n v="70.269999999999982"/>
  </r>
  <r>
    <s v="TXN200240"/>
    <s v="CUST508"/>
    <s v="2025-11-05"/>
    <s v="Deposit"/>
    <x v="3"/>
    <s v="Stark Retail Labs"/>
    <n v="5914.61"/>
    <n v="7619.89"/>
    <n v="1705.28"/>
    <n v="5941.47"/>
    <n v="5914.6100000000006"/>
    <n v="-26.860000000000582"/>
  </r>
  <r>
    <s v="TXN200241"/>
    <s v="CUST583"/>
    <s v="2025-11-27"/>
    <s v="Deposit"/>
    <x v="5"/>
    <s v="Internal P2P Route"/>
    <n v="618.15"/>
    <n v="803.52"/>
    <n v="185.37"/>
    <n v="681.55"/>
    <n v="618.15"/>
    <n v="-63.399999999999977"/>
  </r>
  <r>
    <s v="TXN200242"/>
    <s v="CUST571"/>
    <s v="2025-03-08"/>
    <s v="Deposit"/>
    <x v="0"/>
    <s v="Metropolitan Water Sewer"/>
    <n v="846.31"/>
    <n v="1064.5899999999999"/>
    <n v="218.28"/>
    <n v="977.8"/>
    <n v="846.31"/>
    <n v="-131.49"/>
  </r>
  <r>
    <s v="TXN200243"/>
    <s v="CUST526"/>
    <s v="2025-12-20"/>
    <s v="Withdrawal"/>
    <x v="1"/>
    <s v="Ebay International"/>
    <n v="1067.6199999999999"/>
    <n v="1294.5999999999999"/>
    <n v="-194.19"/>
    <n v="1022.33"/>
    <n v="1488.79"/>
    <n v="45.28999999999985"/>
  </r>
  <r>
    <s v="TXN200244"/>
    <s v="CUST579"/>
    <s v="2025-03-19"/>
    <s v="Withdrawal"/>
    <x v="3"/>
    <s v="Stark Retail Labs"/>
    <n v="5534.32"/>
    <n v="7685.91"/>
    <n v="-1152.8900000000001"/>
    <n v="6248.52"/>
    <n v="8838.7999999999993"/>
    <n v="-714.20000000000073"/>
  </r>
  <r>
    <s v="TXN200245"/>
    <s v="CUST510"/>
    <s v="2025-07-22"/>
    <s v="Withdrawal"/>
    <x v="0"/>
    <s v="Metropolitan Water Sewer"/>
    <n v="1134.6199999999999"/>
    <n v="1420.2638235294123"/>
    <n v="-197.22"/>
    <n v="1201.2"/>
    <n v="1617.4838235294123"/>
    <n v="-66.580000000000155"/>
  </r>
  <r>
    <s v="TXN200246"/>
    <s v="CUST549"/>
    <s v="2025-08-12"/>
    <s v="Deposit"/>
    <x v="1"/>
    <s v="Target Direct Online"/>
    <n v="762.45"/>
    <n v="1033.6400000000001"/>
    <n v="271.19"/>
    <n v="692.23"/>
    <n v="762.45"/>
    <n v="70.220000000000027"/>
  </r>
  <r>
    <s v="TXN200247"/>
    <s v="CUST530"/>
    <s v="2025-03-12"/>
    <s v="Withdrawal"/>
    <x v="1"/>
    <s v="Target Direct Online"/>
    <n v="362.16"/>
    <n v="469.69"/>
    <n v="-70.45"/>
    <n v="351.9"/>
    <n v="540.14"/>
    <n v="10.260000000000048"/>
  </r>
  <r>
    <s v="TXN200248"/>
    <s v="CUST561"/>
    <s v="CORRUPT_DATE_FLAG"/>
    <s v="Withdrawal"/>
    <x v="5"/>
    <s v="Internal P2P Route"/>
    <n v="184.64"/>
    <n v="252.81"/>
    <n v="-37.92"/>
    <n v="219.02"/>
    <n v="290.73"/>
    <n v="-34.380000000000024"/>
  </r>
  <r>
    <s v="TXN200249"/>
    <s v="CUST632"/>
    <s v="2025-08-22"/>
    <s v="Deposit"/>
    <x v="6"/>
    <s v="Netflix Streaming Premium"/>
    <n v="305.86"/>
    <n v="355.98"/>
    <n v="50.12"/>
    <n v="321.52"/>
    <n v="305.86"/>
    <n v="-15.659999999999968"/>
  </r>
  <r>
    <s v="TXN200250"/>
    <s v="CUST557"/>
    <s v="2025-10-29"/>
    <s v="Deposit"/>
    <x v="2"/>
    <s v="Fresh &amp; Fast Logistics"/>
    <n v="1000.52"/>
    <n v="1223.2"/>
    <n v="222.68"/>
    <n v="1195.92"/>
    <n v="1000.52"/>
    <n v="-195.40000000000009"/>
  </r>
  <r>
    <s v="TXN200251"/>
    <s v="CUST593"/>
    <s v="2025-12-17"/>
    <s v="Withdrawal"/>
    <x v="5"/>
    <s v="Zelle Payment Engine"/>
    <n v="273.69"/>
    <n v="318.99"/>
    <n v="-47.85"/>
    <n v="308.3"/>
    <n v="366.84000000000003"/>
    <n v="-34.610000000000014"/>
  </r>
  <r>
    <s v="TXN200252"/>
    <s v="CUST605"/>
    <s v="2025-03-16"/>
    <s v="Deposit"/>
    <x v="3"/>
    <s v="Stark Retail Labs"/>
    <n v="6205.86"/>
    <n v="7887.63"/>
    <n v="1681.77"/>
    <n v="6361.35"/>
    <n v="6205.8600000000006"/>
    <n v="-155.49000000000069"/>
  </r>
  <r>
    <s v="TXN200253"/>
    <s v="CUST626"/>
    <s v="2025-03-09"/>
    <s v="Deposit"/>
    <x v="0"/>
    <s v="State Hydro Grid"/>
    <n v="158.31"/>
    <n v="191.19"/>
    <n v="32.880000000000003"/>
    <n v="189.74"/>
    <n v="158.31"/>
    <n v="-31.430000000000007"/>
  </r>
  <r>
    <s v="TXN200254"/>
    <s v="CUST608"/>
    <s v="2025-12-18"/>
    <s v="Deposit"/>
    <x v="2"/>
    <s v="Whole Foods Store"/>
    <n v="50.67"/>
    <n v="58.31"/>
    <n v="7.64"/>
    <n v="56.93"/>
    <n v="50.67"/>
    <n v="-6.259999999999998"/>
  </r>
  <r>
    <s v="TXN200255"/>
    <s v="CUST594"/>
    <s v="CORRUPT_DATE_FLAG"/>
    <s v="Withdrawal"/>
    <x v="5"/>
    <s v="Zelle Payment Engine"/>
    <n v="617.29999999999995"/>
    <n v="728.41"/>
    <n v="-109.26"/>
    <n v="630.44000000000005"/>
    <n v="837.67"/>
    <n v="-13.1400000000001"/>
  </r>
  <r>
    <s v="TXN200256"/>
    <s v="CUST505"/>
    <s v="2025-01-25"/>
    <s v="Deposit"/>
    <x v="3"/>
    <s v="Stark Retail Labs"/>
    <n v="7853.62"/>
    <n v="10498.53"/>
    <n v="2644.91"/>
    <n v="7593.03"/>
    <n v="7853.6200000000008"/>
    <n v="260.59000000000015"/>
  </r>
  <r>
    <s v="TXN200257"/>
    <s v="CUST559"/>
    <s v="2025-12-21"/>
    <s v="Withdrawal"/>
    <x v="2"/>
    <s v="Whole Foods Store"/>
    <n v="1092.52"/>
    <n v="1504.52"/>
    <n v="-225.68"/>
    <n v="1058.3699999999999"/>
    <n v="1730.2"/>
    <n v="34.150000000000091"/>
  </r>
  <r>
    <s v="TXN200258"/>
    <s v="CUST536"/>
    <s v="2025-07-12"/>
    <s v="Withdrawal"/>
    <x v="4"/>
    <s v="Starbucks Hub Cafe"/>
    <n v="94.47"/>
    <n v="109.42"/>
    <n v="-16.41"/>
    <n v="105.78"/>
    <n v="125.83"/>
    <n v="-11.310000000000002"/>
  </r>
  <r>
    <s v="TXN200259"/>
    <s v="CUST505"/>
    <s v="2025-08-27"/>
    <s v="Deposit"/>
    <x v="2"/>
    <s v="Supermart Marketplace"/>
    <n v="137.28"/>
    <n v="164.55"/>
    <n v="27.27"/>
    <n v="161.36000000000001"/>
    <n v="137.28"/>
    <n v="-24.080000000000013"/>
  </r>
  <r>
    <s v="TXN200260"/>
    <s v="CUST630"/>
    <s v="2025-08-10"/>
    <s v="Deposit"/>
    <x v="1"/>
    <s v="Amazon Digital Supply"/>
    <n v="1193.6500000000001"/>
    <n v="1665.68"/>
    <n v="472.03"/>
    <n v="1082.2"/>
    <n v="1193.6500000000001"/>
    <n v="111.45000000000005"/>
  </r>
  <r>
    <s v="TXN200261"/>
    <s v="CUST608"/>
    <s v="2025-03-09"/>
    <s v="Withdrawal"/>
    <x v="4"/>
    <s v="Olive Garden Gourmet"/>
    <n v="549.61"/>
    <n v="749.31"/>
    <n v="-112.4"/>
    <n v="613.6"/>
    <n v="861.70999999999992"/>
    <n v="-63.990000000000009"/>
  </r>
  <r>
    <s v="TXN200262"/>
    <s v="CUST527"/>
    <s v="02/02/2025"/>
    <s v="Deposit"/>
    <x v="0"/>
    <s v="State Hydro Grid"/>
    <n v="564.47"/>
    <n v="760.65"/>
    <n v="196.18"/>
    <n v="622.88"/>
    <n v="564.47"/>
    <n v="-58.409999999999968"/>
  </r>
  <r>
    <s v="TXN200263"/>
    <s v="CUST515"/>
    <s v="2025-02-04"/>
    <s v="Withdrawal"/>
    <x v="3"/>
    <s v="Global Industries Llc"/>
    <n v="4675.33"/>
    <n v="5687.23"/>
    <n v="-853.08"/>
    <n v="4597.4399999999996"/>
    <n v="6540.3099999999995"/>
    <n v="77.890000000000327"/>
  </r>
  <r>
    <s v="TXN200264"/>
    <s v="CUST532"/>
    <s v="2025-03-14"/>
    <s v="Withdrawal"/>
    <x v="0"/>
    <s v="State Hydro Grid"/>
    <n v="1049.49"/>
    <n v="1228.57"/>
    <n v="-184.29"/>
    <n v="1145.69"/>
    <n v="1412.86"/>
    <n v="-96.200000000000045"/>
  </r>
  <r>
    <s v="TXN200265"/>
    <s v="CUST600"/>
    <s v="2025-11-12"/>
    <s v="Withdrawal"/>
    <x v="2"/>
    <s v="Whole Foods Store"/>
    <n v="619.13"/>
    <n v="758.19"/>
    <n v="-113.73"/>
    <n v="671.45"/>
    <n v="871.92000000000007"/>
    <n v="-52.32000000000005"/>
  </r>
  <r>
    <s v="TXN200266"/>
    <s v="CUST560"/>
    <s v="26/12/2025"/>
    <s v="Withdrawal"/>
    <x v="5"/>
    <s v="External Wire Clearance"/>
    <n v="129.68"/>
    <n v="178.25"/>
    <n v="-26.74"/>
    <n v="152.87"/>
    <n v="204.99"/>
    <n v="-23.189999999999998"/>
  </r>
  <r>
    <s v="TXN200267"/>
    <s v="CUST586"/>
    <s v="2025-08-01"/>
    <s v="Deposit"/>
    <x v="1"/>
    <s v="Target Direct Online"/>
    <n v="1182.81"/>
    <n v="1609.15"/>
    <n v="426.34"/>
    <n v="1178.2"/>
    <n v="1182.8100000000002"/>
    <n v="4.6099999999999"/>
  </r>
  <r>
    <s v="TXN200268"/>
    <s v="CUST599"/>
    <s v="2025-09-19"/>
    <s v="Withdrawal"/>
    <x v="4"/>
    <s v="Mcdonalds Corp Express"/>
    <n v="405.38"/>
    <n v="505.65"/>
    <n v="-75.849999999999994"/>
    <n v="384.44"/>
    <n v="581.5"/>
    <n v="20.939999999999998"/>
  </r>
  <r>
    <s v="TXN200269"/>
    <s v="CUST598"/>
    <s v="2025-07-09"/>
    <s v="Deposit"/>
    <x v="3"/>
    <s v="Techcorp Payroll Inc"/>
    <n v="9294.39"/>
    <n v="12393.49"/>
    <n v="3099.1"/>
    <n v="9088.9699999999993"/>
    <n v="9294.39"/>
    <n v="205.42000000000007"/>
  </r>
  <r>
    <s v="TXN200270"/>
    <s v="CUST503"/>
    <s v="2025-09-21"/>
    <s v="Withdrawal"/>
    <x v="0"/>
    <s v="State Hydro Grid"/>
    <n v="125.16"/>
    <n v="146.58000000000001"/>
    <n v="-21.99"/>
    <n v="131.78"/>
    <n v="168.57000000000002"/>
    <n v="-6.6200000000000045"/>
  </r>
  <r>
    <s v="TXN200271"/>
    <s v="CUST522"/>
    <s v="2025-06-23"/>
    <s v="Deposit"/>
    <x v="2"/>
    <s v="Supermart Marketplace"/>
    <n v="124.12"/>
    <n v="167.68"/>
    <n v="43.56"/>
    <n v="117.46"/>
    <n v="124.12"/>
    <n v="6.6600000000000108"/>
  </r>
  <r>
    <s v="TXN200272"/>
    <s v="CUST604"/>
    <s v="CORRUPT_DATE_FLAG"/>
    <s v="Deposit"/>
    <x v="2"/>
    <s v="Whole Foods Store"/>
    <n v="255.56"/>
    <n v="305.26"/>
    <n v="49.7"/>
    <n v="231.4"/>
    <n v="255.56"/>
    <n v="24.159999999999997"/>
  </r>
  <r>
    <s v="TXN200273"/>
    <s v="CUST578"/>
    <s v="2025-12-25"/>
    <s v="Withdrawal"/>
    <x v="2"/>
    <s v="Supermart Marketplace"/>
    <n v="995.1"/>
    <n v="1368.95"/>
    <n v="-205.34"/>
    <n v="1121.6199999999999"/>
    <n v="1574.29"/>
    <n v="-126.51999999999987"/>
  </r>
  <r>
    <s v="TXN200274"/>
    <s v="CUST611"/>
    <s v="2025-07-11"/>
    <s v="Deposit"/>
    <x v="4"/>
    <s v="Olive Garden Gourmet"/>
    <n v="670.74"/>
    <n v="792.08"/>
    <n v="121.34"/>
    <n v="732.84"/>
    <n v="670.74"/>
    <n v="-62.100000000000023"/>
  </r>
  <r>
    <s v="TXN200275"/>
    <s v="CUST540"/>
    <s v="2025-10-19"/>
    <s v="Withdrawal"/>
    <x v="0"/>
    <s v="City Power &amp; Gas Co"/>
    <n v="1156.98"/>
    <n v="1527.46"/>
    <n v="-229.12"/>
    <n v="1078.23"/>
    <n v="1756.58"/>
    <n v="78.75"/>
  </r>
  <r>
    <s v="TXN200276"/>
    <s v="CUST546"/>
    <s v="CORRUPT_DATE_FLAG"/>
    <s v="Deposit"/>
    <x v="6"/>
    <s v="Netflix Streaming Premium"/>
    <n v="522.29"/>
    <n v="690.65"/>
    <n v="168.36"/>
    <n v="546.75"/>
    <n v="522.29"/>
    <n v="-24.460000000000036"/>
  </r>
  <r>
    <s v="TXN200277"/>
    <s v="CUST534"/>
    <s v="2025-01-30"/>
    <s v="Deposit"/>
    <x v="2"/>
    <s v="Supermart Marketplace"/>
    <n v="303.45"/>
    <n v="366.17"/>
    <n v="62.72"/>
    <n v="305.60000000000002"/>
    <n v="303.45000000000005"/>
    <n v="-2.1500000000000341"/>
  </r>
  <r>
    <s v="TXN200278"/>
    <s v="CUST603"/>
    <s v="2025-06-10"/>
    <s v="Deposit"/>
    <x v="0"/>
    <s v="State Hydro Grid"/>
    <n v="1022.11"/>
    <n v="1409.71"/>
    <n v="387.6"/>
    <n v="990.35"/>
    <n v="1022.11"/>
    <n v="31.759999999999991"/>
  </r>
  <r>
    <s v="TXN200279"/>
    <s v="CUST575"/>
    <s v="2025-09-23"/>
    <s v="Withdrawal"/>
    <x v="2"/>
    <s v="Fresh &amp; Fast Logistics"/>
    <n v="789.61"/>
    <n v="1047.6300000000001"/>
    <n v="-157.13999999999999"/>
    <n v="719.26"/>
    <n v="1204.77"/>
    <n v="70.350000000000023"/>
  </r>
  <r>
    <s v="TXN200280"/>
    <s v="CUST607"/>
    <s v="2025-11-13"/>
    <s v="Deposit"/>
    <x v="5"/>
    <s v="Internal P2P Route"/>
    <n v="127.85"/>
    <n v="151.94999999999999"/>
    <n v="24.1"/>
    <n v="116.74"/>
    <n v="127.85"/>
    <n v="11.11"/>
  </r>
  <r>
    <s v="TXN200281"/>
    <s v="CUST636"/>
    <s v="2025-08-17"/>
    <s v="Withdrawal"/>
    <x v="5"/>
    <s v="External Wire Clearance"/>
    <n v="796.55"/>
    <n v="960.01"/>
    <n v="-144"/>
    <n v="793.71"/>
    <n v="1104.01"/>
    <n v="2.8399999999999181"/>
  </r>
  <r>
    <s v="TXN200282"/>
    <s v="CUST585"/>
    <s v="2025-01-02"/>
    <s v="Withdrawal"/>
    <x v="0"/>
    <s v="Metropolitan Water Sewer"/>
    <n v="866.2"/>
    <n v="1186.08"/>
    <n v="-177.91"/>
    <n v="1021.44"/>
    <n v="1363.99"/>
    <n v="-155.24"/>
  </r>
  <r>
    <s v="TXN200283"/>
    <s v="CUST638"/>
    <s v="2025-08-28"/>
    <s v="Deposit"/>
    <x v="6"/>
    <s v="Spotify Music Hub"/>
    <n v="165.38"/>
    <n v="224.63"/>
    <n v="59.25"/>
    <n v="159.75"/>
    <n v="165.38"/>
    <n v="5.6299999999999955"/>
  </r>
  <r>
    <s v="TXN200284"/>
    <s v="CUST624"/>
    <s v="2025-07-06"/>
    <s v="Deposit"/>
    <x v="6"/>
    <s v="Amc Cinema Network"/>
    <n v="854.39"/>
    <n v="1143.6300000000001"/>
    <n v="289.24"/>
    <n v="955.53"/>
    <n v="854.3900000000001"/>
    <n v="-101.13999999999999"/>
  </r>
  <r>
    <s v="TXN200285"/>
    <s v="CUST608"/>
    <s v="2025-11-22"/>
    <s v="Deposit"/>
    <x v="4"/>
    <s v="Mcdonalds Corp Express"/>
    <n v="986.51"/>
    <n v="1180.9000000000001"/>
    <n v="194.39"/>
    <n v="1009.69"/>
    <n v="986.5100000000001"/>
    <n v="-23.180000000000064"/>
  </r>
  <r>
    <s v="TXN200286"/>
    <s v="CUST640"/>
    <s v="2025-08-26"/>
    <s v="Withdrawal"/>
    <x v="0"/>
    <s v="City Power &amp; Gas Co"/>
    <n v="124.56"/>
    <n v="149.04"/>
    <n v="-22.36"/>
    <n v="141.44999999999999"/>
    <n v="171.39999999999998"/>
    <n v="-16.889999999999986"/>
  </r>
  <r>
    <s v="TXN200287"/>
    <s v="CUST632"/>
    <s v="2025-02-02"/>
    <s v="Withdrawal"/>
    <x v="2"/>
    <s v="Fresh &amp; Fast Logistics"/>
    <n v="961.06"/>
    <n v="1195.58"/>
    <n v="-179.34"/>
    <n v="1022.17"/>
    <n v="1374.9199999999998"/>
    <n v="-61.110000000000014"/>
  </r>
  <r>
    <s v="TXN200288"/>
    <s v="CUST622"/>
    <s v="2025-08-26"/>
    <s v="Withdrawal"/>
    <x v="2"/>
    <s v="Fresh &amp; Fast Logistics"/>
    <n v="142.87"/>
    <n v="174.59"/>
    <n v="-26.19"/>
    <n v="154.19"/>
    <n v="200.78"/>
    <n v="-11.319999999999993"/>
  </r>
  <r>
    <s v="TXN200289"/>
    <s v="CUST601"/>
    <s v="2025-07-15"/>
    <s v="Deposit"/>
    <x v="4"/>
    <s v="Mcdonalds Corp Express"/>
    <n v="1095.71"/>
    <n v="1261.1400000000001"/>
    <n v="165.43"/>
    <n v="1016.07"/>
    <n v="1095.71"/>
    <n v="79.639999999999986"/>
  </r>
  <r>
    <s v="TXN200290"/>
    <s v="CUST618"/>
    <s v="2025-10-21"/>
    <s v="Deposit"/>
    <x v="4"/>
    <s v="Mcdonalds Corp Express"/>
    <n v="337.28"/>
    <n v="438.35"/>
    <n v="101.07"/>
    <n v="373.38"/>
    <n v="337.28000000000003"/>
    <n v="-36.100000000000023"/>
  </r>
  <r>
    <s v="TXN200291"/>
    <s v="CUST541"/>
    <s v="28/10/2025"/>
    <s v="Withdrawal"/>
    <x v="5"/>
    <s v="Internal P2P Route"/>
    <n v="1005.15"/>
    <n v="1373.37"/>
    <n v="-206.01"/>
    <n v="967.54"/>
    <n v="1579.3799999999999"/>
    <n v="37.610000000000014"/>
  </r>
  <r>
    <s v="TXN200292"/>
    <s v="CUST577"/>
    <s v="2025-06-04"/>
    <s v="Deposit"/>
    <x v="5"/>
    <s v="Zelle Payment Engine"/>
    <n v="751.87"/>
    <n v="889.38"/>
    <n v="137.51"/>
    <n v="692.59"/>
    <n v="751.87"/>
    <n v="59.279999999999973"/>
  </r>
  <r>
    <s v="TXN200293"/>
    <s v="CUST585"/>
    <s v="2025-01-07"/>
    <s v="Deposit"/>
    <x v="4"/>
    <s v="Olive Garden Gourmet"/>
    <n v="659.69"/>
    <n v="857.61"/>
    <n v="197.92"/>
    <n v="681.72"/>
    <n v="659.69"/>
    <n v="-22.029999999999973"/>
  </r>
  <r>
    <s v="TXN200294"/>
    <s v="CUST593"/>
    <s v="2025-05-06"/>
    <s v="Withdrawal"/>
    <x v="0"/>
    <s v="State Hydro Grid"/>
    <n v="345.63"/>
    <n v="421.47"/>
    <n v="-44.182985074626863"/>
    <n v="391.48"/>
    <n v="465.65298507462688"/>
    <n v="-45.850000000000023"/>
  </r>
  <r>
    <s v="TXN200295"/>
    <s v="CUST505"/>
    <s v="2025-11-13"/>
    <s v="Deposit"/>
    <x v="4"/>
    <s v="Olive Garden Gourmet"/>
    <n v="68.13"/>
    <n v="84.94"/>
    <n v="16.809999999999999"/>
    <n v="66.38"/>
    <n v="68.13"/>
    <n v="1.75"/>
  </r>
  <r>
    <s v="TXN200296"/>
    <s v="CUST584"/>
    <s v="2025-08-08"/>
    <s v="Withdrawal"/>
    <x v="0"/>
    <s v="City Power &amp; Gas Co"/>
    <n v="456.74"/>
    <n v="559.14"/>
    <n v="-83.87"/>
    <n v="519.02"/>
    <n v="643.01"/>
    <n v="-62.279999999999973"/>
  </r>
  <r>
    <s v="TXN200297"/>
    <s v="CUST555"/>
    <s v="2025-08-17"/>
    <s v="Deposit"/>
    <x v="4"/>
    <s v="Olive Garden Gourmet"/>
    <n v="260.41000000000003"/>
    <n v="360.78"/>
    <n v="100.37"/>
    <n v="305.57"/>
    <n v="260.40999999999997"/>
    <n v="-45.159999999999968"/>
  </r>
  <r>
    <s v="TXN200298"/>
    <s v="CUST585"/>
    <s v="26/03/2025"/>
    <s v="Withdrawal"/>
    <x v="6"/>
    <s v="Spotify Music Hub"/>
    <n v="609.28"/>
    <n v="701.24"/>
    <n v="-105.19"/>
    <n v="575.63"/>
    <n v="806.43000000000006"/>
    <n v="33.649999999999977"/>
  </r>
  <r>
    <s v="TXN200299"/>
    <s v="CUST617"/>
    <s v="2025-10-03"/>
    <s v="Withdrawal"/>
    <x v="1"/>
    <s v="Amazon Digital Supply"/>
    <n v="920.85"/>
    <n v="1065.73"/>
    <n v="-159.86000000000001"/>
    <n v="829.31"/>
    <n v="1225.5900000000001"/>
    <n v="91.540000000000077"/>
  </r>
  <r>
    <s v="TXN200300"/>
    <s v="CUST616"/>
    <s v="2025-10-19"/>
    <s v="Withdrawal"/>
    <x v="6"/>
    <s v="Spotify Music Hub"/>
    <n v="547.02"/>
    <n v="630.91999999999996"/>
    <n v="-94.64"/>
    <n v="543.26"/>
    <n v="725.56"/>
    <n v="3.7599999999999909"/>
  </r>
  <r>
    <s v="TXN200301"/>
    <s v="CUST524"/>
    <s v="2025-09-08"/>
    <s v="Deposit"/>
    <x v="6"/>
    <s v="Amc Cinema Network"/>
    <n v="486.05"/>
    <n v="596.86"/>
    <n v="110.81"/>
    <n v="493.23"/>
    <n v="486.05"/>
    <n v="-7.1800000000000068"/>
  </r>
  <r>
    <s v="TXN200302"/>
    <s v="CUST596"/>
    <s v="15/02/2025"/>
    <s v="Withdrawal"/>
    <x v="1"/>
    <s v="Ebay International"/>
    <n v="1121.49"/>
    <n v="1378.14"/>
    <n v="-206.72"/>
    <n v="1183.08"/>
    <n v="1584.8600000000001"/>
    <n v="-61.589999999999918"/>
  </r>
  <r>
    <s v="TXN200303"/>
    <s v="CUST569"/>
    <s v="13/06/2025"/>
    <s v="Withdrawal"/>
    <x v="2"/>
    <s v="Whole Foods Store"/>
    <n v="244.66"/>
    <n v="310.49"/>
    <n v="-46.57"/>
    <n v="240.06"/>
    <n v="357.06"/>
    <n v="4.5999999999999943"/>
  </r>
  <r>
    <s v="TXN200304"/>
    <s v="CUST549"/>
    <s v="2025-08-08"/>
    <s v="Deposit"/>
    <x v="0"/>
    <s v="State Hydro Grid"/>
    <n v="1087.9100000000001"/>
    <n v="1360.05"/>
    <n v="272.14"/>
    <n v="1224.3599999999999"/>
    <n v="1087.9099999999999"/>
    <n v="-136.44999999999982"/>
  </r>
  <r>
    <s v="TXN200305"/>
    <s v="CUST547"/>
    <s v="2025-11-18"/>
    <s v="Withdrawal"/>
    <x v="0"/>
    <s v="City Power &amp; Gas Co"/>
    <n v="42.56"/>
    <n v="53.87"/>
    <n v="-8.08"/>
    <n v="42.33"/>
    <n v="61.949999999999996"/>
    <n v="0.23000000000000398"/>
  </r>
  <r>
    <s v="TXN200306"/>
    <s v="CUST586"/>
    <s v="2025-09-26"/>
    <s v="Deposit"/>
    <x v="3"/>
    <s v="Stark Retail Labs"/>
    <n v="7348.47"/>
    <n v="9029.4599999999991"/>
    <n v="1680.99"/>
    <n v="7365.87"/>
    <n v="7348.4699999999993"/>
    <n v="-17.399999999999636"/>
  </r>
  <r>
    <s v="TXN200307"/>
    <s v="CUST548"/>
    <s v="2025-06-10"/>
    <s v="Deposit"/>
    <x v="1"/>
    <s v="Amazon Digital Supply"/>
    <n v="898.36"/>
    <n v="1176.05"/>
    <n v="277.69"/>
    <n v="854.33"/>
    <n v="898.3599999999999"/>
    <n v="44.029999999999973"/>
  </r>
  <r>
    <s v="TXN200308"/>
    <s v="CUST609"/>
    <s v="2025-07-28"/>
    <s v="Deposit"/>
    <x v="3"/>
    <s v="Stark Retail Labs"/>
    <n v="5445.25"/>
    <n v="6550.97"/>
    <n v="1105.72"/>
    <n v="6196.76"/>
    <n v="5445.25"/>
    <n v="-751.51000000000022"/>
  </r>
  <r>
    <s v="TXN200309"/>
    <s v="CUST626"/>
    <s v="2025-08-27"/>
    <s v="Withdrawal"/>
    <x v="5"/>
    <s v="External Wire Clearance"/>
    <n v="456.03"/>
    <n v="579.96"/>
    <n v="-86.99"/>
    <n v="502.9"/>
    <n v="666.95"/>
    <n v="-46.870000000000005"/>
  </r>
  <r>
    <s v="TXN200310"/>
    <s v="CUST643"/>
    <s v="2025-12-17"/>
    <s v="Deposit"/>
    <x v="4"/>
    <s v="Olive Garden Gourmet"/>
    <n v="409"/>
    <n v="553.52"/>
    <n v="144.52000000000001"/>
    <n v="424.86"/>
    <n v="409"/>
    <n v="-15.860000000000014"/>
  </r>
  <r>
    <s v="TXN200311"/>
    <s v="CUST633"/>
    <s v="CORRUPT_DATE_FLAG"/>
    <s v="Withdrawal"/>
    <x v="5"/>
    <s v="Zelle Payment Engine"/>
    <n v="550.08000000000004"/>
    <n v="660.37"/>
    <n v="-99.06"/>
    <n v="613.41999999999996"/>
    <n v="759.43000000000006"/>
    <n v="-63.339999999999918"/>
  </r>
  <r>
    <s v="TXN200312"/>
    <s v="CUST570"/>
    <s v="2025-04-20"/>
    <s v="Withdrawal"/>
    <x v="4"/>
    <s v="Olive Garden Gourmet"/>
    <n v="393.07"/>
    <n v="537.48"/>
    <n v="-80.62"/>
    <n v="397.73"/>
    <n v="618.1"/>
    <n v="-4.660000000000025"/>
  </r>
  <r>
    <s v="TXN200313"/>
    <s v="CUST508"/>
    <s v="2025-04-15"/>
    <s v="Withdrawal"/>
    <x v="3"/>
    <s v="Stark Retail Labs"/>
    <n v="9137.4699999999993"/>
    <n v="12370.75"/>
    <n v="-1855.61"/>
    <n v="10306.299999999999"/>
    <n v="14226.36"/>
    <n v="-1168.83"/>
  </r>
  <r>
    <s v="TXN200314"/>
    <s v="CUST506"/>
    <s v="2025-10-04"/>
    <s v="Deposit"/>
    <x v="4"/>
    <s v="Olive Garden Gourmet"/>
    <n v="394.47"/>
    <n v="466.96"/>
    <n v="72.489999999999995"/>
    <n v="470.97"/>
    <n v="394.46999999999997"/>
    <n v="-76.5"/>
  </r>
  <r>
    <s v="TXN200315"/>
    <s v="CUST592"/>
    <s v="2025-07-07"/>
    <s v="Deposit"/>
    <x v="0"/>
    <s v="City Power &amp; Gas Co"/>
    <n v="906.71"/>
    <n v="1130.77"/>
    <n v="224.06"/>
    <n v="1046.45"/>
    <n v="906.71"/>
    <n v="-139.74"/>
  </r>
  <r>
    <s v="TXN200316"/>
    <s v="CUST646"/>
    <s v="2025-05-25"/>
    <s v="Withdrawal"/>
    <x v="2"/>
    <s v="Fresh &amp; Fast Logistics"/>
    <n v="753.54"/>
    <n v="1020.49"/>
    <n v="-153.07"/>
    <n v="684.36"/>
    <n v="1173.56"/>
    <n v="69.17999999999995"/>
  </r>
  <r>
    <s v="TXN200317"/>
    <s v="CUST576"/>
    <s v="2025-10-01"/>
    <s v="Deposit"/>
    <x v="6"/>
    <s v="Netflix Streaming Premium"/>
    <n v="598.87"/>
    <n v="751.1"/>
    <n v="152.22999999999999"/>
    <n v="541.47"/>
    <n v="598.87"/>
    <n v="57.399999999999977"/>
  </r>
  <r>
    <s v="TXN200318"/>
    <s v="CUST532"/>
    <s v="10/07/2025"/>
    <s v="Withdrawal"/>
    <x v="2"/>
    <s v="Fresh &amp; Fast Logistics"/>
    <n v="719.98"/>
    <n v="888.83"/>
    <n v="-133.32"/>
    <n v="774.08"/>
    <n v="1022.1500000000001"/>
    <n v="-54.100000000000023"/>
  </r>
  <r>
    <s v="TXN200319"/>
    <s v="CUST506"/>
    <s v="2025-02-27"/>
    <s v="Deposit"/>
    <x v="2"/>
    <s v="Fresh &amp; Fast Logistics"/>
    <n v="834.11"/>
    <n v="1022.15"/>
    <n v="188.04"/>
    <n v="764.32"/>
    <n v="834.11"/>
    <n v="69.789999999999964"/>
  </r>
  <r>
    <s v="TXN200320"/>
    <s v="CUST605"/>
    <s v="2025-08-31"/>
    <s v="Withdrawal"/>
    <x v="3"/>
    <s v="Global Industries Llc"/>
    <n v="7296.32"/>
    <n v="8457.56"/>
    <n v="-1268.6300000000001"/>
    <n v="6664.36"/>
    <n v="9726.1899999999987"/>
    <n v="631.96"/>
  </r>
  <r>
    <s v="TXN200321"/>
    <s v="CUST577"/>
    <s v="CORRUPT_DATE_FLAG"/>
    <s v="Deposit"/>
    <x v="3"/>
    <s v="Techcorp Payroll Inc"/>
    <n v="9215.35"/>
    <n v="12416.47"/>
    <n v="3201.12"/>
    <n v="10062.51"/>
    <n v="9215.3499999999985"/>
    <n v="-847.15999999999985"/>
  </r>
  <r>
    <s v="TXN200322"/>
    <s v="CUST530"/>
    <s v="2025-06-25"/>
    <s v="Withdrawal"/>
    <x v="1"/>
    <s v="Ebay International"/>
    <n v="190.79"/>
    <n v="232.68"/>
    <n v="-34.9"/>
    <n v="195.29"/>
    <n v="267.58"/>
    <n v="-4.5"/>
  </r>
  <r>
    <s v="TXN200323"/>
    <s v="CUST628"/>
    <s v="2025-05-30"/>
    <s v="Withdrawal"/>
    <x v="2"/>
    <s v="Whole Foods Store"/>
    <n v="187.39"/>
    <n v="249.11"/>
    <n v="-37.369999999999997"/>
    <n v="197.95"/>
    <n v="286.48"/>
    <n v="-10.560000000000002"/>
  </r>
  <r>
    <s v="TXN200324"/>
    <s v="CUST586"/>
    <s v="2025-07-28"/>
    <s v="Withdrawal"/>
    <x v="1"/>
    <s v="Amazon Digital Supply"/>
    <n v="1053.8"/>
    <n v="1288.05"/>
    <n v="-193.21"/>
    <n v="1233.8900000000001"/>
    <n v="1481.26"/>
    <n v="-180.09000000000015"/>
  </r>
  <r>
    <s v="TXN200325"/>
    <s v="CUST575"/>
    <s v="2025-12-31"/>
    <s v="Withdrawal"/>
    <x v="4"/>
    <s v="Olive Garden Gourmet"/>
    <n v="790.59"/>
    <n v="924.67"/>
    <n v="-138.69999999999999"/>
    <n v="796.92"/>
    <n v="1063.3699999999999"/>
    <n v="-6.3299999999999272"/>
  </r>
  <r>
    <s v="TXN200326"/>
    <s v="CUST532"/>
    <s v="2025-06-10"/>
    <s v="Deposit"/>
    <x v="1"/>
    <s v="Target Direct Online"/>
    <n v="288.57"/>
    <n v="400.31"/>
    <n v="111.74"/>
    <n v="320.02"/>
    <n v="288.57"/>
    <n v="-31.449999999999989"/>
  </r>
  <r>
    <s v="TXN200327"/>
    <s v="CUST568"/>
    <s v="2025-08-15"/>
    <s v="Deposit"/>
    <x v="6"/>
    <s v="Spotify Music Hub"/>
    <n v="126.75"/>
    <n v="158.85"/>
    <n v="32.1"/>
    <n v="144.80000000000001"/>
    <n v="126.75"/>
    <n v="-18.050000000000011"/>
  </r>
  <r>
    <s v="TXN200328"/>
    <s v="CUST512"/>
    <s v="2025-01-07"/>
    <s v="Withdrawal"/>
    <x v="3"/>
    <s v="Techcorp Payroll Inc"/>
    <n v="5127.05"/>
    <n v="6752.05"/>
    <n v="-1012.81"/>
    <n v="5714.81"/>
    <n v="7764.8600000000006"/>
    <n v="-587.76000000000022"/>
  </r>
  <r>
    <s v="TXN200329"/>
    <s v="CUST506"/>
    <s v="2025-12-19"/>
    <s v="Deposit"/>
    <x v="5"/>
    <s v="Zelle Payment Engine"/>
    <n v="1173.9000000000001"/>
    <n v="1431.78"/>
    <n v="257.88"/>
    <n v="1130.6500000000001"/>
    <n v="1173.9000000000001"/>
    <n v="43.25"/>
  </r>
  <r>
    <s v="TXN200330"/>
    <s v="CUST501"/>
    <s v="2025-03-23"/>
    <s v="Withdrawal"/>
    <x v="4"/>
    <s v="Starbucks Hub Cafe"/>
    <n v="153.31"/>
    <n v="182.5"/>
    <n v="-27.38"/>
    <n v="175.52"/>
    <n v="209.88"/>
    <n v="-22.210000000000008"/>
  </r>
  <r>
    <s v="TXN200331"/>
    <s v="CUST622"/>
    <s v="2025-05-25"/>
    <s v="Deposit"/>
    <x v="3"/>
    <s v="Techcorp Payroll Inc"/>
    <n v="4691.96"/>
    <n v="5971.35"/>
    <n v="1279.3900000000001"/>
    <n v="5356.43"/>
    <n v="4691.96"/>
    <n v="-664.47000000000025"/>
  </r>
  <r>
    <s v="TXN200332"/>
    <s v="CUST585"/>
    <s v="2025-10-05"/>
    <s v="Withdrawal"/>
    <x v="4"/>
    <s v="Olive Garden Gourmet"/>
    <n v="1038.03"/>
    <n v="1225.1199999999999"/>
    <n v="-183.77"/>
    <n v="987.09"/>
    <n v="1408.8899999999999"/>
    <n v="50.939999999999941"/>
  </r>
  <r>
    <s v="TXN200333"/>
    <s v="CUST627"/>
    <s v="2025-05-06"/>
    <s v="Deposit"/>
    <x v="4"/>
    <s v="Olive Garden Gourmet"/>
    <n v="616.42999999999995"/>
    <n v="761.56"/>
    <n v="145.13"/>
    <n v="586.98"/>
    <n v="616.42999999999995"/>
    <n v="29.449999999999932"/>
  </r>
  <r>
    <s v="TXN200334"/>
    <s v="CUST645"/>
    <s v="2025-03-26"/>
    <s v="Withdrawal"/>
    <x v="1"/>
    <s v="Target Direct Online"/>
    <n v="743.45"/>
    <n v="957.3"/>
    <n v="-143.59"/>
    <n v="843.11"/>
    <n v="1100.8899999999999"/>
    <n v="-99.659999999999968"/>
  </r>
  <r>
    <s v="TXN200335"/>
    <s v="CUST504"/>
    <s v="2025-04-22"/>
    <s v="Withdrawal"/>
    <x v="5"/>
    <s v="External Wire Clearance"/>
    <n v="166.11"/>
    <n v="216.04"/>
    <n v="-32.409999999999997"/>
    <n v="188.93"/>
    <n v="248.45"/>
    <n v="-22.819999999999993"/>
  </r>
  <r>
    <s v="TXN200336"/>
    <s v="CUST587"/>
    <s v="2025-01-30"/>
    <s v="Withdrawal"/>
    <x v="6"/>
    <s v="Netflix Streaming Premium"/>
    <n v="1059.99"/>
    <n v="1314.23"/>
    <n v="-197.13"/>
    <n v="1217.1099999999999"/>
    <n v="1511.3600000000001"/>
    <n v="-157.11999999999989"/>
  </r>
  <r>
    <s v="TXN200337"/>
    <s v="CUST516"/>
    <s v="2025-09-25"/>
    <s v="Withdrawal"/>
    <x v="2"/>
    <s v="Fresh &amp; Fast Logistics"/>
    <n v="1219.4163333333336"/>
    <n v="119.33"/>
    <n v="-17.899999999999999"/>
    <n v="119.13"/>
    <n v="137.22999999999999"/>
    <n v="1100.2863333333335"/>
  </r>
  <r>
    <s v="TXN200338"/>
    <s v="CUST627"/>
    <s v="2025-07-09"/>
    <s v="Deposit"/>
    <x v="4"/>
    <s v="Starbucks Hub Cafe"/>
    <n v="189.22"/>
    <n v="226.78"/>
    <n v="37.56"/>
    <n v="200.28"/>
    <n v="189.22"/>
    <n v="-11.060000000000002"/>
  </r>
  <r>
    <s v="TXN200339"/>
    <s v="CUST607"/>
    <s v="2025-07-20"/>
    <s v="Withdrawal"/>
    <x v="0"/>
    <s v="Metropolitan Water Sewer"/>
    <n v="543.02"/>
    <n v="638.65"/>
    <n v="-95.8"/>
    <n v="622.76"/>
    <n v="734.44999999999993"/>
    <n v="-79.740000000000009"/>
  </r>
  <r>
    <s v="TXN200340"/>
    <s v="CUST504"/>
    <s v="2025-06-29"/>
    <s v="Withdrawal"/>
    <x v="6"/>
    <s v="Netflix Streaming Premium"/>
    <n v="279.48"/>
    <n v="384.73"/>
    <n v="-57.71"/>
    <n v="325.18"/>
    <n v="442.44"/>
    <n v="-45.699999999999989"/>
  </r>
  <r>
    <s v="TXN200341"/>
    <s v="CUST650"/>
    <s v="2025-12-07"/>
    <s v="Withdrawal"/>
    <x v="3"/>
    <s v="Stark Retail Labs"/>
    <n v="7450.72"/>
    <n v="9216.08"/>
    <n v="-1382.41"/>
    <n v="6813.5"/>
    <n v="10598.49"/>
    <n v="637.22000000000025"/>
  </r>
  <r>
    <s v="TXN200342"/>
    <s v="CUST530"/>
    <s v="2025-06-08"/>
    <s v="Deposit"/>
    <x v="4"/>
    <s v="Olive Garden Gourmet"/>
    <n v="786.87"/>
    <n v="1089.78"/>
    <n v="302.91000000000003"/>
    <n v="862.53"/>
    <n v="786.86999999999989"/>
    <n v="-75.659999999999968"/>
  </r>
  <r>
    <s v="TXN200343"/>
    <s v="CUST649"/>
    <s v="2025-02-23"/>
    <s v="Withdrawal"/>
    <x v="3"/>
    <s v="Techcorp Payroll Inc"/>
    <n v="8212.48"/>
    <n v="10287.52"/>
    <n v="-1543.13"/>
    <n v="9316.0300000000007"/>
    <n v="11830.650000000001"/>
    <n v="-1103.5500000000011"/>
  </r>
  <r>
    <s v="TXN200344"/>
    <s v="CUST566"/>
    <s v="2025-06-07"/>
    <s v="Withdrawal"/>
    <x v="2"/>
    <s v="Whole Foods Store"/>
    <n v="851.86"/>
    <n v="1026.92"/>
    <n v="-154.04"/>
    <n v="894.05"/>
    <n v="1180.96"/>
    <n v="-42.189999999999941"/>
  </r>
  <r>
    <s v="TXN200345"/>
    <s v="CUST521"/>
    <s v="2025-09-19"/>
    <s v="Withdrawal"/>
    <x v="1"/>
    <s v="Ebay International"/>
    <n v="25.09"/>
    <n v="34.99"/>
    <n v="-5.25"/>
    <n v="29.51"/>
    <n v="40.24"/>
    <n v="-4.4200000000000017"/>
  </r>
  <r>
    <s v="TXN200346"/>
    <s v="CUST526"/>
    <s v="2025-05-25"/>
    <s v="Withdrawal"/>
    <x v="6"/>
    <s v="Netflix Streaming Premium"/>
    <n v="1073.3699999999999"/>
    <n v="1374.9"/>
    <n v="-206.24"/>
    <n v="1181.08"/>
    <n v="1581.14"/>
    <n v="-107.71000000000004"/>
  </r>
  <r>
    <s v="TXN200347"/>
    <s v="CUST540"/>
    <s v="2025-08-11"/>
    <s v="Deposit"/>
    <x v="6"/>
    <s v="Spotify Music Hub"/>
    <n v="446.77"/>
    <n v="598.79999999999995"/>
    <n v="152.03"/>
    <n v="428.34"/>
    <n v="446.77"/>
    <n v="18.430000000000007"/>
  </r>
  <r>
    <s v="TXN200348"/>
    <s v="CUST538"/>
    <s v="30/01/2025"/>
    <s v="Withdrawal"/>
    <x v="3"/>
    <s v="Global Industries Llc"/>
    <n v="8880.89"/>
    <n v="10466.36"/>
    <n v="-1569.95"/>
    <n v="9071.0300000000007"/>
    <n v="12036.310000000001"/>
    <n v="-190.14000000000124"/>
  </r>
  <r>
    <s v="TXN200349"/>
    <s v="CUST564"/>
    <s v="2025-01-18"/>
    <s v="Withdrawal"/>
    <x v="4"/>
    <s v="Olive Garden Gourmet"/>
    <n v="571.14"/>
    <n v="666.5"/>
    <n v="-99.97"/>
    <n v="610.47"/>
    <n v="766.47"/>
    <n v="-39.330000000000041"/>
  </r>
  <r>
    <s v="TXN200350"/>
    <s v="CUST510"/>
    <s v="2025-03-30"/>
    <s v="Withdrawal"/>
    <x v="4"/>
    <s v="Starbucks Hub Cafe"/>
    <n v="671.95"/>
    <n v="903.89"/>
    <n v="-135.58000000000001"/>
    <n v="620.92999999999995"/>
    <n v="1039.47"/>
    <n v="51.020000000000095"/>
  </r>
  <r>
    <s v="TXN200351"/>
    <s v="CUST510"/>
    <s v="2025-05-31"/>
    <s v="Deposit"/>
    <x v="1"/>
    <s v="Ebay International"/>
    <n v="588.24"/>
    <n v="717.13"/>
    <n v="128.88999999999999"/>
    <n v="573.21"/>
    <n v="588.24"/>
    <n v="15.029999999999973"/>
  </r>
  <r>
    <s v="TXN200352"/>
    <s v="CUST624"/>
    <s v="2025-12-14"/>
    <s v="Withdrawal"/>
    <x v="4"/>
    <s v="Mcdonalds Corp Express"/>
    <n v="787.16"/>
    <n v="1069.97"/>
    <n v="-160.5"/>
    <n v="879.09"/>
    <n v="1230.47"/>
    <n v="-91.930000000000064"/>
  </r>
  <r>
    <s v="TXN200353"/>
    <s v="CUST561"/>
    <s v="2025-03-24"/>
    <s v="Deposit"/>
    <x v="3"/>
    <s v="Stark Retail Labs"/>
    <n v="7466.6"/>
    <n v="9445.7999999999993"/>
    <n v="1979.2"/>
    <n v="7306"/>
    <n v="7466.5999999999995"/>
    <n v="160.60000000000036"/>
  </r>
  <r>
    <s v="TXN200354"/>
    <s v="CUST623"/>
    <s v="2025-08-09"/>
    <s v="Deposit"/>
    <x v="2"/>
    <s v="Supermart Marketplace"/>
    <n v="695.37"/>
    <n v="972.59"/>
    <n v="277.22000000000003"/>
    <n v="663.8"/>
    <n v="695.37"/>
    <n v="31.57000000000005"/>
  </r>
  <r>
    <s v="TXN200355"/>
    <s v="CUST648"/>
    <s v="2025-07-12"/>
    <s v="Deposit"/>
    <x v="6"/>
    <s v="Spotify Music Hub"/>
    <n v="951.33"/>
    <n v="1259.47"/>
    <n v="308.14"/>
    <n v="875.48"/>
    <n v="951.33"/>
    <n v="75.850000000000023"/>
  </r>
  <r>
    <s v="TXN200356"/>
    <s v="CUST532"/>
    <s v="2025-03-26"/>
    <s v="Deposit"/>
    <x v="2"/>
    <s v="Supermart Marketplace"/>
    <n v="442.66"/>
    <n v="543.13"/>
    <n v="100.47"/>
    <n v="497.11"/>
    <n v="442.65999999999997"/>
    <n v="-54.449999999999989"/>
  </r>
  <r>
    <s v="TXN200357"/>
    <s v="CUST581"/>
    <s v="2025-02-22"/>
    <s v="Withdrawal"/>
    <x v="3"/>
    <s v="Global Industries Llc"/>
    <n v="9280.85"/>
    <n v="12991.95"/>
    <n v="-44.182985074626863"/>
    <n v="9970.32"/>
    <n v="13036.132985074628"/>
    <n v="-689.46999999999935"/>
  </r>
  <r>
    <s v="TXN200358"/>
    <s v="CUST517"/>
    <s v="2025-02-07"/>
    <s v="Deposit"/>
    <x v="0"/>
    <s v="State Hydro Grid"/>
    <n v="1007.52"/>
    <n v="1311.72"/>
    <n v="304.2"/>
    <n v="980.25"/>
    <n v="1007.52"/>
    <n v="27.269999999999982"/>
  </r>
  <r>
    <s v="TXN200359"/>
    <s v="CUST639"/>
    <s v="2025-10-28"/>
    <s v="Deposit"/>
    <x v="5"/>
    <s v="Internal P2P Route"/>
    <n v="554.46"/>
    <n v="671.47"/>
    <n v="117.01"/>
    <n v="563.32000000000005"/>
    <n v="554.46"/>
    <n v="-8.8600000000000136"/>
  </r>
  <r>
    <s v="TXN200360"/>
    <s v="CUST601"/>
    <s v="2025-10-21"/>
    <s v="Withdrawal"/>
    <x v="0"/>
    <s v="City Power &amp; Gas Co"/>
    <n v="660.32"/>
    <n v="821.85"/>
    <n v="-123.28"/>
    <n v="631.41"/>
    <n v="945.13"/>
    <n v="28.910000000000082"/>
  </r>
  <r>
    <s v="TXN200361"/>
    <s v="CUST592"/>
    <s v="2025-03-06"/>
    <s v="Deposit"/>
    <x v="6"/>
    <s v="Spotify Music Hub"/>
    <n v="1169.19"/>
    <n v="1475.76"/>
    <n v="-44.182985074626863"/>
    <n v="1379.91"/>
    <n v="1519.9429850746269"/>
    <n v="-210.72000000000003"/>
  </r>
  <r>
    <s v="TXN200362"/>
    <s v="CUST579"/>
    <s v="2025-12-22"/>
    <s v="Deposit"/>
    <x v="4"/>
    <s v="Starbucks Hub Cafe"/>
    <n v="401.96"/>
    <n v="497.8"/>
    <n v="95.84"/>
    <n v="444.56"/>
    <n v="401.96000000000004"/>
    <n v="-42.600000000000023"/>
  </r>
  <r>
    <s v="TXN200363"/>
    <s v="CUST632"/>
    <s v="2025-02-05"/>
    <s v="Deposit"/>
    <x v="2"/>
    <s v="Fresh &amp; Fast Logistics"/>
    <n v="301.88"/>
    <n v="354.1"/>
    <n v="52.22"/>
    <n v="320.36"/>
    <n v="301.88"/>
    <n v="-18.480000000000018"/>
  </r>
  <r>
    <s v="TXN200364"/>
    <s v="CUST528"/>
    <s v="2025-02-06"/>
    <s v="Deposit"/>
    <x v="5"/>
    <s v="External Wire Clearance"/>
    <n v="551.38"/>
    <n v="660.01"/>
    <n v="108.63"/>
    <n v="507.89"/>
    <n v="551.38"/>
    <n v="43.490000000000009"/>
  </r>
  <r>
    <s v="TXN200365"/>
    <s v="CUST638"/>
    <s v="2025-10-16"/>
    <s v="Withdrawal"/>
    <x v="2"/>
    <s v="Fresh &amp; Fast Logistics"/>
    <n v="277.44"/>
    <n v="320.83999999999997"/>
    <n v="-48.13"/>
    <n v="270.36"/>
    <n v="368.96999999999997"/>
    <n v="7.0799999999999841"/>
  </r>
  <r>
    <s v="TXN200366"/>
    <s v="CUST507"/>
    <s v="2025-01-26"/>
    <s v="Deposit"/>
    <x v="2"/>
    <s v="Whole Foods Store"/>
    <n v="1150.68"/>
    <n v="1551.28"/>
    <n v="400.6"/>
    <n v="1159.8399999999999"/>
    <n v="1150.6799999999998"/>
    <n v="-9.1599999999998545"/>
  </r>
  <r>
    <s v="TXN200367"/>
    <s v="CUST524"/>
    <s v="2025-06-30"/>
    <s v="Withdrawal"/>
    <x v="4"/>
    <s v="Starbucks Hub Cafe"/>
    <n v="913.11"/>
    <n v="1254.9000000000001"/>
    <n v="-188.24"/>
    <n v="1051.28"/>
    <n v="1443.14"/>
    <n v="-138.16999999999996"/>
  </r>
  <r>
    <s v="TXN200368"/>
    <s v="CUST551"/>
    <s v="2025-02-01"/>
    <s v="Deposit"/>
    <x v="2"/>
    <s v="Supermart Marketplace"/>
    <n v="576"/>
    <n v="803.72"/>
    <n v="227.72"/>
    <n v="657.07"/>
    <n v="576"/>
    <n v="-81.07000000000005"/>
  </r>
  <r>
    <s v="TXN200369"/>
    <s v="CUST572"/>
    <s v="2025-04-19"/>
    <s v="Withdrawal"/>
    <x v="5"/>
    <s v="Zelle Payment Engine"/>
    <n v="311.87"/>
    <n v="413.93"/>
    <n v="-62.09"/>
    <n v="320.54000000000002"/>
    <n v="476.02"/>
    <n v="-8.6700000000000159"/>
  </r>
  <r>
    <s v="TXN200370"/>
    <s v="CUST560"/>
    <s v="2025-08-11"/>
    <s v="Withdrawal"/>
    <x v="1"/>
    <s v="Target Direct Online"/>
    <n v="340.14"/>
    <n v="397.81"/>
    <n v="-59.67"/>
    <n v="386.45"/>
    <n v="457.48"/>
    <n v="-46.31"/>
  </r>
  <r>
    <s v="TXN200371"/>
    <s v="CUST613"/>
    <s v="2025-12-04"/>
    <s v="Withdrawal"/>
    <x v="5"/>
    <s v="External Wire Clearance"/>
    <n v="880.9"/>
    <n v="1056.6300000000001"/>
    <n v="-158.49"/>
    <n v="835.51"/>
    <n v="1215.1200000000001"/>
    <n v="45.389999999999986"/>
  </r>
  <r>
    <s v="TXN200372"/>
    <s v="CUST636"/>
    <s v="2025-01-24"/>
    <s v="Withdrawal"/>
    <x v="3"/>
    <s v="Global Industries Llc"/>
    <n v="7025.07"/>
    <n v="9578.01"/>
    <n v="-1436.7"/>
    <n v="6459.5"/>
    <n v="11014.710000000001"/>
    <n v="565.56999999999971"/>
  </r>
  <r>
    <s v="TXN200373"/>
    <s v="CUST625"/>
    <s v="2025-06-21"/>
    <s v="Withdrawal"/>
    <x v="5"/>
    <s v="Zelle Payment Engine"/>
    <n v="1138.68"/>
    <n v="1394.12"/>
    <n v="-209.12"/>
    <n v="1049.5999999999999"/>
    <n v="1603.2399999999998"/>
    <n v="89.080000000000155"/>
  </r>
  <r>
    <s v="TXN200374"/>
    <s v="CUST585"/>
    <s v="2025-05-11"/>
    <s v="Deposit"/>
    <x v="0"/>
    <s v="City Power &amp; Gas Co"/>
    <n v="584.80999999999995"/>
    <n v="797.23"/>
    <n v="212.42"/>
    <n v="567.29999999999995"/>
    <n v="584.81000000000006"/>
    <n v="17.509999999999991"/>
  </r>
  <r>
    <s v="TXN200375"/>
    <s v="CUST606"/>
    <s v="2025-02-23"/>
    <s v="Deposit"/>
    <x v="0"/>
    <s v="State Hydro Grid"/>
    <n v="55.08"/>
    <n v="63.83"/>
    <n v="8.75"/>
    <n v="57.91"/>
    <n v="55.08"/>
    <n v="-2.8299999999999983"/>
  </r>
  <r>
    <s v="TXN200376"/>
    <s v="CUST645"/>
    <s v="2025-04-11"/>
    <s v="Withdrawal"/>
    <x v="1"/>
    <s v="Target Direct Online"/>
    <n v="799.44"/>
    <n v="936.52"/>
    <n v="-140.47999999999999"/>
    <n v="815.53"/>
    <n v="1077"/>
    <n v="-16.089999999999918"/>
  </r>
  <r>
    <s v="TXN200377"/>
    <s v="CUST546"/>
    <s v="2025-07-05"/>
    <s v="Withdrawal"/>
    <x v="4"/>
    <s v="Mcdonalds Corp Express"/>
    <n v="588.87"/>
    <n v="744.31"/>
    <n v="-111.65"/>
    <n v="540.51"/>
    <n v="855.95999999999992"/>
    <n v="48.360000000000014"/>
  </r>
  <r>
    <s v="TXN200378"/>
    <s v="CUST542"/>
    <s v="2025-07-16"/>
    <s v="Withdrawal"/>
    <x v="1"/>
    <s v="Ebay International"/>
    <n v="742.62"/>
    <n v="1025.78"/>
    <n v="-153.87"/>
    <n v="870.75"/>
    <n v="1179.6500000000001"/>
    <n v="-128.13"/>
  </r>
  <r>
    <s v="TXN200379"/>
    <s v="CUST624"/>
    <s v="2025-08-13"/>
    <s v="Withdrawal"/>
    <x v="6"/>
    <s v="Spotify Music Hub"/>
    <n v="1219.4163333333336"/>
    <n v="139.13999999999999"/>
    <n v="-20.87"/>
    <n v="104.39"/>
    <n v="160.01"/>
    <n v="1115.0263333333335"/>
  </r>
  <r>
    <s v="TXN200380"/>
    <s v="CUST568"/>
    <s v="2025-12-16"/>
    <s v="Deposit"/>
    <x v="5"/>
    <s v="Zelle Payment Engine"/>
    <n v="1074.2"/>
    <n v="1308.1300000000001"/>
    <n v="233.93"/>
    <n v="1060.24"/>
    <n v="1074.2"/>
    <n v="13.960000000000036"/>
  </r>
  <r>
    <s v="TXN200381"/>
    <s v="CUST534"/>
    <s v="2025-11-20"/>
    <s v="Withdrawal"/>
    <x v="0"/>
    <s v="Metropolitan Water Sewer"/>
    <n v="388.61"/>
    <n v="485.3"/>
    <n v="-72.8"/>
    <n v="357.62"/>
    <n v="558.1"/>
    <n v="30.990000000000009"/>
  </r>
  <r>
    <s v="TXN200382"/>
    <s v="CUST598"/>
    <s v="CORRUPT_DATE_FLAG"/>
    <s v="Withdrawal"/>
    <x v="2"/>
    <s v="Whole Foods Store"/>
    <n v="429.71"/>
    <n v="518.83000000000004"/>
    <n v="-77.819999999999993"/>
    <n v="500.5"/>
    <n v="596.65000000000009"/>
    <n v="-70.79000000000002"/>
  </r>
  <r>
    <s v="TXN200383"/>
    <s v="CUST596"/>
    <s v="2025-10-24"/>
    <s v="Deposit"/>
    <x v="6"/>
    <s v="Amc Cinema Network"/>
    <n v="995.44"/>
    <n v="1391.58"/>
    <n v="396.14"/>
    <n v="918.06"/>
    <n v="995.43999999999994"/>
    <n v="77.380000000000109"/>
  </r>
  <r>
    <s v="TXN200384"/>
    <s v="CUST513"/>
    <s v="2025-08-29"/>
    <s v="Deposit"/>
    <x v="5"/>
    <s v="External Wire Clearance"/>
    <n v="1040.8900000000001"/>
    <n v="1300.9100000000001"/>
    <n v="260.02"/>
    <n v="1068.6199999999999"/>
    <n v="1040.8900000000001"/>
    <n v="-27.729999999999791"/>
  </r>
  <r>
    <s v="TXN200385"/>
    <s v="CUST590"/>
    <s v="2025-02-11"/>
    <s v="Withdrawal"/>
    <x v="3"/>
    <s v="Global Industries Llc"/>
    <n v="6237.65"/>
    <n v="8490.7800000000007"/>
    <n v="-1273.6199999999999"/>
    <n v="6572.72"/>
    <n v="9764.4000000000015"/>
    <n v="-335.07000000000062"/>
  </r>
  <r>
    <s v="TXN200386"/>
    <s v="CUST561"/>
    <s v="2025-08-15"/>
    <s v="Deposit"/>
    <x v="5"/>
    <s v="External Wire Clearance"/>
    <n v="1015.46"/>
    <n v="1337.11"/>
    <n v="321.64999999999998"/>
    <n v="1216.2"/>
    <n v="1015.4599999999999"/>
    <n v="-200.74"/>
  </r>
  <r>
    <s v="TXN200387"/>
    <s v="CUST604"/>
    <s v="2025-06-17"/>
    <s v="Deposit"/>
    <x v="0"/>
    <s v="Metropolitan Water Sewer"/>
    <n v="630.45000000000005"/>
    <n v="847.12"/>
    <n v="216.67"/>
    <n v="657.2"/>
    <n v="630.45000000000005"/>
    <n v="-26.75"/>
  </r>
  <r>
    <s v="TXN200388"/>
    <s v="CUST572"/>
    <s v="2025-01-13"/>
    <s v="Withdrawal"/>
    <x v="5"/>
    <s v="Internal P2P Route"/>
    <n v="653.17999999999995"/>
    <n v="845.36"/>
    <n v="-126.8"/>
    <n v="617.84"/>
    <n v="972.16"/>
    <n v="35.339999999999918"/>
  </r>
  <r>
    <s v="TXN200389"/>
    <s v="CUST530"/>
    <s v="2025-06-20"/>
    <s v="Withdrawal"/>
    <x v="4"/>
    <s v="Mcdonalds Corp Express"/>
    <n v="1037.98"/>
    <n v="1254.07"/>
    <n v="-188.11"/>
    <n v="1229.78"/>
    <n v="1442.1799999999998"/>
    <n v="-191.79999999999995"/>
  </r>
  <r>
    <s v="TXN200390"/>
    <s v="CUST588"/>
    <s v="2025-02-14"/>
    <s v="Deposit"/>
    <x v="1"/>
    <s v="Ebay International"/>
    <n v="785.95"/>
    <n v="1083.56"/>
    <n v="297.61"/>
    <n v="940.44"/>
    <n v="785.94999999999993"/>
    <n v="-154.49"/>
  </r>
  <r>
    <s v="TXN200391"/>
    <s v="CUST585"/>
    <s v="2025-08-18"/>
    <s v="Withdrawal"/>
    <x v="4"/>
    <s v="Mcdonalds Corp Express"/>
    <n v="939.75"/>
    <n v="1274.74"/>
    <n v="-191.21"/>
    <n v="866.34"/>
    <n v="1465.95"/>
    <n v="73.409999999999968"/>
  </r>
  <r>
    <s v="TXN200392"/>
    <s v="CUST549"/>
    <s v="2025-11-09"/>
    <s v="Deposit"/>
    <x v="6"/>
    <s v="Spotify Music Hub"/>
    <n v="114.9"/>
    <n v="147"/>
    <n v="32.1"/>
    <n v="131.01"/>
    <n v="114.9"/>
    <n v="-16.109999999999985"/>
  </r>
  <r>
    <s v="TXN200393"/>
    <s v="CUST521"/>
    <s v="2025-06-08"/>
    <s v="Withdrawal"/>
    <x v="5"/>
    <s v="Internal P2P Route"/>
    <n v="37.51"/>
    <n v="47.94"/>
    <n v="-7.19"/>
    <n v="38.36"/>
    <n v="55.129999999999995"/>
    <n v="-0.85000000000000142"/>
  </r>
  <r>
    <s v="TXN200394"/>
    <s v="CUST605"/>
    <s v="2025-10-30"/>
    <s v="Withdrawal"/>
    <x v="0"/>
    <s v="Metropolitan Water Sewer"/>
    <n v="1010.91"/>
    <n v="1165.0899999999999"/>
    <n v="-174.76"/>
    <n v="1068.46"/>
    <n v="1339.85"/>
    <n v="-57.550000000000068"/>
  </r>
  <r>
    <s v="TXN200395"/>
    <s v="CUST506"/>
    <s v="2025-03-21"/>
    <s v="Deposit"/>
    <x v="3"/>
    <s v="Techcorp Payroll Inc"/>
    <n v="8331.17"/>
    <n v="10020.31"/>
    <n v="1689.14"/>
    <n v="9545.23"/>
    <n v="8331.17"/>
    <n v="-1214.0599999999995"/>
  </r>
  <r>
    <s v="TXN200396"/>
    <s v="CUST566"/>
    <s v="2025-08-29"/>
    <s v="Withdrawal"/>
    <x v="6"/>
    <s v="Amc Cinema Network"/>
    <n v="365.85"/>
    <n v="479.33"/>
    <n v="-71.900000000000006"/>
    <n v="422.48"/>
    <n v="551.23"/>
    <n v="-56.629999999999995"/>
  </r>
  <r>
    <s v="TXN200397"/>
    <s v="CUST559"/>
    <s v="2025-09-27"/>
    <s v="Withdrawal"/>
    <x v="6"/>
    <s v="Amc Cinema Network"/>
    <n v="360.57"/>
    <n v="490.59"/>
    <n v="-73.59"/>
    <n v="355.15"/>
    <n v="564.17999999999995"/>
    <n v="5.4200000000000159"/>
  </r>
  <r>
    <s v="TXN200398"/>
    <s v="CUST618"/>
    <s v="2025-07-01"/>
    <s v="Deposit"/>
    <x v="5"/>
    <s v="Internal P2P Route"/>
    <n v="393.3"/>
    <n v="501.37"/>
    <n v="108.07"/>
    <n v="383.64"/>
    <n v="393.3"/>
    <n v="9.660000000000025"/>
  </r>
  <r>
    <s v="TXN200399"/>
    <s v="CUST625"/>
    <s v="2025-12-18"/>
    <s v="Deposit"/>
    <x v="5"/>
    <s v="External Wire Clearance"/>
    <n v="297.81"/>
    <n v="408.01"/>
    <n v="110.2"/>
    <n v="277.77"/>
    <n v="297.81"/>
    <n v="20.04000000000002"/>
  </r>
  <r>
    <s v="TXN200400"/>
    <s v="CUST580"/>
    <s v="2025-01-16"/>
    <s v="Withdrawal"/>
    <x v="3"/>
    <s v="Techcorp Payroll Inc"/>
    <n v="8045.37"/>
    <n v="10044.049999999999"/>
    <n v="-1506.61"/>
    <n v="8551.82"/>
    <n v="11550.66"/>
    <n v="-506.44999999999982"/>
  </r>
  <r>
    <s v="TXN200401"/>
    <s v="CUST527"/>
    <s v="2025-12-26"/>
    <s v="Deposit"/>
    <x v="6"/>
    <s v="Spotify Music Hub"/>
    <n v="1182.68"/>
    <n v="1530.59"/>
    <n v="-44.182985074626863"/>
    <n v="1208.1199999999999"/>
    <n v="1574.7729850746268"/>
    <n v="-25.439999999999827"/>
  </r>
  <r>
    <s v="TXN200402"/>
    <s v="CUST639"/>
    <s v="2025-04-21"/>
    <s v="Deposit"/>
    <x v="0"/>
    <s v="Metropolitan Water Sewer"/>
    <n v="874.93"/>
    <n v="1122.9000000000001"/>
    <n v="247.97"/>
    <n v="921.95"/>
    <n v="874.93000000000006"/>
    <n v="-47.020000000000095"/>
  </r>
  <r>
    <s v="TXN200403"/>
    <s v="CUST568"/>
    <s v="2025-04-28"/>
    <s v="Withdrawal"/>
    <x v="3"/>
    <s v="Global Industries Llc"/>
    <n v="9195.5499999999993"/>
    <n v="11401.85"/>
    <n v="-1710.28"/>
    <n v="8844.3700000000008"/>
    <n v="13112.130000000001"/>
    <n v="351.17999999999847"/>
  </r>
  <r>
    <s v="TXN200404"/>
    <s v="CUST552"/>
    <s v="2025-09-14"/>
    <s v="Deposit"/>
    <x v="5"/>
    <s v="Internal P2P Route"/>
    <n v="713.36"/>
    <n v="887.41"/>
    <n v="174.05"/>
    <n v="817.28"/>
    <n v="713.3599999999999"/>
    <n v="-103.91999999999996"/>
  </r>
  <r>
    <s v="TXN200405"/>
    <s v="CUST618"/>
    <s v="2025-07-26"/>
    <s v="Withdrawal"/>
    <x v="6"/>
    <s v="Amc Cinema Network"/>
    <n v="948.53"/>
    <n v="1242.44"/>
    <n v="-186.37"/>
    <n v="946"/>
    <n v="1428.81"/>
    <n v="2.5299999999999727"/>
  </r>
  <r>
    <s v="TXN200406"/>
    <s v="CUST539"/>
    <s v="2025-05-05"/>
    <s v="Withdrawal"/>
    <x v="2"/>
    <s v="Fresh &amp; Fast Logistics"/>
    <n v="1004.01"/>
    <n v="1342.67"/>
    <n v="-201.4"/>
    <n v="1107.1099999999999"/>
    <n v="1544.0700000000002"/>
    <n v="-103.09999999999991"/>
  </r>
  <r>
    <s v="TXN200407"/>
    <s v="CUST633"/>
    <s v="CORRUPT_DATE_FLAG"/>
    <s v="Deposit"/>
    <x v="1"/>
    <s v="Ebay International"/>
    <n v="835.57"/>
    <n v="1420.2638235294123"/>
    <n v="233.27"/>
    <n v="978.25"/>
    <n v="1186.9938235294123"/>
    <n v="-142.67999999999995"/>
  </r>
  <r>
    <s v="TXN200408"/>
    <s v="CUST647"/>
    <s v="2025-12-16"/>
    <s v="Withdrawal"/>
    <x v="3"/>
    <s v="Stark Retail Labs"/>
    <n v="4521.3100000000004"/>
    <n v="6209.83"/>
    <n v="-931.47"/>
    <n v="4182.49"/>
    <n v="7141.3"/>
    <n v="338.82000000000062"/>
  </r>
  <r>
    <s v="TXN200409"/>
    <s v="CUST549"/>
    <s v="2025-04-15"/>
    <s v="Withdrawal"/>
    <x v="3"/>
    <s v="Global Industries Llc"/>
    <n v="9011.26"/>
    <n v="11794.27"/>
    <n v="-1769.14"/>
    <n v="9786.07"/>
    <n v="13563.41"/>
    <n v="-774.80999999999949"/>
  </r>
  <r>
    <s v="TXN200410"/>
    <s v="CUST506"/>
    <s v="2025-08-23"/>
    <s v="Withdrawal"/>
    <x v="5"/>
    <s v="Zelle Payment Engine"/>
    <n v="1180.3900000000001"/>
    <n v="1447.82"/>
    <n v="-217.17"/>
    <n v="1257.24"/>
    <n v="1664.99"/>
    <n v="-76.849999999999909"/>
  </r>
  <r>
    <s v="TXN200411"/>
    <s v="CUST552"/>
    <s v="2025-08-03"/>
    <s v="Withdrawal"/>
    <x v="1"/>
    <s v="Target Direct Online"/>
    <n v="838.51"/>
    <n v="1120.8399999999999"/>
    <n v="-168.13"/>
    <n v="943.58"/>
    <n v="1288.9699999999998"/>
    <n v="-105.07000000000005"/>
  </r>
  <r>
    <s v="TXN200412"/>
    <s v="CUST523"/>
    <s v="2025-09-29"/>
    <s v="Withdrawal"/>
    <x v="5"/>
    <s v="Internal P2P Route"/>
    <n v="1020.84"/>
    <n v="1252.71"/>
    <n v="-187.91"/>
    <n v="932.54"/>
    <n v="1440.6200000000001"/>
    <n v="88.300000000000068"/>
  </r>
  <r>
    <s v="TXN200413"/>
    <s v="CUST514"/>
    <s v="2025-11-08"/>
    <s v="Withdrawal"/>
    <x v="5"/>
    <s v="Zelle Payment Engine"/>
    <n v="429.49"/>
    <n v="522.01"/>
    <n v="-78.3"/>
    <n v="391.32"/>
    <n v="600.30999999999995"/>
    <n v="38.170000000000016"/>
  </r>
  <r>
    <s v="TXN200414"/>
    <s v="CUST590"/>
    <s v="2025-02-15"/>
    <s v="Withdrawal"/>
    <x v="6"/>
    <s v="Spotify Music Hub"/>
    <n v="705.8"/>
    <n v="886.25"/>
    <n v="-132.94"/>
    <n v="680.34"/>
    <n v="1019.19"/>
    <n v="25.459999999999923"/>
  </r>
  <r>
    <s v="TXN200415"/>
    <s v="CUST600"/>
    <s v="02/04/2025"/>
    <s v="Deposit"/>
    <x v="4"/>
    <s v="Olive Garden Gourmet"/>
    <n v="646.96"/>
    <n v="823.43"/>
    <n v="176.47"/>
    <n v="608.16999999999996"/>
    <n v="646.95999999999992"/>
    <n v="38.790000000000077"/>
  </r>
  <r>
    <s v="TXN200416"/>
    <s v="CUST648"/>
    <s v="08/11/2025"/>
    <s v="Deposit"/>
    <x v="1"/>
    <s v="Ebay International"/>
    <n v="483.36"/>
    <n v="662.32"/>
    <n v="178.96"/>
    <n v="549.54"/>
    <n v="483.36"/>
    <n v="-66.17999999999995"/>
  </r>
  <r>
    <s v="TXN200417"/>
    <s v="CUST532"/>
    <s v="2025-04-30"/>
    <s v="Withdrawal"/>
    <x v="4"/>
    <s v="Starbucks Hub Cafe"/>
    <n v="998.21"/>
    <n v="1288.8"/>
    <n v="-193.32"/>
    <n v="1093.83"/>
    <n v="1482.12"/>
    <n v="-95.619999999999891"/>
  </r>
  <r>
    <s v="TXN200418"/>
    <s v="CUST604"/>
    <s v="2025-01-19"/>
    <s v="Withdrawal"/>
    <x v="6"/>
    <s v="Spotify Music Hub"/>
    <n v="250.97"/>
    <n v="328.04"/>
    <n v="-49.21"/>
    <n v="272.18"/>
    <n v="377.25"/>
    <n v="-21.210000000000008"/>
  </r>
  <r>
    <s v="TXN200419"/>
    <s v="CUST610"/>
    <s v="2025-01-15"/>
    <s v="Deposit"/>
    <x v="3"/>
    <s v="Stark Retail Labs"/>
    <n v="6929.34"/>
    <n v="8341.91"/>
    <n v="1412.57"/>
    <n v="6414.79"/>
    <n v="6929.34"/>
    <n v="514.55000000000018"/>
  </r>
  <r>
    <s v="TXN200420"/>
    <s v="CUST570"/>
    <s v="24/02/2025"/>
    <s v="Withdrawal"/>
    <x v="0"/>
    <s v="City Power &amp; Gas Co"/>
    <n v="1219.4163333333336"/>
    <n v="123.96"/>
    <n v="-18.59"/>
    <n v="112.12"/>
    <n v="142.54999999999998"/>
    <n v="1107.2963333333337"/>
  </r>
  <r>
    <s v="TXN200421"/>
    <s v="CUST583"/>
    <s v="2025-08-10"/>
    <s v="Withdrawal"/>
    <x v="4"/>
    <s v="Olive Garden Gourmet"/>
    <n v="178.41"/>
    <n v="248.61"/>
    <n v="-37.29"/>
    <n v="175.13"/>
    <n v="285.90000000000003"/>
    <n v="3.2800000000000011"/>
  </r>
  <r>
    <s v="TXN200422"/>
    <s v="CUST556"/>
    <s v="2025-12-04"/>
    <s v="Withdrawal"/>
    <x v="1"/>
    <s v="Amazon Digital Supply"/>
    <n v="1143.54"/>
    <n v="1393.92"/>
    <n v="-44.182985074626863"/>
    <n v="1074.51"/>
    <n v="1438.102985074627"/>
    <n v="69.029999999999973"/>
  </r>
  <r>
    <s v="TXN200423"/>
    <s v="CUST504"/>
    <s v="2025-04-08"/>
    <s v="Withdrawal"/>
    <x v="3"/>
    <s v="Stark Retail Labs"/>
    <n v="5524.92"/>
    <n v="6527.76"/>
    <n v="-979.16"/>
    <n v="5474.03"/>
    <n v="7506.92"/>
    <n v="50.890000000000327"/>
  </r>
  <r>
    <s v="TXN200424"/>
    <s v="CUST502"/>
    <s v="2025-01-22"/>
    <s v="Deposit"/>
    <x v="4"/>
    <s v="Mcdonalds Corp Express"/>
    <n v="677.87"/>
    <n v="803.84"/>
    <n v="125.97"/>
    <n v="717.7"/>
    <n v="677.87"/>
    <n v="-39.830000000000041"/>
  </r>
  <r>
    <s v="TXN200425"/>
    <s v="CUST627"/>
    <s v="2025-02-23"/>
    <s v="Deposit"/>
    <x v="5"/>
    <s v="Internal P2P Route"/>
    <n v="537.57000000000005"/>
    <n v="673.18"/>
    <n v="135.61000000000001"/>
    <n v="599.32000000000005"/>
    <n v="537.56999999999994"/>
    <n v="-61.75"/>
  </r>
  <r>
    <s v="TXN200426"/>
    <s v="CUST559"/>
    <s v="2025-06-15"/>
    <s v="Withdrawal"/>
    <x v="6"/>
    <s v="Spotify Music Hub"/>
    <n v="442"/>
    <n v="618.27"/>
    <n v="-92.74"/>
    <n v="514.22"/>
    <n v="711.01"/>
    <n v="-72.220000000000027"/>
  </r>
  <r>
    <s v="TXN200427"/>
    <s v="CUST554"/>
    <s v="2025-09-04"/>
    <s v="Withdrawal"/>
    <x v="2"/>
    <s v="Supermart Marketplace"/>
    <n v="1219.4163333333336"/>
    <n v="116.66"/>
    <n v="-17.5"/>
    <n v="111.44"/>
    <n v="134.16"/>
    <n v="1107.9763333333335"/>
  </r>
  <r>
    <s v="TXN200428"/>
    <s v="CUST549"/>
    <s v="2025-10-05"/>
    <s v="Withdrawal"/>
    <x v="2"/>
    <s v="Whole Foods Store"/>
    <n v="1137.6600000000001"/>
    <n v="1310.44"/>
    <n v="-196.57"/>
    <n v="1197.42"/>
    <n v="1507.01"/>
    <n v="-59.759999999999991"/>
  </r>
  <r>
    <s v="TXN200429"/>
    <s v="CUST575"/>
    <s v="2025-12-29"/>
    <s v="Deposit"/>
    <x v="4"/>
    <s v="Mcdonalds Corp Express"/>
    <n v="158.63"/>
    <n v="209.45"/>
    <n v="50.82"/>
    <n v="182.53"/>
    <n v="158.63"/>
    <n v="-23.900000000000006"/>
  </r>
  <r>
    <s v="TXN200430"/>
    <s v="CUST530"/>
    <s v="2025-08-15"/>
    <s v="Withdrawal"/>
    <x v="2"/>
    <s v="Supermart Marketplace"/>
    <n v="1034.51"/>
    <n v="1406.03"/>
    <n v="-210.9"/>
    <n v="1007.89"/>
    <n v="1616.93"/>
    <n v="26.620000000000005"/>
  </r>
  <r>
    <s v="TXN200431"/>
    <s v="CUST576"/>
    <s v="2025-12-25"/>
    <s v="Withdrawal"/>
    <x v="1"/>
    <s v="Ebay International"/>
    <n v="498.13"/>
    <n v="641.22"/>
    <n v="-96.18"/>
    <n v="562.47"/>
    <n v="737.40000000000009"/>
    <n v="-64.340000000000032"/>
  </r>
  <r>
    <s v="TXN200432"/>
    <s v="CUST645"/>
    <s v="2025-03-10"/>
    <s v="Deposit"/>
    <x v="5"/>
    <s v="Internal P2P Route"/>
    <n v="848.24"/>
    <n v="1014.08"/>
    <n v="165.84"/>
    <n v="920.29"/>
    <n v="848.24"/>
    <n v="-72.049999999999955"/>
  </r>
  <r>
    <s v="TXN200433"/>
    <s v="CUST648"/>
    <s v="09/03/2025"/>
    <s v="Withdrawal"/>
    <x v="4"/>
    <s v="Olive Garden Gourmet"/>
    <n v="1130.3599999999999"/>
    <n v="1519.78"/>
    <n v="-227.97"/>
    <n v="1287.21"/>
    <n v="1747.75"/>
    <n v="-156.85000000000014"/>
  </r>
  <r>
    <s v="TXN200434"/>
    <s v="CUST570"/>
    <s v="2025-09-23"/>
    <s v="Deposit"/>
    <x v="4"/>
    <s v="Mcdonalds Corp Express"/>
    <n v="944.98"/>
    <n v="1110.6400000000001"/>
    <n v="165.66"/>
    <n v="886.57"/>
    <n v="944.98000000000013"/>
    <n v="58.409999999999968"/>
  </r>
  <r>
    <s v="TXN200435"/>
    <s v="CUST512"/>
    <s v="2025-09-24"/>
    <s v="Withdrawal"/>
    <x v="1"/>
    <s v="Ebay International"/>
    <n v="1072.9100000000001"/>
    <n v="1426.12"/>
    <n v="-213.92"/>
    <n v="1149.5899999999999"/>
    <n v="1640.04"/>
    <n v="-76.679999999999836"/>
  </r>
  <r>
    <s v="TXN200436"/>
    <s v="CUST583"/>
    <s v="2025-01-06"/>
    <s v="Deposit"/>
    <x v="3"/>
    <s v="Techcorp Payroll Inc"/>
    <n v="8966.81"/>
    <n v="12523.95"/>
    <n v="3557.14"/>
    <n v="10715.86"/>
    <n v="8966.8100000000013"/>
    <n v="-1749.0500000000011"/>
  </r>
  <r>
    <s v="TXN200437"/>
    <s v="CUST541"/>
    <s v="2025-01-04"/>
    <s v="Deposit"/>
    <x v="6"/>
    <s v="Amc Cinema Network"/>
    <n v="612.19000000000005"/>
    <n v="748.58"/>
    <n v="136.38999999999999"/>
    <n v="693.56"/>
    <n v="612.19000000000005"/>
    <n v="-81.369999999999891"/>
  </r>
  <r>
    <s v="TXN200438"/>
    <s v="CUST544"/>
    <s v="2025-07-14"/>
    <s v="Deposit"/>
    <x v="0"/>
    <s v="Metropolitan Water Sewer"/>
    <n v="126.64"/>
    <n v="165.29"/>
    <n v="38.65"/>
    <n v="142.13999999999999"/>
    <n v="126.63999999999999"/>
    <n v="-15.499999999999986"/>
  </r>
  <r>
    <s v="TXN200439"/>
    <s v="CUST522"/>
    <s v="28/11/2025"/>
    <s v="Deposit"/>
    <x v="1"/>
    <s v="Ebay International"/>
    <n v="775.92"/>
    <n v="977.71"/>
    <n v="201.79"/>
    <n v="908.03"/>
    <n v="775.92000000000007"/>
    <n v="-132.11000000000001"/>
  </r>
  <r>
    <s v="TXN200440"/>
    <s v="CUST558"/>
    <s v="2025-08-16"/>
    <s v="Withdrawal"/>
    <x v="0"/>
    <s v="Metropolitan Water Sewer"/>
    <n v="160.27000000000001"/>
    <n v="203.76"/>
    <n v="-30.56"/>
    <n v="153.87"/>
    <n v="234.32"/>
    <n v="6.4000000000000057"/>
  </r>
  <r>
    <s v="TXN200441"/>
    <s v="CUST519"/>
    <s v="2025-09-29"/>
    <s v="Withdrawal"/>
    <x v="1"/>
    <s v="Target Direct Online"/>
    <n v="847.82"/>
    <n v="1126.07"/>
    <n v="-168.91"/>
    <n v="990.34"/>
    <n v="1294.98"/>
    <n v="-142.51999999999998"/>
  </r>
  <r>
    <s v="TXN200442"/>
    <s v="CUST538"/>
    <s v="2025-11-16"/>
    <s v="Deposit"/>
    <x v="4"/>
    <s v="Starbucks Hub Cafe"/>
    <n v="922.69"/>
    <n v="1209.8900000000001"/>
    <n v="287.2"/>
    <n v="1061.79"/>
    <n v="922.69"/>
    <n v="-139.09999999999991"/>
  </r>
  <r>
    <s v="TXN200443"/>
    <s v="CUST537"/>
    <s v="29/11/2025"/>
    <s v="Deposit"/>
    <x v="4"/>
    <s v="Starbucks Hub Cafe"/>
    <n v="1058.1099999999999"/>
    <n v="1243.46"/>
    <n v="185.35"/>
    <n v="1082.78"/>
    <n v="1058.1100000000001"/>
    <n v="-24.670000000000073"/>
  </r>
  <r>
    <s v="TXN200444"/>
    <s v="CUST527"/>
    <s v="2025-11-19"/>
    <s v="Deposit"/>
    <x v="0"/>
    <s v="State Hydro Grid"/>
    <n v="1002.92"/>
    <n v="1202.2"/>
    <n v="-44.182985074626863"/>
    <n v="1190.4100000000001"/>
    <n v="1246.382985074627"/>
    <n v="-187.49000000000012"/>
  </r>
  <r>
    <s v="TXN200445"/>
    <s v="CUST587"/>
    <s v="2025-11-04"/>
    <s v="Deposit"/>
    <x v="6"/>
    <s v="Netflix Streaming Premium"/>
    <n v="909.51"/>
    <n v="1068.23"/>
    <n v="158.72"/>
    <n v="1005.54"/>
    <n v="909.51"/>
    <n v="-96.029999999999973"/>
  </r>
  <r>
    <s v="TXN200446"/>
    <s v="CUST503"/>
    <s v="07/03/2025"/>
    <s v="Withdrawal"/>
    <x v="5"/>
    <s v="External Wire Clearance"/>
    <n v="639.46"/>
    <n v="801"/>
    <n v="-120.15"/>
    <n v="696.72"/>
    <n v="921.15"/>
    <n v="-57.259999999999991"/>
  </r>
  <r>
    <s v="TXN200447"/>
    <s v="CUST642"/>
    <s v="2026-01-01"/>
    <s v="Withdrawal"/>
    <x v="1"/>
    <s v="Target Direct Online"/>
    <n v="412.41"/>
    <n v="577.21"/>
    <n v="-86.58"/>
    <n v="373.18"/>
    <n v="663.79000000000008"/>
    <n v="39.230000000000018"/>
  </r>
  <r>
    <s v="TXN200448"/>
    <s v="CUST548"/>
    <s v="2025-09-05"/>
    <s v="Withdrawal"/>
    <x v="5"/>
    <s v="Zelle Payment Engine"/>
    <n v="425.12"/>
    <n v="489.97"/>
    <n v="-73.5"/>
    <n v="402.71"/>
    <n v="563.47"/>
    <n v="22.410000000000025"/>
  </r>
  <r>
    <s v="TXN200449"/>
    <s v="CUST522"/>
    <s v="2025-09-20"/>
    <s v="Deposit"/>
    <x v="3"/>
    <s v="Global Industries Llc"/>
    <n v="7104.92"/>
    <n v="9019.99"/>
    <n v="1915.07"/>
    <n v="7681.08"/>
    <n v="7104.92"/>
    <n v="-576.15999999999985"/>
  </r>
  <r>
    <s v="TXN200450"/>
    <s v="CUST544"/>
    <s v="2025-09-14"/>
    <s v="Withdrawal"/>
    <x v="3"/>
    <s v="Global Industries Llc"/>
    <n v="6441.9"/>
    <n v="8383.2900000000009"/>
    <n v="-1257.49"/>
    <n v="6303.76"/>
    <n v="9640.7800000000007"/>
    <n v="138.13999999999942"/>
  </r>
  <r>
    <s v="TXN200451"/>
    <s v="CUST648"/>
    <s v="2025-06-01"/>
    <s v="Withdrawal"/>
    <x v="4"/>
    <s v="Starbucks Hub Cafe"/>
    <n v="298.26"/>
    <n v="366.6"/>
    <n v="-54.99"/>
    <n v="283.73"/>
    <n v="421.59000000000003"/>
    <n v="14.529999999999973"/>
  </r>
  <r>
    <s v="TXN200452"/>
    <s v="CUST599"/>
    <s v="2025-06-04"/>
    <s v="Deposit"/>
    <x v="1"/>
    <s v="Target Direct Online"/>
    <n v="827.26"/>
    <n v="1112.1500000000001"/>
    <n v="284.89"/>
    <n v="885.37"/>
    <n v="827.2600000000001"/>
    <n v="-58.110000000000014"/>
  </r>
  <r>
    <s v="TXN200453"/>
    <s v="CUST559"/>
    <s v="2025-02-02"/>
    <s v="Deposit"/>
    <x v="6"/>
    <s v="Spotify Music Hub"/>
    <n v="45.72"/>
    <n v="60"/>
    <n v="14.28"/>
    <n v="54.07"/>
    <n v="45.72"/>
    <n v="-8.3500000000000014"/>
  </r>
  <r>
    <s v="TXN200454"/>
    <s v="CUST515"/>
    <s v="2025-07-01"/>
    <s v="Deposit"/>
    <x v="4"/>
    <s v="Mcdonalds Corp Express"/>
    <n v="556.26"/>
    <n v="687.32"/>
    <n v="131.06"/>
    <n v="524.21"/>
    <n v="556.26"/>
    <n v="32.049999999999955"/>
  </r>
  <r>
    <s v="TXN200455"/>
    <s v="CUST542"/>
    <s v="2025-08-10"/>
    <s v="Withdrawal"/>
    <x v="3"/>
    <s v="Techcorp Payroll Inc"/>
    <n v="5682.54"/>
    <n v="6778.73"/>
    <n v="-1016.81"/>
    <n v="5154.87"/>
    <n v="7795.5399999999991"/>
    <n v="527.67000000000007"/>
  </r>
  <r>
    <s v="TXN200456"/>
    <s v="CUST590"/>
    <s v="CORRUPT_DATE_FLAG"/>
    <s v="Deposit"/>
    <x v="1"/>
    <s v="Amazon Digital Supply"/>
    <n v="50.39"/>
    <n v="62.46"/>
    <n v="12.07"/>
    <n v="47.38"/>
    <n v="50.39"/>
    <n v="3.009999999999998"/>
  </r>
  <r>
    <s v="TXN200457"/>
    <s v="CUST506"/>
    <s v="2025-10-12"/>
    <s v="Deposit"/>
    <x v="0"/>
    <s v="City Power &amp; Gas Co"/>
    <n v="976.62"/>
    <n v="1344.54"/>
    <n v="367.92"/>
    <n v="1059.24"/>
    <n v="976.61999999999989"/>
    <n v="-82.62"/>
  </r>
  <r>
    <s v="TXN200458"/>
    <s v="CUST567"/>
    <s v="17/06/2025"/>
    <s v="Deposit"/>
    <x v="3"/>
    <s v="Techcorp Payroll Inc"/>
    <n v="9013.9699999999993"/>
    <n v="10413.450000000001"/>
    <n v="1399.48"/>
    <n v="9877.5499999999993"/>
    <n v="9013.9700000000012"/>
    <n v="-863.57999999999993"/>
  </r>
  <r>
    <s v="TXN200459"/>
    <s v="CUST551"/>
    <s v="2025-11-28"/>
    <s v="Withdrawal"/>
    <x v="5"/>
    <s v="External Wire Clearance"/>
    <n v="869.67"/>
    <n v="1129.1400000000001"/>
    <n v="-169.37"/>
    <n v="918.76"/>
    <n v="1298.5100000000002"/>
    <n v="-49.090000000000032"/>
  </r>
  <r>
    <s v="TXN200460"/>
    <s v="CUST522"/>
    <s v="2025-07-02"/>
    <s v="Deposit"/>
    <x v="6"/>
    <s v="Spotify Music Hub"/>
    <n v="795.18"/>
    <n v="982.24"/>
    <n v="187.06"/>
    <n v="945.96"/>
    <n v="795.18000000000006"/>
    <n v="-150.78000000000009"/>
  </r>
  <r>
    <s v="TXN200461"/>
    <s v="CUST544"/>
    <s v="21/12/2025"/>
    <s v="Withdrawal"/>
    <x v="3"/>
    <s v="Stark Retail Labs"/>
    <n v="8416.2000000000007"/>
    <n v="10819.32"/>
    <n v="-1622.9"/>
    <n v="8046.41"/>
    <n v="12442.22"/>
    <n v="369.79000000000087"/>
  </r>
  <r>
    <s v="TXN200462"/>
    <s v="CUST630"/>
    <s v="2025-04-07"/>
    <s v="Withdrawal"/>
    <x v="6"/>
    <s v="Amc Cinema Network"/>
    <n v="1143.8699999999999"/>
    <n v="1557.28"/>
    <n v="-233.59"/>
    <n v="1362.67"/>
    <n v="1790.87"/>
    <n v="-218.80000000000018"/>
  </r>
  <r>
    <s v="TXN200463"/>
    <s v="CUST512"/>
    <s v="2025-10-04"/>
    <s v="Deposit"/>
    <x v="4"/>
    <s v="Mcdonalds Corp Express"/>
    <n v="954.99"/>
    <n v="1179.78"/>
    <n v="224.79"/>
    <n v="1077.27"/>
    <n v="954.99"/>
    <n v="-122.27999999999997"/>
  </r>
  <r>
    <s v="TXN200464"/>
    <s v="CUST630"/>
    <s v="2025-10-26"/>
    <s v="Deposit"/>
    <x v="2"/>
    <s v="Fresh &amp; Fast Logistics"/>
    <n v="1219.4163333333336"/>
    <n v="132.15"/>
    <n v="32.15"/>
    <n v="95.58"/>
    <n v="100"/>
    <n v="1123.8363333333336"/>
  </r>
  <r>
    <s v="TXN200465"/>
    <s v="CUST644"/>
    <s v="2025-08-16"/>
    <s v="Withdrawal"/>
    <x v="1"/>
    <s v="Target Direct Online"/>
    <n v="742.95"/>
    <n v="941.87"/>
    <n v="-141.28"/>
    <n v="724.45"/>
    <n v="1083.1500000000001"/>
    <n v="18.5"/>
  </r>
  <r>
    <s v="TXN200466"/>
    <s v="CUST650"/>
    <s v="2025-04-07"/>
    <s v="Deposit"/>
    <x v="4"/>
    <s v="Olive Garden Gourmet"/>
    <n v="1064.1600000000001"/>
    <n v="1459.28"/>
    <n v="395.12"/>
    <n v="1073.5"/>
    <n v="1064.1599999999999"/>
    <n v="-9.3399999999999181"/>
  </r>
  <r>
    <s v="TXN200467"/>
    <s v="CUST537"/>
    <s v="2025-01-07"/>
    <s v="Withdrawal"/>
    <x v="2"/>
    <s v="Whole Foods Store"/>
    <n v="1062.93"/>
    <n v="1319.45"/>
    <n v="-197.92"/>
    <n v="966.3"/>
    <n v="1517.3700000000001"/>
    <n v="96.630000000000109"/>
  </r>
  <r>
    <s v="TXN200468"/>
    <s v="CUST644"/>
    <s v="2025-06-03"/>
    <s v="Deposit"/>
    <x v="6"/>
    <s v="Spotify Music Hub"/>
    <n v="565.32000000000005"/>
    <n v="679.2"/>
    <n v="113.88"/>
    <n v="535.63"/>
    <n v="565.32000000000005"/>
    <n v="29.690000000000055"/>
  </r>
  <r>
    <s v="TXN200469"/>
    <s v="CUST593"/>
    <s v="2025-06-14"/>
    <s v="Deposit"/>
    <x v="5"/>
    <s v="Zelle Payment Engine"/>
    <n v="181.49"/>
    <n v="250.22"/>
    <n v="68.73"/>
    <n v="188.33"/>
    <n v="181.49"/>
    <n v="-6.8400000000000034"/>
  </r>
  <r>
    <s v="TXN200470"/>
    <s v="CUST645"/>
    <s v="2025-02-11"/>
    <s v="Withdrawal"/>
    <x v="2"/>
    <s v="Whole Foods Store"/>
    <n v="621.22"/>
    <n v="863.55"/>
    <n v="-129.53"/>
    <n v="564.59"/>
    <n v="993.07999999999993"/>
    <n v="56.629999999999995"/>
  </r>
  <r>
    <s v="TXN200471"/>
    <s v="CUST571"/>
    <s v="2025-02-12"/>
    <s v="Withdrawal"/>
    <x v="3"/>
    <s v="Global Industries Llc"/>
    <n v="4744.78"/>
    <n v="6627.52"/>
    <n v="-994.13"/>
    <n v="4783.12"/>
    <n v="7621.6500000000005"/>
    <n v="-38.340000000000146"/>
  </r>
  <r>
    <s v="TXN200472"/>
    <s v="CUST549"/>
    <s v="2025-11-12"/>
    <s v="Deposit"/>
    <x v="0"/>
    <s v="Metropolitan Water Sewer"/>
    <n v="664.72"/>
    <n v="869.03"/>
    <n v="204.31"/>
    <n v="796.97"/>
    <n v="664.72"/>
    <n v="-132.25"/>
  </r>
  <r>
    <s v="TXN200473"/>
    <s v="CUST560"/>
    <s v="2025-04-24"/>
    <s v="Deposit"/>
    <x v="2"/>
    <s v="Whole Foods Store"/>
    <n v="969.1"/>
    <n v="1228.8599999999999"/>
    <n v="259.76"/>
    <n v="1028.9100000000001"/>
    <n v="969.09999999999991"/>
    <n v="-59.810000000000059"/>
  </r>
  <r>
    <s v="TXN200474"/>
    <s v="CUST641"/>
    <s v="2025-10-06"/>
    <s v="Withdrawal"/>
    <x v="1"/>
    <s v="Ebay International"/>
    <n v="873"/>
    <n v="1071.27"/>
    <n v="-160.69"/>
    <n v="820.67"/>
    <n v="1231.96"/>
    <n v="52.330000000000041"/>
  </r>
  <r>
    <s v="TXN200475"/>
    <s v="CUST623"/>
    <s v="CORRUPT_DATE_FLAG"/>
    <s v="Withdrawal"/>
    <x v="4"/>
    <s v="Olive Garden Gourmet"/>
    <n v="448.35"/>
    <n v="621.05999999999995"/>
    <n v="-93.16"/>
    <n v="533.61"/>
    <n v="714.21999999999991"/>
    <n v="-85.259999999999991"/>
  </r>
  <r>
    <s v="TXN200476"/>
    <s v="CUST508"/>
    <s v="2025-04-17"/>
    <s v="Deposit"/>
    <x v="5"/>
    <s v="External Wire Clearance"/>
    <n v="247.44"/>
    <n v="322.75"/>
    <n v="75.31"/>
    <n v="249.67"/>
    <n v="247.44"/>
    <n v="-2.2299999999999898"/>
  </r>
  <r>
    <s v="TXN200477"/>
    <s v="CUST527"/>
    <s v="2025-02-22"/>
    <s v="Withdrawal"/>
    <x v="6"/>
    <s v="Spotify Music Hub"/>
    <n v="681.14"/>
    <n v="830.56"/>
    <n v="-124.58"/>
    <n v="673.95"/>
    <n v="955.14"/>
    <n v="7.1899999999999409"/>
  </r>
  <r>
    <s v="TXN200478"/>
    <s v="CUST549"/>
    <s v="2025-05-21"/>
    <s v="Deposit"/>
    <x v="0"/>
    <s v="Metropolitan Water Sewer"/>
    <n v="984.35"/>
    <n v="1188.74"/>
    <n v="204.39"/>
    <n v="918.46"/>
    <n v="984.35"/>
    <n v="65.889999999999986"/>
  </r>
  <r>
    <s v="TXN200479"/>
    <s v="CUST550"/>
    <s v="2025-01-29"/>
    <s v="Deposit"/>
    <x v="6"/>
    <s v="Spotify Music Hub"/>
    <n v="844.58"/>
    <n v="1053.6300000000001"/>
    <n v="209.05"/>
    <n v="762.76"/>
    <n v="844.58000000000015"/>
    <n v="81.82000000000005"/>
  </r>
  <r>
    <s v="TXN200480"/>
    <s v="CUST525"/>
    <s v="2025-12-17"/>
    <s v="Deposit"/>
    <x v="0"/>
    <s v="State Hydro Grid"/>
    <n v="1064.1500000000001"/>
    <n v="1388"/>
    <n v="323.85000000000002"/>
    <n v="1244.21"/>
    <n v="1064.1500000000001"/>
    <n v="-180.05999999999995"/>
  </r>
  <r>
    <s v="TXN200481"/>
    <s v="CUST634"/>
    <s v="2025-07-02"/>
    <s v="Withdrawal"/>
    <x v="6"/>
    <s v="Netflix Streaming Premium"/>
    <n v="290.39"/>
    <n v="335.24"/>
    <n v="-50.29"/>
    <n v="288.64999999999998"/>
    <n v="385.53000000000003"/>
    <n v="1.7400000000000091"/>
  </r>
  <r>
    <s v="TXN200482"/>
    <s v="CUST626"/>
    <s v="2025-09-27"/>
    <s v="Deposit"/>
    <x v="3"/>
    <s v="Stark Retail Labs"/>
    <n v="5900.42"/>
    <n v="6850.23"/>
    <n v="949.81"/>
    <n v="6289.18"/>
    <n v="5900.42"/>
    <n v="-388.76000000000022"/>
  </r>
  <r>
    <s v="TXN200483"/>
    <s v="CUST501"/>
    <s v="2025-04-06"/>
    <s v="Withdrawal"/>
    <x v="1"/>
    <s v="Target Direct Online"/>
    <n v="998.68"/>
    <n v="1197.47"/>
    <n v="-179.62"/>
    <n v="1001.07"/>
    <n v="1377.0900000000001"/>
    <n v="-2.3900000000001"/>
  </r>
  <r>
    <s v="TXN200484"/>
    <s v="CUST546"/>
    <s v="2025-04-15"/>
    <s v="Deposit"/>
    <x v="1"/>
    <s v="Target Direct Online"/>
    <n v="124.04"/>
    <n v="161.29"/>
    <n v="37.25"/>
    <n v="129.54"/>
    <n v="124.03999999999999"/>
    <n v="-5.4999999999999858"/>
  </r>
  <r>
    <s v="TXN200485"/>
    <s v="CUST555"/>
    <s v="2025-01-05"/>
    <s v="Deposit"/>
    <x v="3"/>
    <s v="Stark Retail Labs"/>
    <n v="5720.65"/>
    <n v="6918.31"/>
    <n v="1197.6600000000001"/>
    <n v="5299.4"/>
    <n v="5720.6500000000005"/>
    <n v="421.25"/>
  </r>
  <r>
    <s v="TXN200486"/>
    <s v="CUST581"/>
    <s v="2025-04-28"/>
    <s v="Deposit"/>
    <x v="2"/>
    <s v="Fresh &amp; Fast Logistics"/>
    <n v="75.209999999999994"/>
    <n v="101.15"/>
    <n v="25.94"/>
    <n v="75.69"/>
    <n v="75.210000000000008"/>
    <n v="-0.48000000000000398"/>
  </r>
  <r>
    <s v="TXN200487"/>
    <s v="CUST509"/>
    <s v="2025-09-12"/>
    <s v="Withdrawal"/>
    <x v="3"/>
    <s v="Techcorp Payroll Inc"/>
    <n v="5716.77"/>
    <n v="6989.73"/>
    <n v="-1048.46"/>
    <n v="5512.82"/>
    <n v="8038.19"/>
    <n v="203.95000000000073"/>
  </r>
  <r>
    <s v="TXN200488"/>
    <s v="CUST617"/>
    <s v="21/04/2025"/>
    <s v="Deposit"/>
    <x v="5"/>
    <s v="Zelle Payment Engine"/>
    <n v="597.04"/>
    <n v="723.62"/>
    <n v="126.58"/>
    <n v="600.03"/>
    <n v="597.04"/>
    <n v="-2.9900000000000091"/>
  </r>
  <r>
    <s v="TXN200489"/>
    <s v="CUST648"/>
    <s v="2025-06-14"/>
    <s v="Withdrawal"/>
    <x v="4"/>
    <s v="Mcdonalds Corp Express"/>
    <n v="730.24"/>
    <n v="938.91"/>
    <n v="-140.84"/>
    <n v="828.74"/>
    <n v="1079.75"/>
    <n v="-98.5"/>
  </r>
  <r>
    <s v="TXN200490"/>
    <s v="CUST596"/>
    <s v="2025-12-28"/>
    <s v="Withdrawal"/>
    <x v="1"/>
    <s v="Target Direct Online"/>
    <n v="129.61000000000001"/>
    <n v="152.13"/>
    <n v="-22.82"/>
    <n v="135.72999999999999"/>
    <n v="174.95"/>
    <n v="-6.1199999999999761"/>
  </r>
  <r>
    <s v="TXN200491"/>
    <s v="CUST546"/>
    <s v="2025-07-31"/>
    <s v="Withdrawal"/>
    <x v="6"/>
    <s v="Spotify Music Hub"/>
    <n v="546.41"/>
    <n v="740.43"/>
    <n v="-111.06"/>
    <n v="628.49"/>
    <n v="851.49"/>
    <n v="-82.080000000000041"/>
  </r>
  <r>
    <s v="TXN200492"/>
    <s v="CUST632"/>
    <s v="2025-04-23"/>
    <s v="Deposit"/>
    <x v="0"/>
    <s v="State Hydro Grid"/>
    <n v="1195.3800000000001"/>
    <n v="1378.82"/>
    <n v="183.44"/>
    <n v="1355.54"/>
    <n v="1195.3799999999999"/>
    <n v="-160.15999999999985"/>
  </r>
  <r>
    <s v="TXN200493"/>
    <s v="CUST531"/>
    <s v="2025-02-18"/>
    <s v="Deposit"/>
    <x v="1"/>
    <s v="Target Direct Online"/>
    <n v="294.19"/>
    <n v="384.64"/>
    <n v="90.45"/>
    <n v="264.98"/>
    <n v="294.19"/>
    <n v="29.20999999999998"/>
  </r>
  <r>
    <s v="TXN200494"/>
    <s v="CUST520"/>
    <s v="2025-11-13"/>
    <s v="Withdrawal"/>
    <x v="5"/>
    <s v="External Wire Clearance"/>
    <n v="564.33000000000004"/>
    <n v="761.74"/>
    <n v="-114.26"/>
    <n v="522.87"/>
    <n v="876"/>
    <n v="41.460000000000036"/>
  </r>
  <r>
    <s v="TXN200495"/>
    <s v="CUST582"/>
    <s v="2025-10-21"/>
    <s v="Withdrawal"/>
    <x v="0"/>
    <s v="City Power &amp; Gas Co"/>
    <n v="1149.54"/>
    <n v="1345.94"/>
    <n v="-201.89"/>
    <n v="1220.79"/>
    <n v="1547.83"/>
    <n v="-71.25"/>
  </r>
  <r>
    <s v="TXN200496"/>
    <s v="CUST504"/>
    <s v="2025-06-09"/>
    <s v="Withdrawal"/>
    <x v="6"/>
    <s v="Netflix Streaming Premium"/>
    <n v="509.19"/>
    <n v="635.84"/>
    <n v="-95.38"/>
    <n v="474.28"/>
    <n v="731.22"/>
    <n v="34.910000000000025"/>
  </r>
  <r>
    <s v="TXN200497"/>
    <s v="CUST521"/>
    <s v="2025-06-08"/>
    <s v="Withdrawal"/>
    <x v="5"/>
    <s v="Zelle Payment Engine"/>
    <n v="614.21"/>
    <n v="737.72"/>
    <n v="-110.66"/>
    <n v="588.4"/>
    <n v="848.38"/>
    <n v="25.810000000000059"/>
  </r>
  <r>
    <s v="TXN200498"/>
    <s v="CUST585"/>
    <s v="2025-06-12"/>
    <s v="Deposit"/>
    <x v="1"/>
    <s v="Target Direct Online"/>
    <n v="723.05"/>
    <n v="907.67"/>
    <n v="184.62"/>
    <n v="790.08"/>
    <n v="723.05"/>
    <n v="-67.030000000000086"/>
  </r>
  <r>
    <s v="TXN200499"/>
    <s v="CUST582"/>
    <s v="2025-05-08"/>
    <s v="Deposit"/>
    <x v="3"/>
    <s v="Stark Retail Labs"/>
    <n v="1219.4163333333336"/>
    <n v="118.65"/>
    <n v="18.649999999999999"/>
    <n v="103.55"/>
    <n v="100"/>
    <n v="1115.8663333333336"/>
  </r>
  <r>
    <s v="TXN200500"/>
    <s v="CUST584"/>
    <s v="2025-02-26"/>
    <s v="Deposit"/>
    <x v="4"/>
    <s v="Starbucks Hub Cafe"/>
    <n v="1079.6300000000001"/>
    <n v="1503.2"/>
    <n v="423.57"/>
    <n v="1294.8699999999999"/>
    <n v="1079.6300000000001"/>
    <n v="-215.23999999999978"/>
  </r>
  <r>
    <s v="TXN200501"/>
    <s v="CUST608"/>
    <s v="2025-07-02"/>
    <s v="Deposit"/>
    <x v="0"/>
    <s v="State Hydro Grid"/>
    <n v="890.07"/>
    <n v="1052.53"/>
    <n v="162.46"/>
    <n v="841"/>
    <n v="890.06999999999994"/>
    <n v="49.07000000000005"/>
  </r>
  <r>
    <s v="TXN200502"/>
    <s v="CUST529"/>
    <s v="2025-06-26"/>
    <s v="Deposit"/>
    <x v="1"/>
    <s v="Target Direct Online"/>
    <n v="681.43"/>
    <n v="881.82"/>
    <n v="200.39"/>
    <n v="636.28"/>
    <n v="681.43000000000006"/>
    <n v="45.149999999999977"/>
  </r>
  <r>
    <s v="TXN200503"/>
    <s v="CUST513"/>
    <s v="2025-12-21"/>
    <s v="Withdrawal"/>
    <x v="3"/>
    <s v="Techcorp Payroll Inc"/>
    <n v="5368.76"/>
    <n v="7439.48"/>
    <n v="-1115.92"/>
    <n v="5673.26"/>
    <n v="8555.4"/>
    <n v="-304.5"/>
  </r>
  <r>
    <s v="TXN200504"/>
    <s v="CUST525"/>
    <s v="2025-10-12"/>
    <s v="Withdrawal"/>
    <x v="1"/>
    <s v="Ebay International"/>
    <n v="1079.6600000000001"/>
    <n v="1455.47"/>
    <n v="-218.32"/>
    <n v="1077.01"/>
    <n v="1673.79"/>
    <n v="2.6500000000000909"/>
  </r>
  <r>
    <s v="TXN200505"/>
    <s v="CUST564"/>
    <s v="2025-05-02"/>
    <s v="Withdrawal"/>
    <x v="0"/>
    <s v="City Power &amp; Gas Co"/>
    <n v="114.1"/>
    <n v="132.02000000000001"/>
    <n v="-19.8"/>
    <n v="118.43"/>
    <n v="151.82000000000002"/>
    <n v="-4.3300000000000125"/>
  </r>
  <r>
    <s v="TXN200506"/>
    <s v="CUST596"/>
    <s v="2025-04-26"/>
    <s v="Deposit"/>
    <x v="2"/>
    <s v="Fresh &amp; Fast Logistics"/>
    <n v="791.33"/>
    <n v="938.49"/>
    <n v="147.16"/>
    <n v="763.43"/>
    <n v="791.33"/>
    <n v="27.900000000000091"/>
  </r>
  <r>
    <s v="TXN200507"/>
    <s v="CUST506"/>
    <s v="2025-10-18"/>
    <s v="Deposit"/>
    <x v="2"/>
    <s v="Fresh &amp; Fast Logistics"/>
    <n v="932.41"/>
    <n v="1174.3599999999999"/>
    <n v="241.95"/>
    <n v="1038.5999999999999"/>
    <n v="932.40999999999985"/>
    <n v="-106.18999999999994"/>
  </r>
  <r>
    <s v="TXN200508"/>
    <s v="CUST589"/>
    <s v="2025-08-05"/>
    <s v="Deposit"/>
    <x v="2"/>
    <s v="Supermart Marketplace"/>
    <n v="57.19"/>
    <n v="67.37"/>
    <n v="10.18"/>
    <n v="64.48"/>
    <n v="57.190000000000005"/>
    <n v="-7.2900000000000063"/>
  </r>
  <r>
    <s v="TXN200509"/>
    <s v="CUST588"/>
    <s v="2025-01-20"/>
    <s v="Withdrawal"/>
    <x v="0"/>
    <s v="State Hydro Grid"/>
    <n v="905.43"/>
    <n v="1091.5999999999999"/>
    <n v="-163.74"/>
    <n v="992.02"/>
    <n v="1255.3399999999999"/>
    <n v="-86.590000000000032"/>
  </r>
  <r>
    <s v="TXN200510"/>
    <s v="CUST639"/>
    <s v="2025-12-18"/>
    <s v="Withdrawal"/>
    <x v="0"/>
    <s v="Metropolitan Water Sewer"/>
    <n v="93.39"/>
    <n v="110.4"/>
    <n v="-16.559999999999999"/>
    <n v="105.46"/>
    <n v="126.96000000000001"/>
    <n v="-12.069999999999993"/>
  </r>
  <r>
    <s v="TXN200511"/>
    <s v="CUST573"/>
    <s v="2025-01-01"/>
    <s v="Withdrawal"/>
    <x v="6"/>
    <s v="Netflix Streaming Premium"/>
    <n v="1186.1600000000001"/>
    <n v="1613.2"/>
    <n v="-241.98"/>
    <n v="1154.1099999999999"/>
    <n v="1855.18"/>
    <n v="32.050000000000182"/>
  </r>
  <r>
    <s v="TXN200512"/>
    <s v="CUST574"/>
    <s v="2025-12-11"/>
    <s v="Deposit"/>
    <x v="1"/>
    <s v="Target Direct Online"/>
    <n v="626.75"/>
    <n v="722.03"/>
    <n v="95.28"/>
    <n v="644.70000000000005"/>
    <n v="626.75"/>
    <n v="-17.950000000000045"/>
  </r>
  <r>
    <s v="TXN200513"/>
    <s v="CUST587"/>
    <s v="2025-08-01"/>
    <s v="Withdrawal"/>
    <x v="1"/>
    <s v="Target Direct Online"/>
    <n v="658.24"/>
    <n v="862.22"/>
    <n v="-129.33000000000001"/>
    <n v="737.59"/>
    <n v="991.55000000000007"/>
    <n v="-79.350000000000023"/>
  </r>
  <r>
    <s v="TXN200514"/>
    <s v="CUST577"/>
    <s v="2025-10-24"/>
    <s v="Deposit"/>
    <x v="1"/>
    <s v="Ebay International"/>
    <n v="667.39"/>
    <n v="791.59"/>
    <n v="124.2"/>
    <n v="792.42"/>
    <n v="667.39"/>
    <n v="-125.02999999999997"/>
  </r>
  <r>
    <s v="TXN200515"/>
    <s v="CUST561"/>
    <s v="2025-11-19"/>
    <s v="Withdrawal"/>
    <x v="2"/>
    <s v="Whole Foods Store"/>
    <n v="1141.19"/>
    <n v="1571.32"/>
    <n v="-235.7"/>
    <n v="1055.3499999999999"/>
    <n v="1807.02"/>
    <n v="85.840000000000146"/>
  </r>
  <r>
    <s v="TXN200516"/>
    <s v="CUST573"/>
    <s v="2025-03-17"/>
    <s v="Deposit"/>
    <x v="5"/>
    <s v="External Wire Clearance"/>
    <n v="485.67"/>
    <n v="589.88"/>
    <n v="104.21"/>
    <n v="484.02"/>
    <n v="485.67"/>
    <n v="1.6500000000000341"/>
  </r>
  <r>
    <s v="TXN200517"/>
    <s v="CUST598"/>
    <s v="2025-11-02"/>
    <s v="Withdrawal"/>
    <x v="0"/>
    <s v="State Hydro Grid"/>
    <n v="56.26"/>
    <n v="64.75"/>
    <n v="-9.7100000000000009"/>
    <n v="51.61"/>
    <n v="74.460000000000008"/>
    <n v="4.6499999999999986"/>
  </r>
  <r>
    <s v="TXN200518"/>
    <s v="CUST599"/>
    <s v="2025-01-02"/>
    <s v="Withdrawal"/>
    <x v="2"/>
    <s v="Fresh &amp; Fast Logistics"/>
    <n v="811.54"/>
    <n v="967.3"/>
    <n v="-145.09"/>
    <n v="732.11"/>
    <n v="1112.3899999999999"/>
    <n v="79.42999999999995"/>
  </r>
  <r>
    <s v="TXN200519"/>
    <s v="CUST555"/>
    <s v="2025-07-12"/>
    <s v="Deposit"/>
    <x v="3"/>
    <s v="Global Industries Llc"/>
    <n v="4737.96"/>
    <n v="6632.14"/>
    <n v="1894.18"/>
    <n v="4620.32"/>
    <n v="4737.96"/>
    <n v="117.64000000000033"/>
  </r>
  <r>
    <s v="TXN200520"/>
    <s v="CUST621"/>
    <s v="2025-01-14"/>
    <s v="Deposit"/>
    <x v="1"/>
    <s v="Ebay International"/>
    <n v="88.97"/>
    <n v="115.35"/>
    <n v="26.38"/>
    <n v="86.1"/>
    <n v="88.97"/>
    <n v="2.8700000000000045"/>
  </r>
  <r>
    <s v="TXN200521"/>
    <s v="CUST613"/>
    <s v="2025-04-11"/>
    <s v="Withdrawal"/>
    <x v="1"/>
    <s v="Target Direct Online"/>
    <n v="252.56"/>
    <n v="338.33"/>
    <n v="-50.75"/>
    <n v="245.37"/>
    <n v="389.08"/>
    <n v="7.1899999999999977"/>
  </r>
  <r>
    <s v="TXN200522"/>
    <s v="CUST526"/>
    <s v="2025-05-15"/>
    <s v="Withdrawal"/>
    <x v="5"/>
    <s v="Zelle Payment Engine"/>
    <n v="39.79"/>
    <n v="48.54"/>
    <n v="-7.28"/>
    <n v="36.450000000000003"/>
    <n v="55.82"/>
    <n v="3.3399999999999963"/>
  </r>
  <r>
    <s v="TXN200523"/>
    <s v="CUST546"/>
    <s v="2025-09-29"/>
    <s v="Deposit"/>
    <x v="5"/>
    <s v="External Wire Clearance"/>
    <n v="966.75"/>
    <n v="1207.29"/>
    <n v="240.54"/>
    <n v="883.76"/>
    <n v="966.75"/>
    <n v="82.990000000000009"/>
  </r>
  <r>
    <s v="TXN200524"/>
    <s v="CUST567"/>
    <s v="2025-07-08"/>
    <s v="Withdrawal"/>
    <x v="2"/>
    <s v="Whole Foods Store"/>
    <n v="1173.55"/>
    <n v="1412.23"/>
    <n v="-211.83"/>
    <n v="1060.68"/>
    <n v="1624.06"/>
    <n v="112.86999999999989"/>
  </r>
  <r>
    <s v="TXN200525"/>
    <s v="CUST576"/>
    <s v="2025-07-11"/>
    <s v="Withdrawal"/>
    <x v="2"/>
    <s v="Fresh &amp; Fast Logistics"/>
    <n v="1102.52"/>
    <n v="1331.47"/>
    <n v="-199.72"/>
    <n v="1166.24"/>
    <n v="1531.19"/>
    <n v="-63.720000000000027"/>
  </r>
  <r>
    <s v="TXN200526"/>
    <s v="CUST579"/>
    <s v="CORRUPT_DATE_FLAG"/>
    <s v="Withdrawal"/>
    <x v="4"/>
    <s v="Mcdonalds Corp Express"/>
    <n v="1219.4163333333336"/>
    <n v="121.7"/>
    <n v="-18.25"/>
    <n v="119.13"/>
    <n v="139.94999999999999"/>
    <n v="1100.2863333333335"/>
  </r>
  <r>
    <s v="TXN200527"/>
    <s v="CUST537"/>
    <s v="2025-03-09"/>
    <s v="Withdrawal"/>
    <x v="3"/>
    <s v="Global Industries Llc"/>
    <n v="4636.45"/>
    <n v="6468.03"/>
    <n v="-970.2"/>
    <n v="4906.58"/>
    <n v="7438.23"/>
    <n v="-270.13000000000011"/>
  </r>
  <r>
    <s v="TXN200528"/>
    <s v="CUST580"/>
    <s v="2025-07-23"/>
    <s v="Deposit"/>
    <x v="5"/>
    <s v="Internal P2P Route"/>
    <n v="803.58"/>
    <n v="962.39"/>
    <n v="158.81"/>
    <n v="872.66"/>
    <n v="803.57999999999993"/>
    <n v="-69.079999999999927"/>
  </r>
  <r>
    <s v="TXN200529"/>
    <s v="CUST632"/>
    <s v="2025-01-04"/>
    <s v="Withdrawal"/>
    <x v="0"/>
    <s v="City Power &amp; Gas Co"/>
    <n v="359.89"/>
    <n v="493.06"/>
    <n v="-73.959999999999994"/>
    <n v="406.94"/>
    <n v="567.02"/>
    <n v="-47.050000000000011"/>
  </r>
  <r>
    <s v="TXN200530"/>
    <s v="CUST554"/>
    <s v="2025-11-04"/>
    <s v="Withdrawal"/>
    <x v="0"/>
    <s v="City Power &amp; Gas Co"/>
    <n v="1081.57"/>
    <n v="1443.46"/>
    <n v="-216.52"/>
    <n v="1095.77"/>
    <n v="1659.98"/>
    <n v="-14.200000000000045"/>
  </r>
  <r>
    <s v="TXN200531"/>
    <s v="CUST619"/>
    <s v="2025-11-29"/>
    <s v="Withdrawal"/>
    <x v="0"/>
    <s v="State Hydro Grid"/>
    <n v="1013.46"/>
    <n v="1190.29"/>
    <n v="-178.54"/>
    <n v="986.46"/>
    <n v="1368.83"/>
    <n v="27"/>
  </r>
  <r>
    <s v="TXN200532"/>
    <s v="CUST516"/>
    <s v="2025-06-01"/>
    <s v="Withdrawal"/>
    <x v="2"/>
    <s v="Whole Foods Store"/>
    <n v="792.16"/>
    <n v="992.87"/>
    <n v="-148.93"/>
    <n v="732.43"/>
    <n v="1141.8"/>
    <n v="59.730000000000018"/>
  </r>
  <r>
    <s v="TXN200533"/>
    <s v="CUST520"/>
    <s v="2025-02-15"/>
    <s v="Deposit"/>
    <x v="4"/>
    <s v="Starbucks Hub Cafe"/>
    <n v="150.63"/>
    <n v="186.79"/>
    <n v="36.159999999999997"/>
    <n v="160.22"/>
    <n v="150.63"/>
    <n v="-9.5900000000000034"/>
  </r>
  <r>
    <s v="TXN200534"/>
    <s v="CUST584"/>
    <s v="2025-03-10"/>
    <s v="Deposit"/>
    <x v="0"/>
    <s v="City Power &amp; Gas Co"/>
    <n v="594.22"/>
    <n v="822.1"/>
    <n v="227.88"/>
    <n v="581.28"/>
    <n v="594.22"/>
    <n v="12.940000000000055"/>
  </r>
  <r>
    <s v="TXN200535"/>
    <s v="CUST556"/>
    <s v="2025-06-05"/>
    <s v="Deposit"/>
    <x v="3"/>
    <s v="Techcorp Payroll Inc"/>
    <n v="5612.19"/>
    <n v="7807.43"/>
    <n v="2195.2399999999998"/>
    <n v="6565.51"/>
    <n v="5612.1900000000005"/>
    <n v="-953.32000000000062"/>
  </r>
  <r>
    <s v="TXN200536"/>
    <s v="CUST508"/>
    <s v="2025-08-31"/>
    <s v="Withdrawal"/>
    <x v="1"/>
    <s v="Ebay International"/>
    <n v="579.21"/>
    <n v="692.02"/>
    <n v="-103.8"/>
    <n v="613.57000000000005"/>
    <n v="795.81999999999994"/>
    <n v="-34.360000000000014"/>
  </r>
  <r>
    <s v="TXN200537"/>
    <s v="CUST545"/>
    <s v="2025-06-14"/>
    <s v="Deposit"/>
    <x v="5"/>
    <s v="External Wire Clearance"/>
    <n v="1101.3800000000001"/>
    <n v="1456.47"/>
    <n v="355.09"/>
    <n v="1286.32"/>
    <n v="1101.3800000000001"/>
    <n v="-184.93999999999983"/>
  </r>
  <r>
    <s v="TXN200538"/>
    <s v="CUST511"/>
    <s v="2025-06-03"/>
    <s v="Withdrawal"/>
    <x v="6"/>
    <s v="Netflix Streaming Premium"/>
    <n v="1219.4163333333336"/>
    <n v="136.59"/>
    <n v="-20.49"/>
    <n v="103.89"/>
    <n v="157.08000000000001"/>
    <n v="1115.5263333333335"/>
  </r>
  <r>
    <s v="TXN200539"/>
    <s v="CUST553"/>
    <s v="2025-11-08"/>
    <s v="Deposit"/>
    <x v="6"/>
    <s v="Amc Cinema Network"/>
    <n v="45.94"/>
    <n v="61.23"/>
    <n v="15.29"/>
    <n v="51.77"/>
    <n v="45.94"/>
    <n v="-5.8300000000000054"/>
  </r>
  <r>
    <s v="TXN200540"/>
    <s v="CUST635"/>
    <s v="2025-04-26"/>
    <s v="Withdrawal"/>
    <x v="5"/>
    <s v="External Wire Clearance"/>
    <n v="176.92"/>
    <n v="238.47"/>
    <n v="-35.770000000000003"/>
    <n v="164.6"/>
    <n v="274.24"/>
    <n v="12.319999999999993"/>
  </r>
  <r>
    <s v="TXN200541"/>
    <s v="CUST527"/>
    <s v="2025-08-18"/>
    <s v="Withdrawal"/>
    <x v="6"/>
    <s v="Amc Cinema Network"/>
    <n v="595.24"/>
    <n v="786.72"/>
    <n v="-118.01"/>
    <n v="607.47"/>
    <n v="904.73"/>
    <n v="-12.230000000000018"/>
  </r>
  <r>
    <s v="TXN200542"/>
    <s v="CUST557"/>
    <s v="2025-01-09"/>
    <s v="Withdrawal"/>
    <x v="2"/>
    <s v="Whole Foods Store"/>
    <n v="648.41"/>
    <n v="865.81"/>
    <n v="-129.87"/>
    <n v="587.37"/>
    <n v="995.68"/>
    <n v="61.039999999999964"/>
  </r>
  <r>
    <s v="TXN200543"/>
    <s v="CUST543"/>
    <s v="2025-10-15"/>
    <s v="Withdrawal"/>
    <x v="2"/>
    <s v="Fresh &amp; Fast Logistics"/>
    <n v="819.91"/>
    <n v="1031.3599999999999"/>
    <n v="-154.69999999999999"/>
    <n v="899.5"/>
    <n v="1186.06"/>
    <n v="-79.590000000000032"/>
  </r>
  <r>
    <s v="TXN200544"/>
    <s v="CUST514"/>
    <s v="2025-03-29"/>
    <s v="Deposit"/>
    <x v="3"/>
    <s v="Stark Retail Labs"/>
    <n v="1219.4163333333336"/>
    <n v="135.03"/>
    <n v="35.03"/>
    <n v="113.36"/>
    <n v="100"/>
    <n v="1106.0563333333337"/>
  </r>
  <r>
    <s v="TXN200545"/>
    <s v="CUST507"/>
    <s v="2025-09-04"/>
    <s v="Deposit"/>
    <x v="1"/>
    <s v="Amazon Digital Supply"/>
    <n v="405.06"/>
    <n v="535.37"/>
    <n v="130.31"/>
    <n v="384.21"/>
    <n v="405.06"/>
    <n v="20.850000000000023"/>
  </r>
  <r>
    <s v="TXN200546"/>
    <s v="CUST567"/>
    <s v="2025-01-22"/>
    <s v="Withdrawal"/>
    <x v="3"/>
    <s v="Techcorp Payroll Inc"/>
    <n v="8836.74"/>
    <n v="11919.04"/>
    <n v="-1787.86"/>
    <n v="8714.92"/>
    <n v="13706.900000000001"/>
    <n v="121.81999999999971"/>
  </r>
  <r>
    <s v="TXN200547"/>
    <s v="CUST587"/>
    <s v="2025-11-05"/>
    <s v="Deposit"/>
    <x v="5"/>
    <s v="External Wire Clearance"/>
    <n v="1158.1199999999999"/>
    <n v="1372.34"/>
    <n v="214.22"/>
    <n v="1365.62"/>
    <n v="1158.1199999999999"/>
    <n v="-207.5"/>
  </r>
  <r>
    <s v="TXN200548"/>
    <s v="CUST631"/>
    <s v="2025-12-09"/>
    <s v="Withdrawal"/>
    <x v="1"/>
    <s v="Ebay International"/>
    <n v="1106.2"/>
    <n v="1415.4"/>
    <n v="-212.31"/>
    <n v="1145.01"/>
    <n v="1627.71"/>
    <n v="-38.809999999999945"/>
  </r>
  <r>
    <s v="TXN200549"/>
    <s v="CUST569"/>
    <s v="2025-05-03"/>
    <s v="Deposit"/>
    <x v="0"/>
    <s v="City Power &amp; Gas Co"/>
    <n v="1219.4163333333336"/>
    <n v="117.88"/>
    <n v="17.88"/>
    <n v="109.74"/>
    <n v="100"/>
    <n v="1109.6763333333336"/>
  </r>
  <r>
    <s v="TXN200550"/>
    <s v="CUST627"/>
    <s v="2025-04-26"/>
    <s v="Withdrawal"/>
    <x v="6"/>
    <s v="Netflix Streaming Premium"/>
    <n v="607.41"/>
    <n v="760.34"/>
    <n v="-114.05"/>
    <n v="695.56"/>
    <n v="874.39"/>
    <n v="-88.149999999999977"/>
  </r>
  <r>
    <s v="TXN200551"/>
    <s v="CUST563"/>
    <s v="2025-02-08"/>
    <s v="Withdrawal"/>
    <x v="4"/>
    <s v="Mcdonalds Corp Express"/>
    <n v="587.61"/>
    <n v="731.49"/>
    <n v="-109.72"/>
    <n v="619.21"/>
    <n v="841.21"/>
    <n v="-31.600000000000023"/>
  </r>
  <r>
    <s v="TXN200552"/>
    <s v="CUST574"/>
    <s v="2025-03-08"/>
    <s v="Deposit"/>
    <x v="1"/>
    <s v="Target Direct Online"/>
    <n v="888.84"/>
    <n v="1064.07"/>
    <n v="-44.182985074626863"/>
    <n v="910.2"/>
    <n v="1108.2529850746268"/>
    <n v="-21.360000000000014"/>
  </r>
  <r>
    <s v="TXN200553"/>
    <s v="CUST527"/>
    <s v="2025-02-28"/>
    <s v="Deposit"/>
    <x v="4"/>
    <s v="Starbucks Hub Cafe"/>
    <n v="42.78"/>
    <n v="57.75"/>
    <n v="14.97"/>
    <n v="47.46"/>
    <n v="42.78"/>
    <n v="-4.68"/>
  </r>
  <r>
    <s v="TXN200554"/>
    <s v="CUST519"/>
    <s v="2025-09-11"/>
    <s v="Deposit"/>
    <x v="5"/>
    <s v="External Wire Clearance"/>
    <n v="269.33999999999997"/>
    <n v="321.56"/>
    <n v="52.22"/>
    <n v="317.61"/>
    <n v="269.34000000000003"/>
    <n v="-48.270000000000039"/>
  </r>
  <r>
    <s v="TXN200555"/>
    <s v="CUST538"/>
    <s v="2025-01-06"/>
    <s v="Deposit"/>
    <x v="5"/>
    <s v="External Wire Clearance"/>
    <n v="936.37"/>
    <n v="1236.97"/>
    <n v="300.60000000000002"/>
    <n v="902.31"/>
    <n v="936.37"/>
    <n v="34.060000000000059"/>
  </r>
  <r>
    <s v="TXN200556"/>
    <s v="CUST598"/>
    <s v="2025-05-18"/>
    <s v="Deposit"/>
    <x v="5"/>
    <s v="External Wire Clearance"/>
    <n v="911.88"/>
    <n v="1056.6400000000001"/>
    <n v="144.76"/>
    <n v="1006.2"/>
    <n v="911.88000000000011"/>
    <n v="-94.32000000000005"/>
  </r>
  <r>
    <s v="TXN200557"/>
    <s v="CUST565"/>
    <s v="2025-04-03"/>
    <s v="Withdrawal"/>
    <x v="1"/>
    <s v="Target Direct Online"/>
    <n v="1136.52"/>
    <n v="1337.4"/>
    <n v="-200.61"/>
    <n v="1249.55"/>
    <n v="1538.0100000000002"/>
    <n v="-113.02999999999997"/>
  </r>
  <r>
    <s v="TXN200558"/>
    <s v="CUST577"/>
    <s v="2025-05-05"/>
    <s v="Withdrawal"/>
    <x v="3"/>
    <s v="Techcorp Payroll Inc"/>
    <n v="7737.57"/>
    <n v="9134.74"/>
    <n v="-1370.21"/>
    <n v="8929.16"/>
    <n v="10504.95"/>
    <n v="-1191.5900000000001"/>
  </r>
  <r>
    <s v="TXN200559"/>
    <s v="CUST566"/>
    <s v="2025-07-13"/>
    <s v="Withdrawal"/>
    <x v="0"/>
    <s v="State Hydro Grid"/>
    <n v="799.55"/>
    <n v="998.74"/>
    <n v="-149.81"/>
    <n v="762.82"/>
    <n v="1148.55"/>
    <n v="36.729999999999905"/>
  </r>
  <r>
    <s v="TXN200560"/>
    <s v="CUST505"/>
    <s v="2025-01-21"/>
    <s v="Withdrawal"/>
    <x v="3"/>
    <s v="Global Industries Llc"/>
    <n v="5365.7"/>
    <n v="7052.05"/>
    <n v="-1057.81"/>
    <n v="6014.13"/>
    <n v="8109.8600000000006"/>
    <n v="-648.43000000000029"/>
  </r>
  <r>
    <s v="TXN200561"/>
    <s v="CUST561"/>
    <s v="CORRUPT_DATE_FLAG"/>
    <s v="Deposit"/>
    <x v="3"/>
    <s v="Techcorp Payroll Inc"/>
    <n v="5547.54"/>
    <n v="7580.66"/>
    <n v="2033.12"/>
    <n v="6003.61"/>
    <n v="5547.54"/>
    <n v="-456.06999999999971"/>
  </r>
  <r>
    <s v="TXN200562"/>
    <s v="CUST642"/>
    <s v="2025-10-29"/>
    <s v="Deposit"/>
    <x v="1"/>
    <s v="Ebay International"/>
    <n v="450.8"/>
    <n v="620.58000000000004"/>
    <n v="169.78"/>
    <n v="516.1"/>
    <n v="450.80000000000007"/>
    <n v="-65.300000000000011"/>
  </r>
  <r>
    <s v="TXN200563"/>
    <s v="CUST573"/>
    <s v="2025-04-26"/>
    <s v="Withdrawal"/>
    <x v="0"/>
    <s v="Metropolitan Water Sewer"/>
    <n v="963.81"/>
    <n v="1280.8499999999999"/>
    <n v="-192.13"/>
    <n v="1042.72"/>
    <n v="1472.98"/>
    <n v="-78.910000000000082"/>
  </r>
  <r>
    <s v="TXN200564"/>
    <s v="CUST640"/>
    <s v="2025-09-04"/>
    <s v="Withdrawal"/>
    <x v="2"/>
    <s v="Supermart Marketplace"/>
    <n v="690.86"/>
    <n v="827.06"/>
    <n v="-124.06"/>
    <n v="643.76"/>
    <n v="951.11999999999989"/>
    <n v="47.100000000000023"/>
  </r>
  <r>
    <s v="TXN200565"/>
    <s v="CUST615"/>
    <s v="2025-09-13"/>
    <s v="Withdrawal"/>
    <x v="1"/>
    <s v="Ebay International"/>
    <n v="1074.71"/>
    <n v="1355.26"/>
    <n v="-203.29"/>
    <n v="1057.42"/>
    <n v="1558.55"/>
    <n v="17.289999999999964"/>
  </r>
  <r>
    <s v="TXN200566"/>
    <s v="CUST563"/>
    <s v="2025-10-21"/>
    <s v="Withdrawal"/>
    <x v="3"/>
    <s v="Stark Retail Labs"/>
    <n v="7867.01"/>
    <n v="9721.69"/>
    <n v="-1458.25"/>
    <n v="8473.76"/>
    <n v="11179.94"/>
    <n v="-606.75"/>
  </r>
  <r>
    <s v="TXN200567"/>
    <s v="CUST572"/>
    <s v="2025-08-07"/>
    <s v="Deposit"/>
    <x v="6"/>
    <s v="Spotify Music Hub"/>
    <n v="128.91999999999999"/>
    <n v="158.66"/>
    <n v="29.74"/>
    <n v="154.16999999999999"/>
    <n v="128.91999999999999"/>
    <n v="-25.25"/>
  </r>
  <r>
    <s v="TXN200568"/>
    <s v="CUST555"/>
    <s v="2025-04-30"/>
    <s v="Deposit"/>
    <x v="5"/>
    <s v="Zelle Payment Engine"/>
    <n v="35.76"/>
    <n v="47.61"/>
    <n v="11.85"/>
    <n v="36.99"/>
    <n v="35.76"/>
    <n v="-1.230000000000004"/>
  </r>
  <r>
    <s v="TXN200569"/>
    <s v="CUST511"/>
    <s v="14/01/2025"/>
    <s v="Withdrawal"/>
    <x v="6"/>
    <s v="Spotify Music Hub"/>
    <n v="679.28"/>
    <n v="791.81"/>
    <n v="-118.77"/>
    <n v="652.57000000000005"/>
    <n v="910.57999999999993"/>
    <n v="26.709999999999923"/>
  </r>
  <r>
    <s v="TXN200570"/>
    <s v="CUST539"/>
    <s v="2025-04-24"/>
    <s v="Withdrawal"/>
    <x v="3"/>
    <s v="Stark Retail Labs"/>
    <n v="1219.4163333333336"/>
    <n v="129.55000000000001"/>
    <n v="-19.43"/>
    <n v="92.66"/>
    <n v="148.98000000000002"/>
    <n v="1126.7563333333335"/>
  </r>
  <r>
    <s v="TXN200571"/>
    <s v="CUST534"/>
    <s v="2025-08-23"/>
    <s v="Deposit"/>
    <x v="4"/>
    <s v="Starbucks Hub Cafe"/>
    <n v="1018.57"/>
    <n v="1304.3599999999999"/>
    <n v="285.79000000000002"/>
    <n v="1024.68"/>
    <n v="1018.5699999999999"/>
    <n v="-6.1100000000000136"/>
  </r>
  <r>
    <s v="TXN200572"/>
    <s v="CUST511"/>
    <s v="2025-01-28"/>
    <s v="Withdrawal"/>
    <x v="3"/>
    <s v="Stark Retail Labs"/>
    <n v="5219.7"/>
    <n v="7225.42"/>
    <n v="-1083.81"/>
    <n v="6086.8"/>
    <n v="8309.23"/>
    <n v="-867.10000000000036"/>
  </r>
  <r>
    <s v="TXN200573"/>
    <s v="CUST596"/>
    <s v="2025-01-16"/>
    <s v="Withdrawal"/>
    <x v="0"/>
    <s v="Metropolitan Water Sewer"/>
    <n v="1125.1199999999999"/>
    <n v="1317.92"/>
    <n v="-197.69"/>
    <n v="1197.28"/>
    <n v="1515.6100000000001"/>
    <n v="-72.160000000000082"/>
  </r>
  <r>
    <s v="TXN200574"/>
    <s v="CUST647"/>
    <s v="2025-11-11"/>
    <s v="Deposit"/>
    <x v="1"/>
    <s v="Target Direct Online"/>
    <n v="936.01"/>
    <n v="1082.6300000000001"/>
    <n v="146.62"/>
    <n v="888.27"/>
    <n v="936.0100000000001"/>
    <n v="47.740000000000009"/>
  </r>
  <r>
    <s v="TXN200575"/>
    <s v="CUST527"/>
    <s v="2025-11-13"/>
    <s v="Withdrawal"/>
    <x v="6"/>
    <s v="Spotify Music Hub"/>
    <n v="372.44"/>
    <n v="492.45"/>
    <n v="-73.87"/>
    <n v="358.85"/>
    <n v="566.31999999999994"/>
    <n v="13.589999999999975"/>
  </r>
  <r>
    <s v="TXN200576"/>
    <s v="CUST560"/>
    <s v="2025-08-31"/>
    <s v="Withdrawal"/>
    <x v="3"/>
    <s v="Stark Retail Labs"/>
    <n v="6412.51"/>
    <n v="8240.7900000000009"/>
    <n v="-1236.1199999999999"/>
    <n v="6553.18"/>
    <n v="9476.91"/>
    <n v="-140.67000000000007"/>
  </r>
  <r>
    <s v="TXN200577"/>
    <s v="CUST505"/>
    <s v="2025-01-11"/>
    <s v="Deposit"/>
    <x v="5"/>
    <s v="External Wire Clearance"/>
    <n v="512.92999999999995"/>
    <n v="681.79"/>
    <n v="168.86"/>
    <n v="569.72"/>
    <n v="512.92999999999995"/>
    <n v="-56.790000000000077"/>
  </r>
  <r>
    <s v="TXN200578"/>
    <s v="CUST504"/>
    <s v="2025-11-02"/>
    <s v="Deposit"/>
    <x v="5"/>
    <s v="Zelle Payment Engine"/>
    <n v="984.25"/>
    <n v="1217.95"/>
    <n v="233.7"/>
    <n v="1084.45"/>
    <n v="984.25"/>
    <n v="-100.20000000000005"/>
  </r>
  <r>
    <s v="TXN200579"/>
    <s v="CUST619"/>
    <s v="2025-05-17"/>
    <s v="Deposit"/>
    <x v="2"/>
    <s v="Whole Foods Store"/>
    <n v="360.49"/>
    <n v="425.08"/>
    <n v="64.59"/>
    <n v="335.53"/>
    <n v="360.49"/>
    <n v="24.960000000000036"/>
  </r>
  <r>
    <s v="TXN200580"/>
    <s v="CUST517"/>
    <s v="2025-01-11"/>
    <s v="Deposit"/>
    <x v="4"/>
    <s v="Starbucks Hub Cafe"/>
    <n v="426.93"/>
    <n v="525.41999999999996"/>
    <n v="98.49"/>
    <n v="490.21"/>
    <n v="426.92999999999995"/>
    <n v="-63.279999999999973"/>
  </r>
  <r>
    <s v="TXN200581"/>
    <s v="CUST593"/>
    <s v="2025-09-29"/>
    <s v="Withdrawal"/>
    <x v="6"/>
    <s v="Amc Cinema Network"/>
    <n v="84.04"/>
    <n v="104.72"/>
    <n v="-15.71"/>
    <n v="95.36"/>
    <n v="120.43"/>
    <n v="-11.319999999999993"/>
  </r>
  <r>
    <s v="TXN200582"/>
    <s v="CUST619"/>
    <s v="2025-10-17"/>
    <s v="Withdrawal"/>
    <x v="1"/>
    <s v="Target Direct Online"/>
    <n v="448.16"/>
    <n v="521.94000000000005"/>
    <n v="-78.290000000000006"/>
    <n v="451.51"/>
    <n v="600.23"/>
    <n v="-3.3499999999999659"/>
  </r>
  <r>
    <s v="TXN200583"/>
    <s v="CUST560"/>
    <s v="2025-12-23"/>
    <s v="Deposit"/>
    <x v="1"/>
    <s v="Ebay International"/>
    <n v="835.4"/>
    <n v="987.23"/>
    <n v="151.83000000000001"/>
    <n v="769.2"/>
    <n v="835.4"/>
    <n v="66.199999999999932"/>
  </r>
  <r>
    <s v="TXN200584"/>
    <s v="CUST525"/>
    <s v="2025-05-24"/>
    <s v="Withdrawal"/>
    <x v="2"/>
    <s v="Fresh &amp; Fast Logistics"/>
    <n v="164.4"/>
    <n v="219.37"/>
    <n v="-32.909999999999997"/>
    <n v="189.79"/>
    <n v="252.28"/>
    <n v="-25.389999999999986"/>
  </r>
  <r>
    <s v="TXN200585"/>
    <s v="CUST542"/>
    <s v="2025-09-05"/>
    <s v="Withdrawal"/>
    <x v="1"/>
    <s v="Amazon Digital Supply"/>
    <n v="614.09"/>
    <n v="706.57"/>
    <n v="-105.99"/>
    <n v="587.09"/>
    <n v="812.56000000000006"/>
    <n v="27"/>
  </r>
  <r>
    <s v="TXN200586"/>
    <s v="CUST572"/>
    <s v="2025-09-19"/>
    <s v="Deposit"/>
    <x v="6"/>
    <s v="Amc Cinema Network"/>
    <n v="1069.32"/>
    <n v="1447.19"/>
    <n v="377.87"/>
    <n v="1082.82"/>
    <n v="1069.3200000000002"/>
    <n v="-13.5"/>
  </r>
  <r>
    <s v="TXN200587"/>
    <s v="CUST520"/>
    <s v="2025-11-23"/>
    <s v="Deposit"/>
    <x v="6"/>
    <s v="Netflix Streaming Premium"/>
    <n v="1152.31"/>
    <n v="1512.49"/>
    <n v="360.18"/>
    <n v="1126.19"/>
    <n v="1152.31"/>
    <n v="26.119999999999891"/>
  </r>
  <r>
    <s v="TXN200588"/>
    <s v="CUST629"/>
    <s v="2025-10-21"/>
    <s v="Deposit"/>
    <x v="5"/>
    <s v="External Wire Clearance"/>
    <n v="359.23"/>
    <n v="415.49"/>
    <n v="56.26"/>
    <n v="340.07"/>
    <n v="359.23"/>
    <n v="19.160000000000025"/>
  </r>
  <r>
    <s v="TXN200589"/>
    <s v="CUST622"/>
    <s v="2025-05-11"/>
    <s v="Deposit"/>
    <x v="4"/>
    <s v="Mcdonalds Corp Express"/>
    <n v="1219.4163333333336"/>
    <n v="136.46"/>
    <n v="36.46"/>
    <n v="105.02"/>
    <n v="100"/>
    <n v="1114.3963333333336"/>
  </r>
  <r>
    <s v="TXN200590"/>
    <s v="CUST613"/>
    <s v="2025-12-07"/>
    <s v="Withdrawal"/>
    <x v="4"/>
    <s v="Mcdonalds Corp Express"/>
    <n v="123.94"/>
    <n v="168.04"/>
    <n v="-25.21"/>
    <n v="139.03"/>
    <n v="193.25"/>
    <n v="-15.090000000000003"/>
  </r>
  <r>
    <s v="TXN200591"/>
    <s v="CUST505"/>
    <s v="2025-08-08"/>
    <s v="Withdrawal"/>
    <x v="0"/>
    <s v="State Hydro Grid"/>
    <n v="1140.6300000000001"/>
    <n v="1565.55"/>
    <n v="-234.83"/>
    <n v="1076.53"/>
    <n v="1800.3799999999999"/>
    <n v="64.100000000000136"/>
  </r>
  <r>
    <s v="TXN200592"/>
    <s v="CUST557"/>
    <s v="2025-02-05"/>
    <s v="Deposit"/>
    <x v="0"/>
    <s v="City Power &amp; Gas Co"/>
    <n v="532.64"/>
    <n v="691.44"/>
    <n v="158.80000000000001"/>
    <n v="558.63"/>
    <n v="532.6400000000001"/>
    <n v="-25.990000000000009"/>
  </r>
  <r>
    <s v="TXN200593"/>
    <s v="CUST623"/>
    <s v="2025-04-09"/>
    <s v="Deposit"/>
    <x v="0"/>
    <s v="City Power &amp; Gas Co"/>
    <n v="996.28"/>
    <n v="1261.3800000000001"/>
    <n v="265.10000000000002"/>
    <n v="1149.1500000000001"/>
    <n v="996.28000000000009"/>
    <n v="-152.87000000000012"/>
  </r>
  <r>
    <s v="TXN200594"/>
    <s v="CUST600"/>
    <s v="2025-11-12"/>
    <s v="Withdrawal"/>
    <x v="6"/>
    <s v="Netflix Streaming Premium"/>
    <n v="1131.46"/>
    <n v="1572.98"/>
    <n v="-235.95"/>
    <n v="1332.68"/>
    <n v="1808.93"/>
    <n v="-201.22000000000003"/>
  </r>
  <r>
    <s v="TXN200595"/>
    <s v="CUST555"/>
    <s v="2025-07-28"/>
    <s v="Deposit"/>
    <x v="0"/>
    <s v="City Power &amp; Gas Co"/>
    <n v="758.21"/>
    <n v="1053.03"/>
    <n v="294.82"/>
    <n v="770.96"/>
    <n v="758.21"/>
    <n v="-12.75"/>
  </r>
  <r>
    <s v="TXN200596"/>
    <s v="CUST551"/>
    <s v="2025-12-13"/>
    <s v="Withdrawal"/>
    <x v="2"/>
    <s v="Supermart Marketplace"/>
    <n v="1112.56"/>
    <n v="1279.53"/>
    <n v="-191.93"/>
    <n v="1276.5999999999999"/>
    <n v="1471.46"/>
    <n v="-164.03999999999996"/>
  </r>
  <r>
    <s v="TXN200597"/>
    <s v="CUST523"/>
    <s v="03/08/2025"/>
    <s v="Deposit"/>
    <x v="6"/>
    <s v="Netflix Streaming Premium"/>
    <n v="868.17"/>
    <n v="1159.98"/>
    <n v="291.81"/>
    <n v="826.98"/>
    <n v="868.17000000000007"/>
    <n v="41.189999999999941"/>
  </r>
  <r>
    <s v="TXN200598"/>
    <s v="CUST632"/>
    <s v="2025-11-24"/>
    <s v="Deposit"/>
    <x v="0"/>
    <s v="City Power &amp; Gas Co"/>
    <n v="990.97"/>
    <n v="1315.85"/>
    <n v="324.88"/>
    <n v="1134.78"/>
    <n v="990.96999999999991"/>
    <n v="-143.80999999999995"/>
  </r>
  <r>
    <s v="TXN200599"/>
    <s v="CUST515"/>
    <s v="2025-11-03"/>
    <s v="Withdrawal"/>
    <x v="5"/>
    <s v="External Wire Clearance"/>
    <n v="37.39"/>
    <n v="46.21"/>
    <n v="-6.93"/>
    <n v="34.770000000000003"/>
    <n v="53.14"/>
    <n v="2.6199999999999974"/>
  </r>
  <r>
    <s v="TXN200600"/>
    <s v="CUST605"/>
    <s v="CORRUPT_DATE_FLAG"/>
    <s v="Withdrawal"/>
    <x v="5"/>
    <s v="Internal P2P Route"/>
    <n v="114.14"/>
    <n v="138.5"/>
    <n v="-20.77"/>
    <n v="121.53"/>
    <n v="159.27000000000001"/>
    <n v="-7.3900000000000006"/>
  </r>
  <r>
    <s v="TXN200601"/>
    <s v="CUST541"/>
    <s v="2025-03-23"/>
    <s v="Withdrawal"/>
    <x v="0"/>
    <s v="Metropolitan Water Sewer"/>
    <n v="138.80000000000001"/>
    <n v="190.33"/>
    <n v="-28.55"/>
    <n v="125.63"/>
    <n v="218.88000000000002"/>
    <n v="13.170000000000016"/>
  </r>
  <r>
    <s v="TXN200602"/>
    <s v="CUST581"/>
    <s v="2025-03-09"/>
    <s v="Deposit"/>
    <x v="4"/>
    <s v="Olive Garden Gourmet"/>
    <n v="18.670000000000002"/>
    <n v="23.75"/>
    <n v="5.08"/>
    <n v="20.8"/>
    <n v="18.670000000000002"/>
    <n v="-2.129999999999999"/>
  </r>
  <r>
    <s v="TXN200603"/>
    <s v="CUST568"/>
    <s v="2025-10-23"/>
    <s v="Deposit"/>
    <x v="3"/>
    <s v="Stark Retail Labs"/>
    <n v="9261.5"/>
    <n v="11015.41"/>
    <n v="1753.91"/>
    <n v="10753.66"/>
    <n v="9261.5"/>
    <n v="-1492.1599999999999"/>
  </r>
  <r>
    <s v="TXN200604"/>
    <s v="CUST580"/>
    <s v="2025-12-18"/>
    <s v="Deposit"/>
    <x v="6"/>
    <s v="Amc Cinema Network"/>
    <n v="1041.8"/>
    <n v="1261.92"/>
    <n v="-44.182985074626863"/>
    <n v="1060.04"/>
    <n v="1306.102985074627"/>
    <n v="-18.240000000000009"/>
  </r>
  <r>
    <s v="TXN200605"/>
    <s v="CUST563"/>
    <s v="2025-08-22"/>
    <s v="Withdrawal"/>
    <x v="5"/>
    <s v="Zelle Payment Engine"/>
    <n v="777.87"/>
    <n v="936.7"/>
    <n v="-140.5"/>
    <n v="726.7"/>
    <n v="1077.2"/>
    <n v="51.169999999999959"/>
  </r>
  <r>
    <s v="TXN200606"/>
    <s v="CUST637"/>
    <s v="2025-12-24"/>
    <s v="Withdrawal"/>
    <x v="2"/>
    <s v="Supermart Marketplace"/>
    <n v="1065.3900000000001"/>
    <n v="1357.37"/>
    <n v="-203.61"/>
    <n v="1130.83"/>
    <n v="1560.98"/>
    <n v="-65.439999999999827"/>
  </r>
  <r>
    <s v="TXN200607"/>
    <s v="CUST539"/>
    <s v="2025-06-10"/>
    <s v="Deposit"/>
    <x v="5"/>
    <s v="Internal P2P Route"/>
    <n v="632.51"/>
    <n v="809.24"/>
    <n v="176.73"/>
    <n v="576.95000000000005"/>
    <n v="632.51"/>
    <n v="55.559999999999945"/>
  </r>
  <r>
    <s v="TXN200608"/>
    <s v="CUST598"/>
    <s v="2025-12-12"/>
    <s v="Deposit"/>
    <x v="6"/>
    <s v="Netflix Streaming Premium"/>
    <n v="226.44"/>
    <n v="308.77999999999997"/>
    <n v="82.34"/>
    <n v="221.4"/>
    <n v="226.43999999999997"/>
    <n v="5.039999999999992"/>
  </r>
  <r>
    <s v="TXN200609"/>
    <s v="CUST502"/>
    <s v="2025-11-22"/>
    <s v="Deposit"/>
    <x v="5"/>
    <s v="Internal P2P Route"/>
    <n v="19.260000000000002"/>
    <n v="24.99"/>
    <n v="5.73"/>
    <n v="17.440000000000001"/>
    <n v="19.259999999999998"/>
    <n v="1.8200000000000003"/>
  </r>
  <r>
    <s v="TXN200610"/>
    <s v="CUST585"/>
    <s v="2025-01-29"/>
    <s v="Deposit"/>
    <x v="5"/>
    <s v="Internal P2P Route"/>
    <n v="1152.27"/>
    <n v="1364.85"/>
    <n v="212.58"/>
    <n v="1363.66"/>
    <n v="1152.27"/>
    <n v="-211.3900000000001"/>
  </r>
  <r>
    <s v="TXN200611"/>
    <s v="CUST519"/>
    <s v="2025-07-02"/>
    <s v="Deposit"/>
    <x v="5"/>
    <s v="Zelle Payment Engine"/>
    <n v="1023.62"/>
    <n v="1324.44"/>
    <n v="300.82"/>
    <n v="1173.53"/>
    <n v="1023.6200000000001"/>
    <n v="-149.90999999999997"/>
  </r>
  <r>
    <s v="TXN200612"/>
    <s v="CUST565"/>
    <s v="2025-10-30"/>
    <s v="Withdrawal"/>
    <x v="3"/>
    <s v="Stark Retail Labs"/>
    <n v="6977.93"/>
    <n v="8814.48"/>
    <n v="-1322.17"/>
    <n v="7907.15"/>
    <n v="10136.65"/>
    <n v="-929.21999999999935"/>
  </r>
  <r>
    <s v="TXN200613"/>
    <s v="CUST538"/>
    <s v="2025-08-22"/>
    <s v="Deposit"/>
    <x v="0"/>
    <s v="City Power &amp; Gas Co"/>
    <n v="456.51"/>
    <n v="595.46"/>
    <n v="138.94999999999999"/>
    <n v="541.96"/>
    <n v="456.51000000000005"/>
    <n v="-85.450000000000045"/>
  </r>
  <r>
    <s v="TXN200614"/>
    <s v="CUST541"/>
    <s v="27/11/2025"/>
    <s v="Withdrawal"/>
    <x v="3"/>
    <s v="Techcorp Payroll Inc"/>
    <n v="7743.41"/>
    <n v="9319.61"/>
    <n v="-1397.94"/>
    <n v="9164.1"/>
    <n v="10717.550000000001"/>
    <n v="-1420.6900000000005"/>
  </r>
  <r>
    <s v="TXN200615"/>
    <s v="CUST650"/>
    <s v="2025-08-18"/>
    <s v="Deposit"/>
    <x v="1"/>
    <s v="Ebay International"/>
    <n v="67.23"/>
    <n v="90.88"/>
    <n v="23.65"/>
    <n v="69.959999999999994"/>
    <n v="67.22999999999999"/>
    <n v="-2.7299999999999898"/>
  </r>
  <r>
    <s v="TXN200616"/>
    <s v="CUST581"/>
    <s v="2025-09-27"/>
    <s v="Withdrawal"/>
    <x v="3"/>
    <s v="Techcorp Payroll Inc"/>
    <n v="4142.87"/>
    <n v="4800.0200000000004"/>
    <n v="-720"/>
    <n v="4874.88"/>
    <n v="5520.02"/>
    <n v="-732.01000000000022"/>
  </r>
  <r>
    <s v="TXN200617"/>
    <s v="CUST504"/>
    <s v="2025-11-17"/>
    <s v="Deposit"/>
    <x v="1"/>
    <s v="Amazon Digital Supply"/>
    <n v="934.89"/>
    <n v="1228.46"/>
    <n v="293.57"/>
    <n v="1066.33"/>
    <n v="934.8900000000001"/>
    <n v="-131.43999999999994"/>
  </r>
  <r>
    <s v="TXN200618"/>
    <s v="CUST609"/>
    <s v="2025-10-17"/>
    <s v="Withdrawal"/>
    <x v="3"/>
    <s v="Stark Retail Labs"/>
    <n v="5009.82"/>
    <n v="6897.12"/>
    <n v="-1034.57"/>
    <n v="5849.19"/>
    <n v="7931.69"/>
    <n v="-839.36999999999989"/>
  </r>
  <r>
    <s v="TXN200619"/>
    <s v="CUST576"/>
    <s v="2025-01-10"/>
    <s v="Deposit"/>
    <x v="0"/>
    <s v="City Power &amp; Gas Co"/>
    <n v="776.83"/>
    <n v="1030.3800000000001"/>
    <n v="253.55"/>
    <n v="822.84"/>
    <n v="776.83000000000015"/>
    <n v="-46.009999999999991"/>
  </r>
  <r>
    <s v="TXN200620"/>
    <s v="CUST570"/>
    <s v="2025-01-29"/>
    <s v="Withdrawal"/>
    <x v="2"/>
    <s v="Whole Foods Store"/>
    <n v="722.42"/>
    <n v="844.93"/>
    <n v="-126.74"/>
    <n v="787.81"/>
    <n v="971.67"/>
    <n v="-65.389999999999986"/>
  </r>
  <r>
    <s v="TXN200621"/>
    <s v="CUST629"/>
    <s v="2025-04-10"/>
    <s v="Withdrawal"/>
    <x v="5"/>
    <s v="Zelle Payment Engine"/>
    <n v="793.06"/>
    <n v="923.7"/>
    <n v="-138.56"/>
    <n v="906.75"/>
    <n v="1062.26"/>
    <n v="-113.69000000000005"/>
  </r>
  <r>
    <s v="TXN200622"/>
    <s v="CUST527"/>
    <s v="2025-01-05"/>
    <s v="Withdrawal"/>
    <x v="5"/>
    <s v="External Wire Clearance"/>
    <n v="873.6"/>
    <n v="1177.06"/>
    <n v="-176.56"/>
    <n v="1017.21"/>
    <n v="1353.62"/>
    <n v="-143.61000000000001"/>
  </r>
  <r>
    <s v="TXN200623"/>
    <s v="CUST631"/>
    <s v="2025-10-11"/>
    <s v="Withdrawal"/>
    <x v="1"/>
    <s v="Target Direct Online"/>
    <n v="91.64"/>
    <n v="127.55"/>
    <n v="-19.13"/>
    <n v="98.71"/>
    <n v="146.68"/>
    <n v="-7.0699999999999932"/>
  </r>
  <r>
    <s v="TXN200624"/>
    <s v="CUST588"/>
    <s v="2025-06-12"/>
    <s v="Deposit"/>
    <x v="6"/>
    <s v="Spotify Music Hub"/>
    <n v="142.74"/>
    <n v="187.58"/>
    <n v="44.84"/>
    <n v="149.19"/>
    <n v="142.74"/>
    <n v="-6.4499999999999886"/>
  </r>
  <r>
    <s v="TXN200625"/>
    <s v="CUST637"/>
    <s v="2025-04-15"/>
    <s v="Withdrawal"/>
    <x v="3"/>
    <s v="Stark Retail Labs"/>
    <n v="9176.48"/>
    <n v="11685.72"/>
    <n v="-1752.86"/>
    <n v="9761.39"/>
    <n v="13438.58"/>
    <n v="-584.90999999999985"/>
  </r>
  <r>
    <s v="TXN200626"/>
    <s v="CUST648"/>
    <s v="CORRUPT_DATE_FLAG"/>
    <s v="Deposit"/>
    <x v="5"/>
    <s v="External Wire Clearance"/>
    <n v="530.45000000000005"/>
    <n v="691.89"/>
    <n v="161.44"/>
    <n v="526.11"/>
    <n v="530.45000000000005"/>
    <n v="4.3400000000000318"/>
  </r>
  <r>
    <s v="TXN200627"/>
    <s v="CUST627"/>
    <s v="2025-02-06"/>
    <s v="Deposit"/>
    <x v="0"/>
    <s v="State Hydro Grid"/>
    <n v="665.01"/>
    <n v="771.7"/>
    <n v="106.69"/>
    <n v="634.47"/>
    <n v="665.01"/>
    <n v="30.539999999999964"/>
  </r>
  <r>
    <s v="TXN200628"/>
    <s v="CUST643"/>
    <s v="CORRUPT_DATE_FLAG"/>
    <s v="Deposit"/>
    <x v="5"/>
    <s v="Zelle Payment Engine"/>
    <n v="890.68"/>
    <n v="1028.73"/>
    <n v="138.05000000000001"/>
    <n v="948.55"/>
    <n v="890.68000000000006"/>
    <n v="-57.870000000000005"/>
  </r>
  <r>
    <s v="TXN200629"/>
    <s v="CUST645"/>
    <s v="2025-02-28"/>
    <s v="Withdrawal"/>
    <x v="4"/>
    <s v="Olive Garden Gourmet"/>
    <n v="539.80999999999995"/>
    <n v="626.61"/>
    <n v="-93.99"/>
    <n v="634.04"/>
    <n v="720.6"/>
    <n v="-94.230000000000018"/>
  </r>
  <r>
    <s v="TXN200630"/>
    <s v="CUST603"/>
    <s v="2025-07-03"/>
    <s v="Deposit"/>
    <x v="6"/>
    <s v="Spotify Music Hub"/>
    <n v="1219.4163333333336"/>
    <n v="136.33000000000001"/>
    <n v="36.33"/>
    <n v="110.15"/>
    <n v="100.00000000000001"/>
    <n v="1109.2663333333335"/>
  </r>
  <r>
    <s v="TXN200631"/>
    <s v="CUST554"/>
    <s v="2025-05-19"/>
    <s v="Withdrawal"/>
    <x v="6"/>
    <s v="Netflix Streaming Premium"/>
    <n v="118.51"/>
    <n v="138.79"/>
    <n v="-20.82"/>
    <n v="140.25"/>
    <n v="159.60999999999999"/>
    <n v="-21.739999999999995"/>
  </r>
  <r>
    <s v="TXN200632"/>
    <s v="CUST591"/>
    <s v="2025-03-22"/>
    <s v="Deposit"/>
    <x v="2"/>
    <s v="Fresh &amp; Fast Logistics"/>
    <n v="513.66999999999996"/>
    <n v="639.82000000000005"/>
    <n v="126.15"/>
    <n v="520.32000000000005"/>
    <n v="513.67000000000007"/>
    <n v="-6.6500000000000909"/>
  </r>
  <r>
    <s v="TXN200633"/>
    <s v="CUST624"/>
    <s v="2025-07-18"/>
    <s v="Withdrawal"/>
    <x v="3"/>
    <s v="Stark Retail Labs"/>
    <n v="9129.56"/>
    <n v="11411.99"/>
    <n v="-1711.8"/>
    <n v="9008.4699999999993"/>
    <n v="13123.789999999999"/>
    <n v="121.09000000000015"/>
  </r>
  <r>
    <s v="TXN200634"/>
    <s v="CUST571"/>
    <s v="2025-06-25"/>
    <s v="Withdrawal"/>
    <x v="0"/>
    <s v="State Hydro Grid"/>
    <n v="1136.8900000000001"/>
    <n v="1573.01"/>
    <n v="-235.95"/>
    <n v="1288.25"/>
    <n v="1808.96"/>
    <n v="-151.3599999999999"/>
  </r>
  <r>
    <s v="TXN200635"/>
    <s v="CUST587"/>
    <s v="30/05/2025"/>
    <s v="Withdrawal"/>
    <x v="2"/>
    <s v="Fresh &amp; Fast Logistics"/>
    <n v="249.69"/>
    <n v="299.13"/>
    <n v="-44.87"/>
    <n v="236.84"/>
    <n v="344"/>
    <n v="12.849999999999994"/>
  </r>
  <r>
    <s v="TXN200636"/>
    <s v="CUST580"/>
    <s v="2025-05-05"/>
    <s v="Deposit"/>
    <x v="4"/>
    <s v="Mcdonalds Corp Express"/>
    <n v="931.21"/>
    <n v="1295.3900000000001"/>
    <n v="364.18"/>
    <n v="1110.96"/>
    <n v="931.21"/>
    <n v="-179.75"/>
  </r>
  <r>
    <s v="TXN200637"/>
    <s v="CUST575"/>
    <s v="2025-03-23"/>
    <s v="Withdrawal"/>
    <x v="5"/>
    <s v="External Wire Clearance"/>
    <n v="1049.3699999999999"/>
    <n v="1271.43"/>
    <n v="-190.71"/>
    <n v="1135.07"/>
    <n v="1462.14"/>
    <n v="-85.700000000000045"/>
  </r>
  <r>
    <s v="TXN200638"/>
    <s v="CUST545"/>
    <s v="2025-10-09"/>
    <s v="Withdrawal"/>
    <x v="0"/>
    <s v="State Hydro Grid"/>
    <n v="326.66000000000003"/>
    <n v="425.76"/>
    <n v="-63.86"/>
    <n v="315.11"/>
    <n v="489.62"/>
    <n v="11.550000000000011"/>
  </r>
  <r>
    <s v="TXN200639"/>
    <s v="CUST546"/>
    <s v="2025-02-01"/>
    <s v="Withdrawal"/>
    <x v="0"/>
    <s v="City Power &amp; Gas Co"/>
    <n v="172.77"/>
    <n v="239.9"/>
    <n v="-35.979999999999997"/>
    <n v="182.56"/>
    <n v="275.88"/>
    <n v="-9.789999999999992"/>
  </r>
  <r>
    <s v="TXN200640"/>
    <s v="CUST620"/>
    <s v="2025-12-21"/>
    <s v="Withdrawal"/>
    <x v="1"/>
    <s v="Amazon Digital Supply"/>
    <n v="731.11"/>
    <n v="910.19"/>
    <n v="-136.53"/>
    <n v="673.09"/>
    <n v="1046.72"/>
    <n v="58.019999999999982"/>
  </r>
  <r>
    <s v="TXN200641"/>
    <s v="CUST535"/>
    <s v="2025-09-25"/>
    <s v="Withdrawal"/>
    <x v="1"/>
    <s v="Ebay International"/>
    <n v="1186.97"/>
    <n v="1425.43"/>
    <n v="-213.81"/>
    <n v="1095.98"/>
    <n v="1639.24"/>
    <n v="90.990000000000009"/>
  </r>
  <r>
    <s v="TXN200642"/>
    <s v="CUST537"/>
    <s v="2025-02-25"/>
    <s v="Withdrawal"/>
    <x v="4"/>
    <s v="Mcdonalds Corp Express"/>
    <n v="156.33000000000001"/>
    <n v="212.46"/>
    <n v="-31.87"/>
    <n v="146.91999999999999"/>
    <n v="244.33"/>
    <n v="9.410000000000025"/>
  </r>
  <r>
    <s v="TXN200643"/>
    <s v="CUST544"/>
    <s v="2025-07-03"/>
    <s v="Withdrawal"/>
    <x v="1"/>
    <s v="Ebay International"/>
    <n v="174.57"/>
    <n v="1420.2638235294123"/>
    <n v="-31.47"/>
    <n v="195.36"/>
    <n v="1451.7338235294123"/>
    <n v="-20.79000000000002"/>
  </r>
  <r>
    <s v="TXN200644"/>
    <s v="CUST586"/>
    <s v="2025-12-17"/>
    <s v="Withdrawal"/>
    <x v="5"/>
    <s v="Internal P2P Route"/>
    <n v="807.24"/>
    <n v="936.1"/>
    <n v="-140.41"/>
    <n v="894.76"/>
    <n v="1076.51"/>
    <n v="-87.519999999999982"/>
  </r>
  <r>
    <s v="TXN200645"/>
    <s v="CUST547"/>
    <s v="2025-03-13"/>
    <s v="Deposit"/>
    <x v="3"/>
    <s v="Techcorp Payroll Inc"/>
    <n v="7396.14"/>
    <n v="9590.48"/>
    <n v="2194.34"/>
    <n v="7846.66"/>
    <n v="7396.1399999999994"/>
    <n v="-450.51999999999953"/>
  </r>
  <r>
    <s v="TXN200646"/>
    <s v="CUST507"/>
    <s v="2025-07-18"/>
    <s v="Withdrawal"/>
    <x v="1"/>
    <s v="Amazon Digital Supply"/>
    <n v="375.1"/>
    <n v="464.87"/>
    <n v="-69.73"/>
    <n v="404.95"/>
    <n v="534.6"/>
    <n v="-29.849999999999966"/>
  </r>
  <r>
    <s v="TXN200647"/>
    <s v="CUST613"/>
    <s v="2025-03-08"/>
    <s v="Deposit"/>
    <x v="2"/>
    <s v="Supermart Marketplace"/>
    <n v="330.82"/>
    <n v="380.47"/>
    <n v="49.65"/>
    <n v="319.8"/>
    <n v="330.82000000000005"/>
    <n v="11.019999999999982"/>
  </r>
  <r>
    <s v="TXN200648"/>
    <s v="CUST591"/>
    <s v="2025-03-19"/>
    <s v="Withdrawal"/>
    <x v="1"/>
    <s v="Target Direct Online"/>
    <n v="590.08000000000004"/>
    <n v="1420.2638235294123"/>
    <n v="-122.48"/>
    <n v="598.16999999999996"/>
    <n v="1542.7438235294123"/>
    <n v="-8.0899999999999181"/>
  </r>
  <r>
    <s v="TXN200649"/>
    <s v="CUST617"/>
    <s v="2025-03-23"/>
    <s v="Withdrawal"/>
    <x v="2"/>
    <s v="Fresh &amp; Fast Logistics"/>
    <n v="266.72000000000003"/>
    <n v="344.01"/>
    <n v="-51.6"/>
    <n v="276.57"/>
    <n v="395.61"/>
    <n v="-9.8499999999999659"/>
  </r>
  <r>
    <s v="TXN200650"/>
    <s v="CUST642"/>
    <s v="2025-05-05"/>
    <s v="Deposit"/>
    <x v="6"/>
    <s v="Amc Cinema Network"/>
    <n v="986.99"/>
    <n v="1380.88"/>
    <n v="393.89"/>
    <n v="951.62"/>
    <n v="986.99000000000012"/>
    <n v="35.370000000000005"/>
  </r>
  <r>
    <s v="TXN200651"/>
    <s v="CUST558"/>
    <s v="2025-08-22"/>
    <s v="Withdrawal"/>
    <x v="2"/>
    <s v="Fresh &amp; Fast Logistics"/>
    <n v="419"/>
    <n v="546.62"/>
    <n v="-81.99"/>
    <n v="496.48"/>
    <n v="628.61"/>
    <n v="-77.480000000000018"/>
  </r>
  <r>
    <s v="TXN200652"/>
    <s v="CUST560"/>
    <s v="2025-02-03"/>
    <s v="Deposit"/>
    <x v="2"/>
    <s v="Whole Foods Store"/>
    <n v="132.04"/>
    <n v="162.93"/>
    <n v="30.89"/>
    <n v="156.08000000000001"/>
    <n v="132.04000000000002"/>
    <n v="-24.04000000000002"/>
  </r>
  <r>
    <s v="TXN200653"/>
    <s v="CUST502"/>
    <s v="2025-05-01"/>
    <s v="Withdrawal"/>
    <x v="6"/>
    <s v="Spotify Music Hub"/>
    <n v="958.44"/>
    <n v="1168.9100000000001"/>
    <n v="-175.34"/>
    <n v="1101.32"/>
    <n v="1344.25"/>
    <n v="-142.87999999999988"/>
  </r>
  <r>
    <s v="TXN200654"/>
    <s v="CUST542"/>
    <s v="2025-04-14"/>
    <s v="Withdrawal"/>
    <x v="1"/>
    <s v="Amazon Digital Supply"/>
    <n v="562.27"/>
    <n v="776.07"/>
    <n v="-116.41"/>
    <n v="604.57000000000005"/>
    <n v="892.48"/>
    <n v="-42.300000000000068"/>
  </r>
  <r>
    <s v="TXN200655"/>
    <s v="CUST649"/>
    <s v="2025-05-23"/>
    <s v="Deposit"/>
    <x v="1"/>
    <s v="Target Direct Online"/>
    <n v="958.59"/>
    <n v="1190.77"/>
    <n v="232.18"/>
    <n v="1040.32"/>
    <n v="958.58999999999992"/>
    <n v="-81.729999999999905"/>
  </r>
  <r>
    <s v="TXN200656"/>
    <s v="CUST590"/>
    <s v="2025-11-16"/>
    <s v="Withdrawal"/>
    <x v="6"/>
    <s v="Spotify Music Hub"/>
    <n v="170.52"/>
    <n v="212.2"/>
    <n v="-31.83"/>
    <n v="171.73"/>
    <n v="244.02999999999997"/>
    <n v="-1.2099999999999795"/>
  </r>
  <r>
    <s v="TXN200657"/>
    <s v="CUST638"/>
    <s v="2025-07-12"/>
    <s v="Withdrawal"/>
    <x v="6"/>
    <s v="Amc Cinema Network"/>
    <n v="637.37"/>
    <n v="766.91"/>
    <n v="-115.04"/>
    <n v="703.77"/>
    <n v="881.94999999999993"/>
    <n v="-66.399999999999977"/>
  </r>
  <r>
    <s v="TXN200658"/>
    <s v="CUST547"/>
    <s v="2026-01-01"/>
    <s v="Deposit"/>
    <x v="5"/>
    <s v="Zelle Payment Engine"/>
    <n v="673.97"/>
    <n v="777.62"/>
    <n v="103.65"/>
    <n v="770.2"/>
    <n v="673.97"/>
    <n v="-96.230000000000018"/>
  </r>
  <r>
    <s v="TXN200659"/>
    <s v="CUST638"/>
    <s v="2025-09-15"/>
    <s v="Deposit"/>
    <x v="3"/>
    <s v="Stark Retail Labs"/>
    <n v="8800.99"/>
    <n v="11935.15"/>
    <n v="3134.16"/>
    <n v="10518.06"/>
    <n v="8800.99"/>
    <n v="-1717.0699999999997"/>
  </r>
  <r>
    <s v="TXN200660"/>
    <s v="CUST602"/>
    <s v="2025-12-31"/>
    <s v="Deposit"/>
    <x v="5"/>
    <s v="External Wire Clearance"/>
    <n v="885.64"/>
    <n v="1037.3"/>
    <n v="151.66"/>
    <n v="1060.6199999999999"/>
    <n v="885.64"/>
    <n v="-174.9799999999999"/>
  </r>
  <r>
    <s v="TXN200661"/>
    <s v="CUST508"/>
    <s v="2025-09-19"/>
    <s v="Withdrawal"/>
    <x v="3"/>
    <s v="Global Industries Llc"/>
    <n v="9399.4599999999991"/>
    <n v="12793.44"/>
    <n v="-1919.02"/>
    <n v="9397.73"/>
    <n v="14712.460000000001"/>
    <n v="1.7299999999995634"/>
  </r>
  <r>
    <s v="TXN200662"/>
    <s v="CUST536"/>
    <s v="CORRUPT_DATE_FLAG"/>
    <s v="Withdrawal"/>
    <x v="2"/>
    <s v="Supermart Marketplace"/>
    <n v="103.75"/>
    <n v="128.12"/>
    <n v="-19.22"/>
    <n v="99.98"/>
    <n v="147.34"/>
    <n v="3.769999999999996"/>
  </r>
  <r>
    <s v="TXN200663"/>
    <s v="CUST509"/>
    <s v="2025-05-17"/>
    <s v="Withdrawal"/>
    <x v="5"/>
    <s v="Internal P2P Route"/>
    <n v="1103.56"/>
    <n v="1346.11"/>
    <n v="-201.92"/>
    <n v="1229.07"/>
    <n v="1548.03"/>
    <n v="-125.50999999999999"/>
  </r>
  <r>
    <s v="TXN200664"/>
    <s v="CUST513"/>
    <s v="2025-10-01"/>
    <s v="Withdrawal"/>
    <x v="3"/>
    <s v="Techcorp Payroll Inc"/>
    <n v="1219.4163333333336"/>
    <n v="128.1"/>
    <n v="-19.21"/>
    <n v="107.52"/>
    <n v="147.31"/>
    <n v="1111.8963333333336"/>
  </r>
  <r>
    <s v="TXN200665"/>
    <s v="CUST615"/>
    <s v="2025-08-02"/>
    <s v="Deposit"/>
    <x v="1"/>
    <s v="Target Direct Online"/>
    <n v="983.82"/>
    <n v="1150.77"/>
    <n v="166.95"/>
    <n v="1159.47"/>
    <n v="983.81999999999994"/>
    <n v="-175.64999999999998"/>
  </r>
  <r>
    <s v="TXN200666"/>
    <s v="CUST615"/>
    <s v="2025-03-03"/>
    <s v="Deposit"/>
    <x v="6"/>
    <s v="Netflix Streaming Premium"/>
    <n v="948.95"/>
    <n v="1179.94"/>
    <n v="230.99"/>
    <n v="1036.71"/>
    <n v="948.95"/>
    <n v="-87.759999999999991"/>
  </r>
  <r>
    <s v="TXN200667"/>
    <s v="CUST503"/>
    <s v="2025-04-13"/>
    <s v="Deposit"/>
    <x v="5"/>
    <s v="Internal P2P Route"/>
    <n v="886.96"/>
    <n v="1195.43"/>
    <n v="308.47000000000003"/>
    <n v="929.11"/>
    <n v="886.96"/>
    <n v="-42.149999999999977"/>
  </r>
  <r>
    <s v="TXN200668"/>
    <s v="CUST552"/>
    <s v="2025-04-09"/>
    <s v="Withdrawal"/>
    <x v="4"/>
    <s v="Mcdonalds Corp Express"/>
    <n v="627.86"/>
    <n v="1420.2638235294123"/>
    <n v="-124.63"/>
    <n v="591.42999999999995"/>
    <n v="1544.8938235294122"/>
    <n v="36.430000000000064"/>
  </r>
  <r>
    <s v="TXN200669"/>
    <s v="CUST507"/>
    <s v="2025-09-08"/>
    <s v="Deposit"/>
    <x v="3"/>
    <s v="Stark Retail Labs"/>
    <n v="8902.6"/>
    <n v="10770.09"/>
    <n v="1867.49"/>
    <n v="9339.5400000000009"/>
    <n v="8902.6"/>
    <n v="-436.94000000000051"/>
  </r>
  <r>
    <s v="TXN200670"/>
    <s v="CUST538"/>
    <s v="2025-10-08"/>
    <s v="Deposit"/>
    <x v="5"/>
    <s v="Internal P2P Route"/>
    <n v="386.03"/>
    <n v="507.57"/>
    <n v="121.54"/>
    <n v="349.72"/>
    <n v="386.03"/>
    <n v="36.309999999999945"/>
  </r>
  <r>
    <s v="TXN200671"/>
    <s v="CUST525"/>
    <s v="04/03/2025"/>
    <s v="Withdrawal"/>
    <x v="3"/>
    <s v="Global Industries Llc"/>
    <n v="7192.05"/>
    <n v="9626.34"/>
    <n v="-1443.95"/>
    <n v="7589.16"/>
    <n v="11070.29"/>
    <n v="-397.10999999999967"/>
  </r>
  <r>
    <s v="TXN200672"/>
    <s v="CUST641"/>
    <s v="2025-12-02"/>
    <s v="Deposit"/>
    <x v="3"/>
    <s v="Global Industries Llc"/>
    <n v="5700.87"/>
    <n v="7068.84"/>
    <n v="1367.97"/>
    <n v="5873.9"/>
    <n v="5700.87"/>
    <n v="-173.02999999999975"/>
  </r>
  <r>
    <s v="TXN200673"/>
    <s v="CUST543"/>
    <s v="2025-06-22"/>
    <s v="Withdrawal"/>
    <x v="6"/>
    <s v="Spotify Music Hub"/>
    <n v="612.13"/>
    <n v="760.54"/>
    <n v="-44.182985074626863"/>
    <n v="721.25"/>
    <n v="804.72298507462688"/>
    <n v="-109.12"/>
  </r>
  <r>
    <s v="TXN200674"/>
    <s v="CUST617"/>
    <s v="2025-04-06"/>
    <s v="Deposit"/>
    <x v="4"/>
    <s v="Olive Garden Gourmet"/>
    <n v="708"/>
    <n v="891.3"/>
    <n v="183.3"/>
    <n v="670.72"/>
    <n v="708"/>
    <n v="37.279999999999973"/>
  </r>
  <r>
    <s v="TXN200675"/>
    <s v="CUST610"/>
    <s v="2025-08-05"/>
    <s v="Deposit"/>
    <x v="1"/>
    <s v="Target Direct Online"/>
    <n v="1042.92"/>
    <n v="1370.83"/>
    <n v="327.91"/>
    <n v="1053.92"/>
    <n v="1042.9199999999998"/>
    <n v="-11"/>
  </r>
  <r>
    <s v="TXN200676"/>
    <s v="CUST522"/>
    <s v="2025-01-04"/>
    <s v="Deposit"/>
    <x v="4"/>
    <s v="Mcdonalds Corp Express"/>
    <n v="1219.4163333333336"/>
    <n v="1420.2638235294123"/>
    <n v="32.729999999999997"/>
    <n v="99.43"/>
    <n v="1387.5338235294123"/>
    <n v="1119.9863333333335"/>
  </r>
  <r>
    <s v="TXN200677"/>
    <s v="CUST646"/>
    <s v="2025-07-28"/>
    <s v="Deposit"/>
    <x v="3"/>
    <s v="Stark Retail Labs"/>
    <n v="8552.57"/>
    <n v="11274.01"/>
    <n v="2721.44"/>
    <n v="8836.7199999999993"/>
    <n v="8552.57"/>
    <n v="-284.14999999999964"/>
  </r>
  <r>
    <s v="TXN200678"/>
    <s v="CUST511"/>
    <s v="2025-08-29"/>
    <s v="Deposit"/>
    <x v="2"/>
    <s v="Fresh &amp; Fast Logistics"/>
    <n v="982.4"/>
    <n v="1370.96"/>
    <n v="388.56"/>
    <n v="939.09"/>
    <n v="982.40000000000009"/>
    <n v="43.309999999999945"/>
  </r>
  <r>
    <s v="TXN200679"/>
    <s v="CUST627"/>
    <s v="2025-12-24"/>
    <s v="Withdrawal"/>
    <x v="5"/>
    <s v="External Wire Clearance"/>
    <n v="632.35"/>
    <n v="829.59"/>
    <n v="-124.44"/>
    <n v="612.41999999999996"/>
    <n v="954.03"/>
    <n v="19.930000000000064"/>
  </r>
  <r>
    <s v="TXN200680"/>
    <s v="CUST602"/>
    <s v="2025-01-17"/>
    <s v="Deposit"/>
    <x v="1"/>
    <s v="Amazon Digital Supply"/>
    <n v="146.58000000000001"/>
    <n v="187.72"/>
    <n v="41.14"/>
    <n v="146.5"/>
    <n v="146.57999999999998"/>
    <n v="8.0000000000012506E-2"/>
  </r>
  <r>
    <s v="TXN200681"/>
    <s v="CUST551"/>
    <s v="2025-08-30"/>
    <s v="Deposit"/>
    <x v="1"/>
    <s v="Amazon Digital Supply"/>
    <n v="742.23"/>
    <n v="937.66"/>
    <n v="195.43"/>
    <n v="752.35"/>
    <n v="742.23"/>
    <n v="-10.120000000000005"/>
  </r>
  <r>
    <s v="TXN200682"/>
    <s v="CUST505"/>
    <s v="2025-11-04"/>
    <s v="Withdrawal"/>
    <x v="1"/>
    <s v="Target Direct Online"/>
    <n v="101.38"/>
    <n v="126.83"/>
    <n v="-19.02"/>
    <n v="92.68"/>
    <n v="145.85"/>
    <n v="8.6999999999999886"/>
  </r>
  <r>
    <s v="TXN200683"/>
    <s v="CUST614"/>
    <s v="2025-06-02"/>
    <s v="Withdrawal"/>
    <x v="1"/>
    <s v="Ebay International"/>
    <n v="791.79"/>
    <n v="1028.3"/>
    <n v="-154.24"/>
    <n v="722.26"/>
    <n v="1182.54"/>
    <n v="69.529999999999973"/>
  </r>
  <r>
    <s v="TXN200684"/>
    <s v="CUST533"/>
    <s v="CORRUPT_DATE_FLAG"/>
    <s v="Deposit"/>
    <x v="0"/>
    <s v="State Hydro Grid"/>
    <n v="550.41"/>
    <n v="664"/>
    <n v="113.59"/>
    <n v="559.41999999999996"/>
    <n v="550.41"/>
    <n v="-9.0099999999999909"/>
  </r>
  <r>
    <s v="TXN200685"/>
    <s v="CUST602"/>
    <s v="2025-04-07"/>
    <s v="Withdrawal"/>
    <x v="4"/>
    <s v="Mcdonalds Corp Express"/>
    <n v="1101.18"/>
    <n v="1441.18"/>
    <n v="-216.18"/>
    <n v="1206.1199999999999"/>
    <n v="1657.3600000000001"/>
    <n v="-104.93999999999983"/>
  </r>
  <r>
    <s v="TXN200686"/>
    <s v="CUST552"/>
    <s v="2025-07-17"/>
    <s v="Withdrawal"/>
    <x v="6"/>
    <s v="Amc Cinema Network"/>
    <n v="797.91"/>
    <n v="1029.44"/>
    <n v="-154.41999999999999"/>
    <n v="737.92"/>
    <n v="1183.8600000000001"/>
    <n v="59.990000000000009"/>
  </r>
  <r>
    <s v="TXN200687"/>
    <s v="CUST646"/>
    <s v="2025-02-07"/>
    <s v="Deposit"/>
    <x v="2"/>
    <s v="Fresh &amp; Fast Logistics"/>
    <n v="1141.99"/>
    <n v="1505.54"/>
    <n v="363.55"/>
    <n v="1131.8"/>
    <n v="1141.99"/>
    <n v="10.190000000000055"/>
  </r>
  <r>
    <s v="TXN200688"/>
    <s v="CUST534"/>
    <s v="2025-08-31"/>
    <s v="Deposit"/>
    <x v="4"/>
    <s v="Mcdonalds Corp Express"/>
    <n v="818.14"/>
    <n v="1082.93"/>
    <n v="264.79000000000002"/>
    <n v="811.91"/>
    <n v="818.1400000000001"/>
    <n v="6.2300000000000182"/>
  </r>
  <r>
    <s v="TXN200689"/>
    <s v="CUST556"/>
    <s v="2025-11-13"/>
    <s v="Withdrawal"/>
    <x v="1"/>
    <s v="Amazon Digital Supply"/>
    <n v="604.21"/>
    <n v="824.78"/>
    <n v="-123.72"/>
    <n v="650"/>
    <n v="948.5"/>
    <n v="-45.789999999999964"/>
  </r>
  <r>
    <s v="TXN200690"/>
    <s v="CUST612"/>
    <s v="2025-10-19"/>
    <s v="Withdrawal"/>
    <x v="0"/>
    <s v="State Hydro Grid"/>
    <n v="345.17"/>
    <n v="405.53"/>
    <n v="-60.83"/>
    <n v="399.52"/>
    <n v="466.35999999999996"/>
    <n v="-54.349999999999966"/>
  </r>
  <r>
    <s v="TXN200691"/>
    <s v="CUST632"/>
    <s v="2025-09-07"/>
    <s v="Withdrawal"/>
    <x v="0"/>
    <s v="City Power &amp; Gas Co"/>
    <n v="1102.79"/>
    <n v="1338.18"/>
    <n v="-200.73"/>
    <n v="1057.19"/>
    <n v="1538.91"/>
    <n v="45.599999999999909"/>
  </r>
  <r>
    <s v="TXN200692"/>
    <s v="CUST639"/>
    <s v="2025-08-31"/>
    <s v="Withdrawal"/>
    <x v="4"/>
    <s v="Olive Garden Gourmet"/>
    <n v="1219.4163333333336"/>
    <n v="136.28"/>
    <n v="-20.440000000000001"/>
    <n v="100.98"/>
    <n v="156.72"/>
    <n v="1118.4363333333336"/>
  </r>
  <r>
    <s v="TXN200693"/>
    <s v="CUST512"/>
    <s v="2025-01-26"/>
    <s v="Deposit"/>
    <x v="3"/>
    <s v="Global Industries Llc"/>
    <n v="7617.66"/>
    <n v="10024.84"/>
    <n v="2407.1799999999998"/>
    <n v="6870.57"/>
    <n v="7617.66"/>
    <n v="747.09000000000015"/>
  </r>
  <r>
    <s v="TXN200694"/>
    <s v="CUST519"/>
    <s v="2025-02-22"/>
    <s v="Deposit"/>
    <x v="5"/>
    <s v="Zelle Payment Engine"/>
    <n v="1219.4163333333336"/>
    <n v="118.25"/>
    <n v="18.25"/>
    <n v="106.17"/>
    <n v="100"/>
    <n v="1113.2463333333335"/>
  </r>
  <r>
    <s v="TXN200695"/>
    <s v="CUST572"/>
    <s v="2025-11-14"/>
    <s v="Deposit"/>
    <x v="2"/>
    <s v="Fresh &amp; Fast Logistics"/>
    <n v="268"/>
    <n v="372.32"/>
    <n v="104.32"/>
    <n v="299.27"/>
    <n v="268"/>
    <n v="-31.269999999999982"/>
  </r>
  <r>
    <s v="TXN200696"/>
    <s v="CUST611"/>
    <s v="2025-04-11"/>
    <s v="Withdrawal"/>
    <x v="3"/>
    <s v="Stark Retail Labs"/>
    <n v="6754.68"/>
    <n v="8977.35"/>
    <n v="-1346.6"/>
    <n v="6388.2"/>
    <n v="10323.950000000001"/>
    <n v="366.48000000000047"/>
  </r>
  <r>
    <s v="TXN200697"/>
    <s v="CUST648"/>
    <s v="2025-12-16"/>
    <s v="Deposit"/>
    <x v="5"/>
    <s v="External Wire Clearance"/>
    <n v="1164.58"/>
    <n v="1355.06"/>
    <n v="190.48"/>
    <n v="1332.47"/>
    <n v="1164.58"/>
    <n v="-167.8900000000001"/>
  </r>
  <r>
    <s v="TXN200698"/>
    <s v="CUST511"/>
    <s v="2025-07-09"/>
    <s v="Deposit"/>
    <x v="5"/>
    <s v="Internal P2P Route"/>
    <n v="51.09"/>
    <n v="66.86"/>
    <n v="15.77"/>
    <n v="55.92"/>
    <n v="51.09"/>
    <n v="-4.8299999999999983"/>
  </r>
  <r>
    <s v="TXN200699"/>
    <s v="CUST565"/>
    <s v="2025-07-21"/>
    <s v="Deposit"/>
    <x v="3"/>
    <s v="Techcorp Payroll Inc"/>
    <n v="4865.38"/>
    <n v="5786.93"/>
    <n v="921.55"/>
    <n v="5343.95"/>
    <n v="4865.38"/>
    <n v="-478.56999999999971"/>
  </r>
  <r>
    <s v="TXN200700"/>
    <s v="CUST531"/>
    <s v="2025-01-14"/>
    <s v="Deposit"/>
    <x v="1"/>
    <s v="Amazon Digital Supply"/>
    <n v="538.82000000000005"/>
    <n v="666.83"/>
    <n v="128.01"/>
    <n v="557.80999999999995"/>
    <n v="538.82000000000005"/>
    <n v="-18.989999999999895"/>
  </r>
  <r>
    <s v="TXN200701"/>
    <s v="CUST530"/>
    <s v="2025-06-05"/>
    <s v="Deposit"/>
    <x v="4"/>
    <s v="Mcdonalds Corp Express"/>
    <n v="78.19"/>
    <n v="105.63"/>
    <n v="27.44"/>
    <n v="87.2"/>
    <n v="78.19"/>
    <n v="-9.0100000000000051"/>
  </r>
  <r>
    <s v="TXN200702"/>
    <s v="CUST602"/>
    <s v="2025-07-12"/>
    <s v="Deposit"/>
    <x v="5"/>
    <s v="Zelle Payment Engine"/>
    <n v="170.17"/>
    <n v="202.07"/>
    <n v="31.9"/>
    <n v="202.48"/>
    <n v="170.17"/>
    <n v="-32.31"/>
  </r>
  <r>
    <s v="TXN200703"/>
    <s v="CUST561"/>
    <s v="2025-02-11"/>
    <s v="Deposit"/>
    <x v="6"/>
    <s v="Netflix Streaming Premium"/>
    <n v="150.4"/>
    <n v="177.27"/>
    <n v="-44.182985074626863"/>
    <n v="149.61000000000001"/>
    <n v="221.45298507462687"/>
    <n v="0.78999999999999204"/>
  </r>
  <r>
    <s v="TXN200704"/>
    <s v="CUST628"/>
    <s v="2025-12-11"/>
    <s v="Deposit"/>
    <x v="6"/>
    <s v="Spotify Music Hub"/>
    <n v="1048.78"/>
    <n v="1381.27"/>
    <n v="332.49"/>
    <n v="1227.21"/>
    <n v="1048.78"/>
    <n v="-178.43000000000006"/>
  </r>
  <r>
    <s v="TXN200705"/>
    <s v="CUST506"/>
    <s v="09/02/2025"/>
    <s v="Deposit"/>
    <x v="5"/>
    <s v="Internal P2P Route"/>
    <n v="517.53"/>
    <n v="700.14"/>
    <n v="182.61"/>
    <n v="509.77"/>
    <n v="517.53"/>
    <n v="7.7599999999999909"/>
  </r>
  <r>
    <s v="TXN200706"/>
    <s v="CUST590"/>
    <s v="2025-10-30"/>
    <s v="Deposit"/>
    <x v="3"/>
    <s v="Stark Retail Labs"/>
    <n v="7185.29"/>
    <n v="9089.2199999999993"/>
    <n v="1903.93"/>
    <n v="8160.34"/>
    <n v="7185.2899999999991"/>
    <n v="-975.05000000000018"/>
  </r>
  <r>
    <s v="TXN200707"/>
    <s v="CUST644"/>
    <s v="2025-05-21"/>
    <s v="Withdrawal"/>
    <x v="3"/>
    <s v="Global Industries Llc"/>
    <n v="7387.22"/>
    <n v="10184.200000000001"/>
    <n v="-1527.63"/>
    <n v="8599.67"/>
    <n v="11711.830000000002"/>
    <n v="-1212.4499999999998"/>
  </r>
  <r>
    <s v="TXN200708"/>
    <s v="CUST548"/>
    <s v="2025-07-29"/>
    <s v="Deposit"/>
    <x v="5"/>
    <s v="Internal P2P Route"/>
    <n v="725.97"/>
    <n v="1002.05"/>
    <n v="276.08"/>
    <n v="788.63"/>
    <n v="725.97"/>
    <n v="-62.659999999999968"/>
  </r>
  <r>
    <s v="TXN200709"/>
    <s v="CUST540"/>
    <s v="2025-10-29"/>
    <s v="Deposit"/>
    <x v="6"/>
    <s v="Spotify Music Hub"/>
    <n v="25.5"/>
    <n v="32.86"/>
    <n v="7.36"/>
    <n v="24.37"/>
    <n v="25.5"/>
    <n v="1.129999999999999"/>
  </r>
  <r>
    <s v="TXN200710"/>
    <s v="CUST552"/>
    <s v="2025-03-20"/>
    <s v="Deposit"/>
    <x v="0"/>
    <s v="State Hydro Grid"/>
    <n v="475.62"/>
    <n v="602.26"/>
    <n v="126.64"/>
    <n v="540.22"/>
    <n v="475.62"/>
    <n v="-64.600000000000023"/>
  </r>
  <r>
    <s v="TXN200711"/>
    <s v="CUST648"/>
    <s v="04/03/2025"/>
    <s v="Withdrawal"/>
    <x v="3"/>
    <s v="Global Industries Llc"/>
    <n v="7671.06"/>
    <n v="9042.6200000000008"/>
    <n v="-1356.39"/>
    <n v="7308.85"/>
    <n v="10399.01"/>
    <n v="362.21000000000004"/>
  </r>
  <r>
    <s v="TXN200712"/>
    <s v="CUST590"/>
    <s v="13/05/2025"/>
    <s v="Deposit"/>
    <x v="2"/>
    <s v="Whole Foods Store"/>
    <n v="1199.49"/>
    <n v="1624.56"/>
    <n v="425.07"/>
    <n v="1338.38"/>
    <n v="1199.49"/>
    <n v="-138.8900000000001"/>
  </r>
  <r>
    <s v="TXN200713"/>
    <s v="CUST612"/>
    <s v="2025-08-27"/>
    <s v="Deposit"/>
    <x v="4"/>
    <s v="Mcdonalds Corp Express"/>
    <n v="1099.07"/>
    <n v="1309.47"/>
    <n v="210.4"/>
    <n v="1200.94"/>
    <n v="1099.07"/>
    <n v="-101.87000000000012"/>
  </r>
  <r>
    <s v="TXN200714"/>
    <s v="CUST511"/>
    <s v="2025-04-19"/>
    <s v="Deposit"/>
    <x v="5"/>
    <s v="Zelle Payment Engine"/>
    <n v="189.9"/>
    <n v="241.15"/>
    <n v="51.25"/>
    <n v="212.14"/>
    <n v="189.9"/>
    <n v="-22.239999999999981"/>
  </r>
  <r>
    <s v="TXN200715"/>
    <s v="CUST507"/>
    <s v="2025-07-05"/>
    <s v="Withdrawal"/>
    <x v="4"/>
    <s v="Mcdonalds Corp Express"/>
    <n v="448.59"/>
    <n v="605.92999999999995"/>
    <n v="-90.89"/>
    <n v="408.69"/>
    <n v="696.81999999999994"/>
    <n v="39.899999999999977"/>
  </r>
  <r>
    <s v="TXN200716"/>
    <s v="CUST601"/>
    <s v="2025-06-05"/>
    <s v="Withdrawal"/>
    <x v="6"/>
    <s v="Amc Cinema Network"/>
    <n v="1025.72"/>
    <n v="1311.78"/>
    <n v="-196.77"/>
    <n v="987.23"/>
    <n v="1508.55"/>
    <n v="38.490000000000009"/>
  </r>
  <r>
    <s v="TXN200717"/>
    <s v="CUST595"/>
    <s v="2025-09-30"/>
    <s v="Deposit"/>
    <x v="1"/>
    <s v="Ebay International"/>
    <n v="89.32"/>
    <n v="117.39"/>
    <n v="28.07"/>
    <n v="99.68"/>
    <n v="89.32"/>
    <n v="-10.360000000000014"/>
  </r>
  <r>
    <s v="TXN200718"/>
    <s v="CUST529"/>
    <s v="2025-05-26"/>
    <s v="Withdrawal"/>
    <x v="3"/>
    <s v="Global Industries Llc"/>
    <n v="8226.59"/>
    <n v="11302.48"/>
    <n v="-1695.37"/>
    <n v="7732.52"/>
    <n v="12997.849999999999"/>
    <n v="494.06999999999971"/>
  </r>
  <r>
    <s v="TXN200719"/>
    <s v="CUST639"/>
    <s v="2025-04-23"/>
    <s v="Deposit"/>
    <x v="6"/>
    <s v="Spotify Music Hub"/>
    <n v="1045.1400000000001"/>
    <n v="1211.7"/>
    <n v="166.56"/>
    <n v="993.48"/>
    <n v="1045.1400000000001"/>
    <n v="51.660000000000082"/>
  </r>
  <r>
    <s v="TXN200720"/>
    <s v="CUST640"/>
    <s v="2025-12-18"/>
    <s v="Deposit"/>
    <x v="5"/>
    <s v="Zelle Payment Engine"/>
    <n v="334.54"/>
    <n v="408.56"/>
    <n v="74.02"/>
    <n v="371.69"/>
    <n v="334.54"/>
    <n v="-37.149999999999977"/>
  </r>
  <r>
    <s v="TXN200721"/>
    <s v="CUST591"/>
    <s v="2025-02-21"/>
    <s v="Deposit"/>
    <x v="5"/>
    <s v="Internal P2P Route"/>
    <n v="951.65"/>
    <n v="1130.45"/>
    <n v="178.8"/>
    <n v="1084.24"/>
    <n v="951.65000000000009"/>
    <n v="-132.59000000000003"/>
  </r>
  <r>
    <s v="TXN200722"/>
    <s v="CUST619"/>
    <s v="2025-02-25"/>
    <s v="Withdrawal"/>
    <x v="5"/>
    <s v="Internal P2P Route"/>
    <n v="536.76"/>
    <n v="651.04"/>
    <n v="-97.66"/>
    <n v="599.15"/>
    <n v="748.69999999999993"/>
    <n v="-62.389999999999986"/>
  </r>
  <r>
    <s v="TXN200723"/>
    <s v="CUST614"/>
    <s v="2025-08-29"/>
    <s v="Withdrawal"/>
    <x v="1"/>
    <s v="Ebay International"/>
    <n v="462.67"/>
    <n v="572.04"/>
    <n v="-85.81"/>
    <n v="520.80999999999995"/>
    <n v="657.84999999999991"/>
    <n v="-58.13999999999993"/>
  </r>
  <r>
    <s v="TXN200724"/>
    <s v="CUST527"/>
    <s v="2025-11-09"/>
    <s v="Withdrawal"/>
    <x v="2"/>
    <s v="Supermart Marketplace"/>
    <n v="141.55000000000001"/>
    <n v="172.97"/>
    <n v="-25.95"/>
    <n v="169.22"/>
    <n v="198.92"/>
    <n v="-27.669999999999987"/>
  </r>
  <r>
    <s v="TXN200725"/>
    <s v="CUST628"/>
    <s v="2025-10-29"/>
    <s v="Deposit"/>
    <x v="4"/>
    <s v="Starbucks Hub Cafe"/>
    <n v="1097.01"/>
    <n v="1396.27"/>
    <n v="299.26"/>
    <n v="1028.83"/>
    <n v="1097.01"/>
    <n v="68.180000000000064"/>
  </r>
  <r>
    <s v="TXN200726"/>
    <s v="CUST637"/>
    <s v="2025-11-17"/>
    <s v="Withdrawal"/>
    <x v="2"/>
    <s v="Fresh &amp; Fast Logistics"/>
    <n v="221.04"/>
    <n v="295.89999999999998"/>
    <n v="-44.38"/>
    <n v="253.37"/>
    <n v="340.28"/>
    <n v="-32.330000000000013"/>
  </r>
  <r>
    <s v="TXN200727"/>
    <s v="CUST561"/>
    <s v="2025-03-12"/>
    <s v="Deposit"/>
    <x v="6"/>
    <s v="Netflix Streaming Premium"/>
    <n v="1061.3399999999999"/>
    <n v="1335.62"/>
    <n v="274.27999999999997"/>
    <n v="1241.19"/>
    <n v="1061.3399999999999"/>
    <n v="-179.85000000000014"/>
  </r>
  <r>
    <s v="TXN200728"/>
    <s v="CUST545"/>
    <s v="2025-04-23"/>
    <s v="Deposit"/>
    <x v="4"/>
    <s v="Mcdonalds Corp Express"/>
    <n v="1030.05"/>
    <n v="1251.5999999999999"/>
    <n v="221.55"/>
    <n v="929.81"/>
    <n v="1030.05"/>
    <n v="100.24000000000001"/>
  </r>
  <r>
    <s v="TXN200729"/>
    <s v="CUST606"/>
    <s v="2025-12-26"/>
    <s v="Withdrawal"/>
    <x v="3"/>
    <s v="Techcorp Payroll Inc"/>
    <n v="7126.76"/>
    <n v="9415.5"/>
    <n v="-1412.33"/>
    <n v="7462.6"/>
    <n v="10827.83"/>
    <n v="-335.84000000000015"/>
  </r>
  <r>
    <s v="TXN200730"/>
    <s v="CUST558"/>
    <s v="2025-06-20"/>
    <s v="Withdrawal"/>
    <x v="6"/>
    <s v="Spotify Music Hub"/>
    <n v="1137.4100000000001"/>
    <n v="1412.34"/>
    <n v="-211.85"/>
    <n v="1249.3699999999999"/>
    <n v="1624.1899999999998"/>
    <n v="-111.95999999999981"/>
  </r>
  <r>
    <s v="TXN200731"/>
    <s v="CUST635"/>
    <s v="19/07/2025"/>
    <s v="Withdrawal"/>
    <x v="3"/>
    <s v="Techcorp Payroll Inc"/>
    <n v="7993.97"/>
    <n v="9967.5499999999993"/>
    <n v="-1495.13"/>
    <n v="8110.47"/>
    <n v="11462.68"/>
    <n v="-116.5"/>
  </r>
  <r>
    <s v="TXN200732"/>
    <s v="CUST570"/>
    <s v="CORRUPT_DATE_FLAG"/>
    <s v="Withdrawal"/>
    <x v="4"/>
    <s v="Mcdonalds Corp Express"/>
    <n v="519.76"/>
    <n v="1420.2638235294123"/>
    <n v="-108.24"/>
    <n v="598.35"/>
    <n v="1528.5038235294123"/>
    <n v="-78.590000000000032"/>
  </r>
  <r>
    <s v="TXN200733"/>
    <s v="CUST566"/>
    <s v="19/04/2025"/>
    <s v="Deposit"/>
    <x v="5"/>
    <s v="Internal P2P Route"/>
    <n v="991.56"/>
    <n v="1227.93"/>
    <n v="236.37"/>
    <n v="1119.07"/>
    <n v="991.56000000000006"/>
    <n v="-127.50999999999999"/>
  </r>
  <r>
    <s v="TXN200734"/>
    <s v="CUST506"/>
    <s v="2025-10-18"/>
    <s v="Deposit"/>
    <x v="4"/>
    <s v="Starbucks Hub Cafe"/>
    <n v="521.14"/>
    <n v="678.98"/>
    <n v="157.84"/>
    <n v="481.44"/>
    <n v="521.14"/>
    <n v="39.699999999999989"/>
  </r>
  <r>
    <s v="TXN200735"/>
    <s v="CUST518"/>
    <s v="2025-12-23"/>
    <s v="Deposit"/>
    <x v="5"/>
    <s v="Zelle Payment Engine"/>
    <n v="776.18"/>
    <n v="917.44"/>
    <n v="141.26"/>
    <n v="870.73"/>
    <n v="776.18000000000006"/>
    <n v="-94.550000000000068"/>
  </r>
  <r>
    <s v="TXN200736"/>
    <s v="CUST511"/>
    <s v="2025-05-17"/>
    <s v="Withdrawal"/>
    <x v="6"/>
    <s v="Amc Cinema Network"/>
    <n v="774.06"/>
    <n v="1065.95"/>
    <n v="-159.88999999999999"/>
    <n v="900.62"/>
    <n v="1225.8400000000001"/>
    <n v="-126.56000000000006"/>
  </r>
  <r>
    <s v="TXN200737"/>
    <s v="CUST525"/>
    <s v="2025-01-08"/>
    <s v="Deposit"/>
    <x v="5"/>
    <s v="Zelle Payment Engine"/>
    <n v="633.52"/>
    <n v="877.35"/>
    <n v="243.83"/>
    <n v="658.24"/>
    <n v="633.52"/>
    <n v="-24.720000000000027"/>
  </r>
  <r>
    <s v="TXN200738"/>
    <s v="CUST604"/>
    <s v="16/05/2025"/>
    <s v="Withdrawal"/>
    <x v="0"/>
    <s v="Metropolitan Water Sewer"/>
    <n v="886.02"/>
    <n v="1185.54"/>
    <n v="-177.83"/>
    <n v="1024.9100000000001"/>
    <n v="1363.37"/>
    <n v="-138.8900000000001"/>
  </r>
  <r>
    <s v="TXN200739"/>
    <s v="CUST597"/>
    <s v="05/06/2025"/>
    <s v="Withdrawal"/>
    <x v="0"/>
    <s v="City Power &amp; Gas Co"/>
    <n v="31.52"/>
    <n v="36.28"/>
    <n v="-5.44"/>
    <n v="35.5"/>
    <n v="41.72"/>
    <n v="-3.9800000000000004"/>
  </r>
  <r>
    <s v="TXN200740"/>
    <s v="CUST632"/>
    <s v="2025-08-12"/>
    <s v="Withdrawal"/>
    <x v="6"/>
    <s v="Spotify Music Hub"/>
    <n v="681.84"/>
    <n v="943.34"/>
    <n v="-141.5"/>
    <n v="687.67"/>
    <n v="1084.8400000000001"/>
    <n v="-5.8299999999999272"/>
  </r>
  <r>
    <s v="TXN200741"/>
    <s v="CUST533"/>
    <s v="2025-06-15"/>
    <s v="Deposit"/>
    <x v="4"/>
    <s v="Mcdonalds Corp Express"/>
    <n v="772.17"/>
    <n v="1079.7"/>
    <n v="307.52999999999997"/>
    <n v="918.13"/>
    <n v="772.17000000000007"/>
    <n v="-145.96000000000004"/>
  </r>
  <r>
    <s v="TXN200742"/>
    <s v="CUST524"/>
    <s v="2025-11-05"/>
    <s v="Withdrawal"/>
    <x v="3"/>
    <s v="Global Industries Llc"/>
    <n v="5588.41"/>
    <n v="7807.24"/>
    <n v="-1171.0899999999999"/>
    <n v="5972.88"/>
    <n v="8978.33"/>
    <n v="-384.47000000000025"/>
  </r>
  <r>
    <s v="TXN200743"/>
    <s v="CUST535"/>
    <s v="2025-01-06"/>
    <s v="Withdrawal"/>
    <x v="3"/>
    <s v="Stark Retail Labs"/>
    <n v="8396.69"/>
    <n v="9796.7800000000007"/>
    <n v="-1469.52"/>
    <n v="8391.9599999999991"/>
    <n v="11266.300000000001"/>
    <n v="4.7300000000013824"/>
  </r>
  <r>
    <s v="TXN200744"/>
    <s v="CUST508"/>
    <s v="2025-07-15"/>
    <s v="Deposit"/>
    <x v="3"/>
    <s v="Stark Retail Labs"/>
    <n v="4752.47"/>
    <n v="5517.98"/>
    <n v="765.51"/>
    <n v="4440.42"/>
    <n v="4752.4699999999993"/>
    <n v="312.05000000000018"/>
  </r>
  <r>
    <s v="TXN200745"/>
    <s v="CUST503"/>
    <s v="2025-09-19"/>
    <s v="Deposit"/>
    <x v="4"/>
    <s v="Mcdonalds Corp Express"/>
    <n v="96.12"/>
    <n v="113.46"/>
    <n v="17.34"/>
    <n v="103.99"/>
    <n v="96.11999999999999"/>
    <n v="-7.8699999999999903"/>
  </r>
  <r>
    <s v="TXN200746"/>
    <s v="CUST622"/>
    <s v="2025-05-31"/>
    <s v="Withdrawal"/>
    <x v="5"/>
    <s v="Zelle Payment Engine"/>
    <n v="663.02"/>
    <n v="845.66"/>
    <n v="-126.85"/>
    <n v="783.65"/>
    <n v="972.51"/>
    <n v="-120.63"/>
  </r>
  <r>
    <s v="TXN200747"/>
    <s v="CUST578"/>
    <s v="2025-03-30"/>
    <s v="Withdrawal"/>
    <x v="2"/>
    <s v="Fresh &amp; Fast Logistics"/>
    <n v="1143.03"/>
    <n v="1584.56"/>
    <n v="-237.68"/>
    <n v="1058.57"/>
    <n v="1822.24"/>
    <n v="84.460000000000036"/>
  </r>
  <r>
    <s v="TXN200748"/>
    <s v="CUST538"/>
    <s v="2025-05-28"/>
    <s v="Deposit"/>
    <x v="2"/>
    <s v="Whole Foods Store"/>
    <n v="701.64"/>
    <n v="861.69"/>
    <n v="160.05000000000001"/>
    <n v="640.21"/>
    <n v="701.6400000000001"/>
    <n v="61.42999999999995"/>
  </r>
  <r>
    <s v="TXN200749"/>
    <s v="CUST621"/>
    <s v="2025-10-06"/>
    <s v="Withdrawal"/>
    <x v="3"/>
    <s v="Global Industries Llc"/>
    <n v="8738.9699999999993"/>
    <n v="10411.280000000001"/>
    <n v="-1561.69"/>
    <n v="8454.6"/>
    <n v="11972.970000000001"/>
    <n v="284.36999999999898"/>
  </r>
  <r>
    <s v="TXN200750"/>
    <s v="CUST534"/>
    <s v="2025-06-01"/>
    <s v="Withdrawal"/>
    <x v="6"/>
    <s v="Amc Cinema Network"/>
    <n v="287.63"/>
    <n v="356.68"/>
    <n v="-53.5"/>
    <n v="332.27"/>
    <n v="410.18"/>
    <n v="-44.639999999999986"/>
  </r>
  <r>
    <s v="TXN200751"/>
    <s v="CUST504"/>
    <s v="2025-04-25"/>
    <s v="Deposit"/>
    <x v="0"/>
    <s v="State Hydro Grid"/>
    <n v="247.3"/>
    <n v="343.5"/>
    <n v="96.2"/>
    <n v="257.77999999999997"/>
    <n v="247.3"/>
    <n v="-10.479999999999961"/>
  </r>
  <r>
    <s v="TXN200752"/>
    <s v="CUST523"/>
    <s v="22/11/2025"/>
    <s v="Withdrawal"/>
    <x v="6"/>
    <s v="Amc Cinema Network"/>
    <n v="122.71"/>
    <n v="161.27000000000001"/>
    <n v="-24.19"/>
    <n v="128.69999999999999"/>
    <n v="185.46"/>
    <n v="-5.9899999999999949"/>
  </r>
  <r>
    <s v="TXN200753"/>
    <s v="CUST648"/>
    <s v="2025-08-12"/>
    <s v="Deposit"/>
    <x v="5"/>
    <s v="Internal P2P Route"/>
    <n v="437.27"/>
    <n v="596.45000000000005"/>
    <n v="159.18"/>
    <n v="485.61"/>
    <n v="437.27000000000004"/>
    <n v="-48.340000000000032"/>
  </r>
  <r>
    <s v="TXN200754"/>
    <s v="CUST614"/>
    <s v="2025-07-09"/>
    <s v="Withdrawal"/>
    <x v="1"/>
    <s v="Target Direct Online"/>
    <n v="275.64"/>
    <n v="363.16"/>
    <n v="-54.47"/>
    <n v="323.47000000000003"/>
    <n v="417.63"/>
    <n v="-47.830000000000041"/>
  </r>
  <r>
    <s v="TXN200755"/>
    <s v="CUST636"/>
    <s v="2025-03-18"/>
    <s v="Deposit"/>
    <x v="1"/>
    <s v="Ebay International"/>
    <n v="310.83"/>
    <n v="401.51"/>
    <n v="90.68"/>
    <n v="285.01"/>
    <n v="310.83"/>
    <n v="25.819999999999993"/>
  </r>
  <r>
    <s v="TXN200756"/>
    <s v="CUST508"/>
    <s v="2025-09-08"/>
    <s v="Withdrawal"/>
    <x v="1"/>
    <s v="Ebay International"/>
    <n v="720.85"/>
    <n v="913.83"/>
    <n v="-137.07"/>
    <n v="846.48"/>
    <n v="1050.9000000000001"/>
    <n v="-125.63"/>
  </r>
  <r>
    <s v="TXN200757"/>
    <s v="CUST642"/>
    <s v="2025-11-01"/>
    <s v="Deposit"/>
    <x v="4"/>
    <s v="Mcdonalds Corp Express"/>
    <n v="1096.77"/>
    <n v="1429.62"/>
    <n v="332.85"/>
    <n v="1227.56"/>
    <n v="1096.77"/>
    <n v="-130.78999999999996"/>
  </r>
  <r>
    <s v="TXN200758"/>
    <s v="CUST583"/>
    <s v="2025-10-18"/>
    <s v="Deposit"/>
    <x v="3"/>
    <s v="Global Industries Llc"/>
    <n v="4772.3"/>
    <n v="5793.07"/>
    <n v="1020.77"/>
    <n v="4887.54"/>
    <n v="4772.2999999999993"/>
    <n v="-115.23999999999978"/>
  </r>
  <r>
    <s v="TXN200759"/>
    <s v="CUST573"/>
    <s v="2025-02-21"/>
    <s v="Withdrawal"/>
    <x v="3"/>
    <s v="Global Industries Llc"/>
    <n v="9078.89"/>
    <n v="11209.19"/>
    <n v="-1681.38"/>
    <n v="8402.44"/>
    <n v="12890.57"/>
    <n v="676.44999999999891"/>
  </r>
  <r>
    <s v="TXN200760"/>
    <s v="CUST629"/>
    <s v="2025-09-19"/>
    <s v="Deposit"/>
    <x v="3"/>
    <s v="Global Industries Llc"/>
    <n v="7465.09"/>
    <n v="9416.61"/>
    <n v="1951.52"/>
    <n v="7655.35"/>
    <n v="7465.09"/>
    <n v="-190.26000000000022"/>
  </r>
  <r>
    <s v="TXN200761"/>
    <s v="CUST535"/>
    <s v="2025-06-14"/>
    <s v="Withdrawal"/>
    <x v="3"/>
    <s v="Stark Retail Labs"/>
    <n v="9108.4699999999993"/>
    <n v="12233.73"/>
    <n v="-1835.06"/>
    <n v="9051.41"/>
    <n v="14068.789999999999"/>
    <n v="57.059999999999491"/>
  </r>
  <r>
    <s v="TXN200762"/>
    <s v="CUST534"/>
    <s v="2025-05-11"/>
    <s v="Deposit"/>
    <x v="5"/>
    <s v="Internal P2P Route"/>
    <n v="532.88"/>
    <n v="674.88"/>
    <n v="-44.182985074626863"/>
    <n v="545.34"/>
    <n v="719.06298507462691"/>
    <n v="-12.460000000000036"/>
  </r>
  <r>
    <s v="TXN200763"/>
    <s v="CUST514"/>
    <s v="2025-08-21"/>
    <s v="Withdrawal"/>
    <x v="6"/>
    <s v="Spotify Music Hub"/>
    <n v="857.28"/>
    <n v="1185.95"/>
    <n v="-177.89"/>
    <n v="786.19"/>
    <n v="1363.8400000000001"/>
    <n v="71.089999999999918"/>
  </r>
  <r>
    <s v="TXN200764"/>
    <s v="CUST609"/>
    <s v="2025-08-02"/>
    <s v="Deposit"/>
    <x v="1"/>
    <s v="Ebay International"/>
    <n v="511.41"/>
    <n v="638.79999999999995"/>
    <n v="127.39"/>
    <n v="583.58000000000004"/>
    <n v="511.40999999999997"/>
    <n v="-72.170000000000016"/>
  </r>
  <r>
    <s v="TXN200765"/>
    <s v="CUST540"/>
    <s v="2025-10-13"/>
    <s v="Withdrawal"/>
    <x v="3"/>
    <s v="Techcorp Payroll Inc"/>
    <n v="1219.4163333333336"/>
    <n v="139.35"/>
    <n v="-20.9"/>
    <n v="109.91"/>
    <n v="160.25"/>
    <n v="1109.5063333333335"/>
  </r>
  <r>
    <s v="TXN200766"/>
    <s v="CUST625"/>
    <s v="2025-10-27"/>
    <s v="Withdrawal"/>
    <x v="2"/>
    <s v="Fresh &amp; Fast Logistics"/>
    <n v="696.94"/>
    <n v="922.83"/>
    <n v="-138.41999999999999"/>
    <n v="742.88"/>
    <n v="1061.25"/>
    <n v="-45.939999999999941"/>
  </r>
  <r>
    <s v="TXN200767"/>
    <s v="CUST617"/>
    <s v="2025-02-19"/>
    <s v="Deposit"/>
    <x v="3"/>
    <s v="Techcorp Payroll Inc"/>
    <n v="4770.2700000000004"/>
    <n v="6020.42"/>
    <n v="1250.1500000000001"/>
    <n v="4694.2"/>
    <n v="4770.2700000000004"/>
    <n v="76.070000000000618"/>
  </r>
  <r>
    <s v="TXN200768"/>
    <s v="CUST632"/>
    <s v="2025-07-30"/>
    <s v="Deposit"/>
    <x v="4"/>
    <s v="Mcdonalds Corp Express"/>
    <n v="124.84"/>
    <n v="173.83"/>
    <n v="48.99"/>
    <n v="122.98"/>
    <n v="124.84"/>
    <n v="1.8599999999999994"/>
  </r>
  <r>
    <s v="TXN200769"/>
    <s v="CUST538"/>
    <s v="2025-03-19"/>
    <s v="Withdrawal"/>
    <x v="6"/>
    <s v="Netflix Streaming Premium"/>
    <n v="38.75"/>
    <n v="45.39"/>
    <n v="-6.81"/>
    <n v="35.270000000000003"/>
    <n v="52.2"/>
    <n v="3.4799999999999969"/>
  </r>
  <r>
    <s v="TXN200770"/>
    <s v="CUST544"/>
    <s v="2025-02-20"/>
    <s v="Withdrawal"/>
    <x v="1"/>
    <s v="Target Direct Online"/>
    <n v="315.74"/>
    <n v="394.67"/>
    <n v="-59.2"/>
    <n v="340.15"/>
    <n v="453.87"/>
    <n v="-24.409999999999968"/>
  </r>
  <r>
    <s v="TXN200771"/>
    <s v="CUST508"/>
    <s v="2025-07-06"/>
    <s v="Deposit"/>
    <x v="2"/>
    <s v="Supermart Marketplace"/>
    <n v="15.32"/>
    <n v="19.11"/>
    <n v="3.79"/>
    <n v="17.899999999999999"/>
    <n v="15.32"/>
    <n v="-2.5799999999999983"/>
  </r>
  <r>
    <s v="TXN200772"/>
    <s v="CUST565"/>
    <s v="2025-05-24"/>
    <s v="Deposit"/>
    <x v="2"/>
    <s v="Supermart Marketplace"/>
    <n v="1086.8800000000001"/>
    <n v="1287.97"/>
    <n v="201.09"/>
    <n v="1151.3900000000001"/>
    <n v="1086.8800000000001"/>
    <n v="-64.509999999999991"/>
  </r>
  <r>
    <s v="TXN200773"/>
    <s v="CUST640"/>
    <s v="2025-04-29"/>
    <s v="Withdrawal"/>
    <x v="4"/>
    <s v="Olive Garden Gourmet"/>
    <n v="206.11"/>
    <n v="238.62"/>
    <n v="-35.79"/>
    <n v="201.44"/>
    <n v="274.41000000000003"/>
    <n v="4.6700000000000159"/>
  </r>
  <r>
    <s v="TXN200774"/>
    <s v="CUST596"/>
    <s v="2025-10-12"/>
    <s v="Withdrawal"/>
    <x v="6"/>
    <s v="Netflix Streaming Premium"/>
    <n v="661.57"/>
    <n v="883.6"/>
    <n v="-132.54"/>
    <n v="766.69"/>
    <n v="1016.14"/>
    <n v="-105.12"/>
  </r>
  <r>
    <s v="TXN200775"/>
    <s v="CUST621"/>
    <s v="2025-10-22"/>
    <s v="Deposit"/>
    <x v="5"/>
    <s v="Internal P2P Route"/>
    <n v="928.98"/>
    <n v="1263.72"/>
    <n v="334.74"/>
    <n v="1026.82"/>
    <n v="928.98"/>
    <n v="-97.8399999999999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102C17-34BB-49DE-BD0D-073ECB4BBA4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4:J12" firstHeaderRow="1" firstDataRow="1" firstDataCol="1"/>
  <pivotFields count="11">
    <pivotField axis="axisRow" showAll="0">
      <items count="7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t="default"/>
      </items>
    </pivotField>
    <pivotField showAll="0"/>
    <pivotField showAll="0"/>
    <pivotField showAll="0"/>
    <pivotField axis="axisRow" showAll="0">
      <items count="8">
        <item sd="0" x="4"/>
        <item sd="0" x="6"/>
        <item sd="0" x="2"/>
        <item sd="0" x="1"/>
        <item sd="0" x="3"/>
        <item sd="0" x="5"/>
        <item sd="0" x="0"/>
        <item t="default"/>
      </items>
    </pivotField>
    <pivotField axis="axisRow" showAll="0">
      <items count="22">
        <item sd="0" x="1"/>
        <item sd="0" x="16"/>
        <item sd="0" x="20"/>
        <item sd="0" x="15"/>
        <item sd="0" x="17"/>
        <item sd="0" x="13"/>
        <item sd="0" x="3"/>
        <item sd="0" x="6"/>
        <item sd="0" x="5"/>
        <item sd="0" x="18"/>
        <item sd="0" x="12"/>
        <item sd="0" x="9"/>
        <item sd="0" x="11"/>
        <item sd="0" x="19"/>
        <item sd="0" x="8"/>
        <item sd="0" x="0"/>
        <item sd="0" x="2"/>
        <item sd="0" x="14"/>
        <item sd="0" x="7"/>
        <item sd="0" x="4"/>
        <item sd="0" x="10"/>
        <item t="default" sd="0"/>
      </items>
    </pivotField>
    <pivotField showAll="0"/>
    <pivotField dataField="1" showAll="0"/>
    <pivotField showAll="0"/>
    <pivotField showAll="0"/>
    <pivotField showAll="0"/>
  </pivotFields>
  <rowFields count="3">
    <field x="4"/>
    <field x="5"/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3EE528-2A63-42E4-B719-03EB524BA4D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D19" firstHeaderRow="0" firstDataRow="1" firstDataCol="1"/>
  <pivotFields count="11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8" baseField="0" baseItem="0"/>
    <dataField name="Sum of Revenue" fld="7" baseField="0" baseItem="0"/>
    <dataField name="Sum of cos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F95601-6D1B-4F47-A9B3-BD8B7A553D9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F12" firstHeaderRow="0" firstDataRow="1" firstDataCol="1" rowPageCount="1" colPageCount="1"/>
  <pivotFields count="11">
    <pivotField showAll="0"/>
    <pivotField axis="axisPage" multipleItemSelectionAllowed="1" showAll="0">
      <items count="151">
        <item x="109"/>
        <item x="6"/>
        <item x="101"/>
        <item x="18"/>
        <item x="90"/>
        <item x="125"/>
        <item x="100"/>
        <item x="115"/>
        <item x="141"/>
        <item x="75"/>
        <item x="144"/>
        <item x="23"/>
        <item x="71"/>
        <item x="11"/>
        <item x="15"/>
        <item x="54"/>
        <item x="26"/>
        <item x="104"/>
        <item x="58"/>
        <item x="27"/>
        <item x="38"/>
        <item x="89"/>
        <item x="28"/>
        <item x="19"/>
        <item x="140"/>
        <item x="105"/>
        <item x="77"/>
        <item x="51"/>
        <item x="46"/>
        <item x="85"/>
        <item x="65"/>
        <item x="120"/>
        <item x="106"/>
        <item x="108"/>
        <item x="35"/>
        <item x="66"/>
        <item x="62"/>
        <item x="31"/>
        <item x="5"/>
        <item x="80"/>
        <item x="29"/>
        <item x="132"/>
        <item x="20"/>
        <item x="41"/>
        <item x="95"/>
        <item x="50"/>
        <item x="47"/>
        <item x="24"/>
        <item x="21"/>
        <item x="17"/>
        <item x="57"/>
        <item x="12"/>
        <item x="145"/>
        <item x="137"/>
        <item x="1"/>
        <item x="136"/>
        <item x="116"/>
        <item x="138"/>
        <item x="74"/>
        <item x="93"/>
        <item x="112"/>
        <item x="2"/>
        <item x="70"/>
        <item x="43"/>
        <item x="86"/>
        <item x="129"/>
        <item x="110"/>
        <item x="16"/>
        <item x="3"/>
        <item x="10"/>
        <item x="103"/>
        <item x="9"/>
        <item x="82"/>
        <item x="52"/>
        <item x="88"/>
        <item x="102"/>
        <item x="98"/>
        <item x="13"/>
        <item x="33"/>
        <item x="134"/>
        <item x="131"/>
        <item x="142"/>
        <item x="30"/>
        <item x="8"/>
        <item x="114"/>
        <item x="94"/>
        <item x="49"/>
        <item x="61"/>
        <item x="4"/>
        <item x="133"/>
        <item x="148"/>
        <item x="81"/>
        <item x="117"/>
        <item x="118"/>
        <item x="22"/>
        <item x="92"/>
        <item x="87"/>
        <item x="84"/>
        <item x="91"/>
        <item x="96"/>
        <item x="56"/>
        <item x="45"/>
        <item x="39"/>
        <item x="68"/>
        <item x="97"/>
        <item x="53"/>
        <item x="36"/>
        <item x="111"/>
        <item x="32"/>
        <item x="135"/>
        <item x="121"/>
        <item x="37"/>
        <item x="14"/>
        <item x="44"/>
        <item x="69"/>
        <item x="124"/>
        <item x="64"/>
        <item x="7"/>
        <item x="55"/>
        <item x="149"/>
        <item x="143"/>
        <item x="83"/>
        <item x="48"/>
        <item x="63"/>
        <item x="60"/>
        <item x="25"/>
        <item x="79"/>
        <item x="126"/>
        <item x="146"/>
        <item x="119"/>
        <item x="76"/>
        <item x="73"/>
        <item x="67"/>
        <item x="42"/>
        <item x="40"/>
        <item x="34"/>
        <item x="147"/>
        <item x="122"/>
        <item x="113"/>
        <item x="123"/>
        <item x="59"/>
        <item x="107"/>
        <item x="72"/>
        <item x="139"/>
        <item x="127"/>
        <item x="99"/>
        <item x="78"/>
        <item x="130"/>
        <item x="0"/>
        <item x="128"/>
        <item t="default"/>
      </items>
    </pivotField>
    <pivotField showAll="0"/>
    <pivotField showAll="0">
      <items count="3">
        <item x="1"/>
        <item x="0"/>
        <item t="default"/>
      </items>
    </pivotField>
    <pivotField axis="axisRow" showAll="0">
      <items count="8">
        <item x="4"/>
        <item x="6"/>
        <item x="2"/>
        <item x="1"/>
        <item x="3"/>
        <item x="5"/>
        <item x="0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Sum of Sales" fld="6" baseField="0" baseItem="0"/>
    <dataField name="Sum of Revenue" fld="7" baseField="0" baseItem="0"/>
    <dataField name="Sum of Profit" fld="8" baseField="0" baseItem="0"/>
    <dataField name="Sum of cost" fld="10" baseField="0" baseItem="0"/>
    <dataField name="Sum of Sales Projection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E07F9F-0374-4E75-AB55-66832F1E9641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G32:H40" firstHeaderRow="1" firstDataRow="1" firstDataCol="1"/>
  <pivotFields count="11">
    <pivotField showAll="0"/>
    <pivotField showAll="0">
      <items count="151">
        <item x="109"/>
        <item x="6"/>
        <item x="101"/>
        <item x="18"/>
        <item x="90"/>
        <item x="125"/>
        <item x="100"/>
        <item x="115"/>
        <item x="141"/>
        <item x="75"/>
        <item x="144"/>
        <item x="23"/>
        <item x="71"/>
        <item x="11"/>
        <item x="15"/>
        <item x="54"/>
        <item x="26"/>
        <item x="104"/>
        <item x="58"/>
        <item x="27"/>
        <item x="38"/>
        <item x="89"/>
        <item x="28"/>
        <item x="19"/>
        <item x="140"/>
        <item x="105"/>
        <item x="77"/>
        <item x="51"/>
        <item x="46"/>
        <item x="85"/>
        <item x="65"/>
        <item x="120"/>
        <item x="106"/>
        <item x="108"/>
        <item x="35"/>
        <item x="66"/>
        <item x="62"/>
        <item x="31"/>
        <item x="5"/>
        <item x="80"/>
        <item x="29"/>
        <item x="132"/>
        <item x="20"/>
        <item x="41"/>
        <item x="95"/>
        <item x="50"/>
        <item x="47"/>
        <item x="24"/>
        <item x="21"/>
        <item x="17"/>
        <item x="57"/>
        <item x="12"/>
        <item x="145"/>
        <item x="137"/>
        <item x="1"/>
        <item x="136"/>
        <item x="116"/>
        <item x="138"/>
        <item x="74"/>
        <item x="93"/>
        <item x="112"/>
        <item x="2"/>
        <item x="70"/>
        <item x="43"/>
        <item x="86"/>
        <item x="129"/>
        <item x="110"/>
        <item x="16"/>
        <item x="3"/>
        <item x="10"/>
        <item x="103"/>
        <item x="9"/>
        <item x="82"/>
        <item x="52"/>
        <item x="88"/>
        <item x="102"/>
        <item x="98"/>
        <item x="13"/>
        <item x="33"/>
        <item x="134"/>
        <item x="131"/>
        <item x="142"/>
        <item x="30"/>
        <item x="8"/>
        <item x="114"/>
        <item x="94"/>
        <item x="49"/>
        <item x="61"/>
        <item x="4"/>
        <item x="133"/>
        <item x="148"/>
        <item x="81"/>
        <item x="117"/>
        <item x="118"/>
        <item x="22"/>
        <item x="92"/>
        <item x="87"/>
        <item x="84"/>
        <item x="91"/>
        <item x="96"/>
        <item x="56"/>
        <item x="45"/>
        <item x="39"/>
        <item x="68"/>
        <item x="97"/>
        <item x="53"/>
        <item x="36"/>
        <item x="111"/>
        <item x="32"/>
        <item x="135"/>
        <item x="121"/>
        <item x="37"/>
        <item x="14"/>
        <item x="44"/>
        <item x="69"/>
        <item x="124"/>
        <item x="64"/>
        <item x="7"/>
        <item x="55"/>
        <item x="149"/>
        <item x="143"/>
        <item x="83"/>
        <item x="48"/>
        <item x="63"/>
        <item x="60"/>
        <item x="25"/>
        <item x="79"/>
        <item x="126"/>
        <item x="146"/>
        <item x="119"/>
        <item x="76"/>
        <item x="73"/>
        <item x="67"/>
        <item x="42"/>
        <item x="40"/>
        <item x="34"/>
        <item x="147"/>
        <item x="122"/>
        <item x="113"/>
        <item x="123"/>
        <item x="59"/>
        <item x="107"/>
        <item x="72"/>
        <item x="139"/>
        <item x="127"/>
        <item x="99"/>
        <item x="78"/>
        <item x="130"/>
        <item x="0"/>
        <item x="128"/>
        <item t="default"/>
      </items>
    </pivotField>
    <pivotField showAll="0"/>
    <pivotField showAll="0"/>
    <pivotField axis="axisRow" showAll="0">
      <items count="8">
        <item x="4"/>
        <item x="6"/>
        <item x="2"/>
        <item x="1"/>
        <item x="3"/>
        <item x="5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7" baseField="0" baseItem="0"/>
  </dataFields>
  <formats count="12"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4" type="button" dataOnly="0" labelOnly="1" outline="0" axis="axisRow" fieldPosition="0"/>
    </format>
    <format dxfId="66">
      <pivotArea dataOnly="0" labelOnly="1" fieldPosition="0">
        <references count="1">
          <reference field="4" count="0"/>
        </references>
      </pivotArea>
    </format>
    <format dxfId="65">
      <pivotArea dataOnly="0" labelOnly="1" grandRow="1" outline="0" fieldPosition="0"/>
    </format>
    <format dxfId="64">
      <pivotArea dataOnly="0" labelOnly="1" outline="0" axis="axisValues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4" type="button" dataOnly="0" labelOnly="1" outline="0" axis="axisRow" fieldPosition="0"/>
    </format>
    <format dxfId="27">
      <pivotArea dataOnly="0" labelOnly="1" fieldPosition="0">
        <references count="1">
          <reference field="4" count="0"/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</format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377D7F-CBB5-49E7-A919-EFDCABA87083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G11:H19" firstHeaderRow="1" firstDataRow="1" firstDataCol="1"/>
  <pivotFields count="11">
    <pivotField showAll="0"/>
    <pivotField showAll="0">
      <items count="151">
        <item x="109"/>
        <item x="6"/>
        <item x="101"/>
        <item x="18"/>
        <item x="90"/>
        <item x="125"/>
        <item x="100"/>
        <item x="115"/>
        <item x="141"/>
        <item x="75"/>
        <item x="144"/>
        <item x="23"/>
        <item x="71"/>
        <item x="11"/>
        <item x="15"/>
        <item x="54"/>
        <item x="26"/>
        <item x="104"/>
        <item x="58"/>
        <item x="27"/>
        <item x="38"/>
        <item x="89"/>
        <item x="28"/>
        <item x="19"/>
        <item x="140"/>
        <item x="105"/>
        <item x="77"/>
        <item x="51"/>
        <item x="46"/>
        <item x="85"/>
        <item x="65"/>
        <item x="120"/>
        <item x="106"/>
        <item x="108"/>
        <item x="35"/>
        <item x="66"/>
        <item x="62"/>
        <item x="31"/>
        <item x="5"/>
        <item x="80"/>
        <item x="29"/>
        <item x="132"/>
        <item x="20"/>
        <item x="41"/>
        <item x="95"/>
        <item x="50"/>
        <item x="47"/>
        <item x="24"/>
        <item x="21"/>
        <item x="17"/>
        <item x="57"/>
        <item x="12"/>
        <item x="145"/>
        <item x="137"/>
        <item x="1"/>
        <item x="136"/>
        <item x="116"/>
        <item x="138"/>
        <item x="74"/>
        <item x="93"/>
        <item x="112"/>
        <item x="2"/>
        <item x="70"/>
        <item x="43"/>
        <item x="86"/>
        <item x="129"/>
        <item x="110"/>
        <item x="16"/>
        <item x="3"/>
        <item x="10"/>
        <item x="103"/>
        <item x="9"/>
        <item x="82"/>
        <item x="52"/>
        <item x="88"/>
        <item x="102"/>
        <item x="98"/>
        <item x="13"/>
        <item x="33"/>
        <item x="134"/>
        <item x="131"/>
        <item x="142"/>
        <item x="30"/>
        <item x="8"/>
        <item x="114"/>
        <item x="94"/>
        <item x="49"/>
        <item x="61"/>
        <item x="4"/>
        <item x="133"/>
        <item x="148"/>
        <item x="81"/>
        <item x="117"/>
        <item x="118"/>
        <item x="22"/>
        <item x="92"/>
        <item x="87"/>
        <item x="84"/>
        <item x="91"/>
        <item x="96"/>
        <item x="56"/>
        <item x="45"/>
        <item x="39"/>
        <item x="68"/>
        <item x="97"/>
        <item x="53"/>
        <item x="36"/>
        <item x="111"/>
        <item x="32"/>
        <item x="135"/>
        <item x="121"/>
        <item x="37"/>
        <item x="14"/>
        <item x="44"/>
        <item x="69"/>
        <item x="124"/>
        <item x="64"/>
        <item x="7"/>
        <item x="55"/>
        <item x="149"/>
        <item x="143"/>
        <item x="83"/>
        <item x="48"/>
        <item x="63"/>
        <item x="60"/>
        <item x="25"/>
        <item x="79"/>
        <item x="126"/>
        <item x="146"/>
        <item x="119"/>
        <item x="76"/>
        <item x="73"/>
        <item x="67"/>
        <item x="42"/>
        <item x="40"/>
        <item x="34"/>
        <item x="147"/>
        <item x="122"/>
        <item x="113"/>
        <item x="123"/>
        <item x="59"/>
        <item x="107"/>
        <item x="72"/>
        <item x="139"/>
        <item x="127"/>
        <item x="99"/>
        <item x="78"/>
        <item x="130"/>
        <item x="0"/>
        <item x="128"/>
        <item t="default"/>
      </items>
    </pivotField>
    <pivotField showAll="0"/>
    <pivotField showAll="0"/>
    <pivotField axis="axisRow" showAll="0">
      <items count="8">
        <item x="4"/>
        <item x="6"/>
        <item x="2"/>
        <item x="1"/>
        <item x="3"/>
        <item x="5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6" baseField="0" baseItem="0"/>
  </dataFields>
  <formats count="12"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4" type="button" dataOnly="0" labelOnly="1" outline="0" axis="axisRow" fieldPosition="0"/>
    </format>
    <format dxfId="72">
      <pivotArea dataOnly="0" labelOnly="1" fieldPosition="0">
        <references count="1">
          <reference field="4" count="0"/>
        </references>
      </pivotArea>
    </format>
    <format dxfId="71">
      <pivotArea dataOnly="0" labelOnly="1" grandRow="1" outline="0" fieldPosition="0"/>
    </format>
    <format dxfId="70">
      <pivotArea dataOnly="0" labelOnly="1" outline="0" axis="axisValues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4" type="button" dataOnly="0" labelOnly="1" outline="0" axis="axisRow" fieldPosition="0"/>
    </format>
    <format dxfId="34">
      <pivotArea dataOnly="0" labelOnly="1" fieldPosition="0">
        <references count="1">
          <reference field="4" count="0"/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</formats>
  <chartFormats count="8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0BF83E-CAFE-4735-97BE-96CF6E108633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R51:S59" firstHeaderRow="1" firstDataRow="1" firstDataCol="1"/>
  <pivotFields count="12">
    <pivotField showAll="0"/>
    <pivotField showAll="0"/>
    <pivotField showAll="0"/>
    <pivotField showAll="0"/>
    <pivotField axis="axisRow" showAll="0">
      <items count="8">
        <item x="4"/>
        <item x="6"/>
        <item x="2"/>
        <item x="1"/>
        <item x="3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Achivement" fld="11" subtotal="average" baseField="4" baseItem="0"/>
  </dataFields>
  <formats count="12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4" type="button" dataOnly="0" labelOnly="1" outline="0" axis="axisRow" fieldPosition="0"/>
    </format>
    <format dxfId="42">
      <pivotArea dataOnly="0" labelOnly="1" fieldPosition="0">
        <references count="1">
          <reference field="4" count="0"/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4" type="button" dataOnly="0" labelOnly="1" outline="0" axis="axisRow" fieldPosition="0"/>
    </format>
    <format dxfId="3">
      <pivotArea dataOnly="0" labelOnly="1" fieldPosition="0">
        <references count="1">
          <reference field="4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90395E-4D35-4234-9CE3-0BD51D6E749A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R35:S36" firstHeaderRow="0" firstDataRow="1" firstDataCol="0" rowPageCount="1" colPageCount="1"/>
  <pivotFields count="11">
    <pivotField showAll="0"/>
    <pivotField axis="axisPage" showAll="0">
      <items count="151">
        <item x="109"/>
        <item x="6"/>
        <item x="101"/>
        <item x="18"/>
        <item x="90"/>
        <item x="125"/>
        <item x="100"/>
        <item x="115"/>
        <item x="141"/>
        <item x="75"/>
        <item x="144"/>
        <item x="23"/>
        <item x="71"/>
        <item x="11"/>
        <item x="15"/>
        <item x="54"/>
        <item x="26"/>
        <item x="104"/>
        <item x="58"/>
        <item x="27"/>
        <item x="38"/>
        <item x="89"/>
        <item x="28"/>
        <item x="19"/>
        <item x="140"/>
        <item x="105"/>
        <item x="77"/>
        <item x="51"/>
        <item x="46"/>
        <item x="85"/>
        <item x="65"/>
        <item x="120"/>
        <item x="106"/>
        <item x="108"/>
        <item x="35"/>
        <item x="66"/>
        <item x="62"/>
        <item x="31"/>
        <item x="5"/>
        <item x="80"/>
        <item x="29"/>
        <item x="132"/>
        <item x="20"/>
        <item x="41"/>
        <item x="95"/>
        <item x="50"/>
        <item x="47"/>
        <item x="24"/>
        <item x="21"/>
        <item x="17"/>
        <item x="57"/>
        <item x="12"/>
        <item x="145"/>
        <item x="137"/>
        <item x="1"/>
        <item x="136"/>
        <item x="116"/>
        <item x="138"/>
        <item x="74"/>
        <item x="93"/>
        <item x="112"/>
        <item x="2"/>
        <item x="70"/>
        <item x="43"/>
        <item x="86"/>
        <item x="129"/>
        <item x="110"/>
        <item x="16"/>
        <item x="3"/>
        <item x="10"/>
        <item x="103"/>
        <item x="9"/>
        <item x="82"/>
        <item x="52"/>
        <item x="88"/>
        <item x="102"/>
        <item x="98"/>
        <item x="13"/>
        <item x="33"/>
        <item x="134"/>
        <item x="131"/>
        <item x="142"/>
        <item x="30"/>
        <item x="8"/>
        <item x="114"/>
        <item x="94"/>
        <item x="49"/>
        <item x="61"/>
        <item x="4"/>
        <item x="133"/>
        <item x="148"/>
        <item x="81"/>
        <item x="117"/>
        <item x="118"/>
        <item x="22"/>
        <item x="92"/>
        <item x="87"/>
        <item x="84"/>
        <item x="91"/>
        <item x="96"/>
        <item x="56"/>
        <item x="45"/>
        <item x="39"/>
        <item x="68"/>
        <item x="97"/>
        <item x="53"/>
        <item x="36"/>
        <item x="111"/>
        <item x="32"/>
        <item x="135"/>
        <item x="121"/>
        <item x="37"/>
        <item x="14"/>
        <item x="44"/>
        <item x="69"/>
        <item x="124"/>
        <item x="64"/>
        <item x="7"/>
        <item x="55"/>
        <item x="149"/>
        <item x="143"/>
        <item x="83"/>
        <item x="48"/>
        <item x="63"/>
        <item x="60"/>
        <item x="25"/>
        <item x="79"/>
        <item x="126"/>
        <item x="146"/>
        <item x="119"/>
        <item x="76"/>
        <item x="73"/>
        <item x="67"/>
        <item x="42"/>
        <item x="40"/>
        <item x="34"/>
        <item x="147"/>
        <item x="122"/>
        <item x="113"/>
        <item x="123"/>
        <item x="59"/>
        <item x="107"/>
        <item x="72"/>
        <item x="139"/>
        <item x="127"/>
        <item x="99"/>
        <item x="78"/>
        <item x="130"/>
        <item x="0"/>
        <item x="128"/>
        <item t="default"/>
      </items>
    </pivotField>
    <pivotField showAll="0"/>
    <pivotField showAll="0"/>
    <pivotField showAll="0">
      <items count="8">
        <item x="4"/>
        <item x="6"/>
        <item x="2"/>
        <item x="1"/>
        <item x="3"/>
        <item x="5"/>
        <item x="0"/>
        <item t="default"/>
      </items>
    </pivotField>
    <pivotField showAll="0"/>
    <pivotField dataField="1" showAll="0">
      <items count="748">
        <item x="742"/>
        <item x="93"/>
        <item x="110"/>
        <item x="579"/>
        <item x="586"/>
        <item x="94"/>
        <item x="334"/>
        <item x="681"/>
        <item x="711"/>
        <item x="547"/>
        <item x="97"/>
        <item x="139"/>
        <item x="187"/>
        <item x="576"/>
        <item x="381"/>
        <item x="740"/>
        <item x="160"/>
        <item x="121"/>
        <item x="505"/>
        <item x="296"/>
        <item x="532"/>
        <item x="107"/>
        <item x="439"/>
        <item x="520"/>
        <item x="442"/>
        <item x="245"/>
        <item x="670"/>
        <item x="15"/>
        <item x="364"/>
        <item x="212"/>
        <item x="500"/>
        <item x="491"/>
        <item x="133"/>
        <item x="592"/>
        <item x="286"/>
        <item x="82"/>
        <item x="471"/>
        <item x="673"/>
        <item x="195"/>
        <item x="559"/>
        <item x="503"/>
        <item x="689"/>
        <item x="600"/>
        <item x="493"/>
        <item x="249"/>
        <item x="717"/>
        <item x="656"/>
        <item x="34"/>
        <item x="638"/>
        <item x="488"/>
        <item x="577"/>
        <item x="217"/>
        <item x="380"/>
        <item x="227"/>
        <item x="607"/>
        <item x="146"/>
        <item x="119"/>
        <item x="724"/>
        <item x="567"/>
        <item x="469"/>
        <item x="262"/>
        <item x="277"/>
        <item x="739"/>
        <item x="261"/>
        <item x="424"/>
        <item x="317"/>
        <item x="271"/>
        <item x="546"/>
        <item x="474"/>
        <item x="257"/>
        <item x="628"/>
        <item x="250"/>
        <item x="90"/>
        <item x="578"/>
        <item x="696"/>
        <item x="601"/>
        <item x="279"/>
        <item x="654"/>
        <item x="675"/>
        <item x="515"/>
        <item x="320"/>
        <item x="618"/>
        <item x="57"/>
        <item x="244"/>
        <item x="182"/>
        <item x="415"/>
        <item x="426"/>
        <item x="562"/>
        <item x="274"/>
        <item x="325"/>
        <item x="58"/>
        <item x="20"/>
        <item x="674"/>
        <item x="632"/>
        <item x="69"/>
        <item x="615"/>
        <item x="619"/>
        <item x="521"/>
        <item x="408"/>
        <item x="204"/>
        <item x="220"/>
        <item x="454"/>
        <item x="239"/>
        <item x="313"/>
        <item x="45"/>
        <item x="12"/>
        <item x="127"/>
        <item x="327"/>
        <item x="33"/>
        <item x="686"/>
        <item x="137"/>
        <item x="96"/>
        <item x="50"/>
        <item x="744"/>
        <item x="190"/>
        <item x="78"/>
        <item x="208"/>
        <item x="76"/>
        <item x="698"/>
        <item x="585"/>
        <item x="181"/>
        <item x="158"/>
        <item x="126"/>
        <item x="294"/>
        <item x="723"/>
        <item x="461"/>
        <item x="215"/>
        <item x="611"/>
        <item x="114"/>
        <item x="406"/>
        <item x="504"/>
        <item x="263"/>
        <item x="288"/>
        <item x="13"/>
        <item x="625"/>
        <item x="667"/>
        <item x="197"/>
        <item x="0"/>
        <item x="533"/>
        <item x="242"/>
        <item x="101"/>
        <item x="726"/>
        <item x="354"/>
        <item x="167"/>
        <item x="329"/>
        <item x="36"/>
        <item x="722"/>
        <item x="316"/>
        <item x="115"/>
        <item x="18"/>
        <item x="466"/>
        <item x="105"/>
        <item x="477"/>
        <item x="55"/>
        <item x="202"/>
        <item x="387"/>
        <item x="437"/>
        <item x="47"/>
        <item x="352"/>
        <item x="268"/>
        <item x="240"/>
        <item x="174"/>
        <item x="727"/>
        <item x="358"/>
        <item x="741"/>
        <item x="98"/>
        <item x="614"/>
        <item x="623"/>
        <item x="161"/>
        <item x="692"/>
        <item x="281"/>
        <item x="359"/>
        <item x="664"/>
        <item x="285"/>
        <item x="155"/>
        <item x="11"/>
        <item x="194"/>
        <item x="566"/>
        <item x="511"/>
        <item x="557"/>
        <item x="385"/>
        <item x="238"/>
        <item x="384"/>
        <item x="553"/>
        <item x="25"/>
        <item x="622"/>
        <item x="219"/>
        <item x="2"/>
        <item x="70"/>
        <item x="645"/>
        <item x="369"/>
        <item x="303"/>
        <item x="386"/>
        <item x="305"/>
        <item x="122"/>
        <item x="351"/>
        <item x="525"/>
        <item x="259"/>
        <item x="152"/>
        <item x="46"/>
        <item x="301"/>
        <item x="433"/>
        <item x="210"/>
        <item x="627"/>
        <item x="191"/>
        <item x="434"/>
        <item x="558"/>
        <item x="401"/>
        <item x="370"/>
        <item x="725"/>
        <item x="138"/>
        <item x="413"/>
        <item x="345"/>
        <item x="336"/>
        <item x="560"/>
        <item x="460"/>
        <item x="687"/>
        <item x="541"/>
        <item x="300"/>
        <item x="590"/>
        <item x="287"/>
        <item x="192"/>
        <item x="695"/>
        <item x="26"/>
        <item x="178"/>
        <item x="198"/>
        <item x="682"/>
        <item x="128"/>
        <item x="404"/>
        <item x="226"/>
        <item x="499"/>
        <item x="292"/>
        <item x="132"/>
        <item x="417"/>
        <item x="53"/>
        <item x="77"/>
        <item x="83"/>
        <item x="480"/>
        <item x="79"/>
        <item x="736"/>
        <item x="555"/>
        <item x="608"/>
        <item x="677"/>
        <item x="704"/>
        <item x="706"/>
        <item x="267"/>
        <item x="89"/>
        <item x="200"/>
        <item x="603"/>
        <item x="171"/>
        <item x="569"/>
        <item x="734"/>
        <item x="23"/>
        <item x="694"/>
        <item x="412"/>
        <item x="672"/>
        <item x="606"/>
        <item x="225"/>
        <item x="1"/>
        <item x="328"/>
        <item x="475"/>
        <item x="291"/>
        <item x="252"/>
        <item x="302"/>
        <item x="658"/>
        <item x="353"/>
        <item x="348"/>
        <item x="440"/>
        <item x="223"/>
        <item x="630"/>
        <item x="478"/>
        <item x="253"/>
        <item x="162"/>
        <item x="453"/>
        <item x="338"/>
        <item x="357"/>
        <item x="518"/>
        <item x="363"/>
        <item x="530"/>
        <item x="134"/>
        <item x="52"/>
        <item x="340"/>
        <item x="366"/>
        <item x="624"/>
        <item x="16"/>
        <item x="49"/>
        <item x="516"/>
        <item x="522"/>
        <item x="142"/>
        <item x="129"/>
        <item x="103"/>
        <item x="308"/>
        <item x="75"/>
        <item x="74"/>
        <item x="41"/>
        <item x="663"/>
        <item x="102"/>
        <item x="529"/>
        <item x="289"/>
        <item x="229"/>
        <item x="648"/>
        <item x="423"/>
        <item x="40"/>
        <item x="563"/>
        <item x="481"/>
        <item x="323"/>
        <item x="246"/>
        <item x="68"/>
        <item x="232"/>
        <item x="256"/>
        <item x="5"/>
        <item x="455"/>
        <item x="495"/>
        <item x="643"/>
        <item x="375"/>
        <item x="653"/>
        <item x="584"/>
        <item x="709"/>
        <item x="9"/>
        <item x="633"/>
        <item x="28"/>
        <item x="432"/>
        <item x="37"/>
        <item x="84"/>
        <item x="403"/>
        <item x="523"/>
        <item x="376"/>
        <item x="496"/>
        <item x="284"/>
        <item x="349"/>
        <item x="745"/>
        <item x="718"/>
        <item x="457"/>
        <item x="604"/>
        <item x="88"/>
        <item x="497"/>
        <item x="193"/>
        <item x="199"/>
        <item x="265"/>
        <item x="339"/>
        <item x="634"/>
        <item x="411"/>
        <item x="548"/>
        <item x="462"/>
        <item x="485"/>
        <item x="712"/>
        <item x="32"/>
        <item x="224"/>
        <item x="543"/>
        <item x="166"/>
        <item x="65"/>
        <item x="343"/>
        <item x="737"/>
        <item x="209"/>
        <item x="59"/>
        <item x="720"/>
        <item x="402"/>
        <item x="649"/>
        <item x="392"/>
        <item x="309"/>
        <item x="728"/>
        <item x="597"/>
        <item x="482"/>
        <item x="680"/>
        <item x="120"/>
        <item x="473"/>
        <item x="616"/>
        <item x="655"/>
        <item x="367"/>
        <item x="450"/>
        <item x="324"/>
        <item x="283"/>
        <item x="185"/>
        <item x="307"/>
        <item x="572"/>
        <item x="237"/>
        <item x="145"/>
        <item x="143"/>
        <item x="186"/>
        <item x="713"/>
        <item x="708"/>
        <item x="100"/>
        <item x="425"/>
        <item x="707"/>
        <item x="596"/>
        <item x="582"/>
        <item x="378"/>
        <item x="331"/>
        <item x="341"/>
        <item x="270"/>
        <item x="149"/>
        <item x="315"/>
        <item x="489"/>
        <item x="657"/>
        <item x="514"/>
        <item x="598"/>
        <item x="446"/>
        <item x="272"/>
        <item x="660"/>
        <item x="365"/>
        <item x="538"/>
        <item x="510"/>
        <item x="620"/>
        <item x="188"/>
        <item x="3"/>
        <item x="54"/>
        <item x="501"/>
        <item x="662"/>
        <item x="524"/>
        <item x="19"/>
        <item x="144"/>
        <item x="21"/>
        <item x="438"/>
        <item x="310"/>
        <item x="561"/>
        <item x="395"/>
        <item x="95"/>
        <item x="399"/>
        <item x="42"/>
        <item x="67"/>
        <item x="464"/>
        <item x="233"/>
        <item x="6"/>
        <item x="427"/>
        <item x="418"/>
        <item x="201"/>
        <item x="333"/>
        <item x="275"/>
        <item x="222"/>
        <item x="172"/>
        <item x="44"/>
        <item x="735"/>
        <item x="106"/>
        <item x="148"/>
        <item x="273"/>
        <item x="574"/>
        <item x="141"/>
        <item x="206"/>
        <item x="179"/>
        <item x="445"/>
        <item x="459"/>
        <item x="599"/>
        <item x="390"/>
        <item x="92"/>
        <item x="27"/>
        <item x="17"/>
        <item x="360"/>
        <item x="165"/>
        <item x="636"/>
        <item x="710"/>
        <item x="111"/>
        <item x="642"/>
        <item x="531"/>
        <item x="484"/>
        <item x="605"/>
        <item x="131"/>
        <item x="298"/>
        <item x="14"/>
        <item x="492"/>
        <item x="306"/>
        <item x="431"/>
        <item x="62"/>
        <item x="24"/>
        <item x="535"/>
        <item x="356"/>
        <item x="290"/>
        <item x="428"/>
        <item x="746"/>
        <item x="612"/>
        <item x="490"/>
        <item x="594"/>
        <item x="552"/>
        <item x="534"/>
        <item x="379"/>
        <item x="420"/>
        <item x="154"/>
        <item x="393"/>
        <item x="641"/>
        <item x="344"/>
        <item x="693"/>
        <item x="449"/>
        <item x="164"/>
        <item x="629"/>
        <item x="631"/>
        <item x="278"/>
        <item x="542"/>
        <item x="506"/>
        <item x="177"/>
        <item x="458"/>
        <item x="136"/>
        <item x="99"/>
        <item x="443"/>
        <item x="151"/>
        <item x="147"/>
        <item x="60"/>
        <item x="652"/>
        <item x="640"/>
        <item x="556"/>
        <item x="463"/>
        <item x="276"/>
        <item x="626"/>
        <item x="86"/>
        <item x="575"/>
        <item x="705"/>
        <item x="213"/>
        <item x="264"/>
        <item x="371"/>
        <item x="570"/>
        <item x="405"/>
        <item x="468"/>
        <item x="108"/>
        <item x="241"/>
        <item x="430"/>
        <item x="394"/>
        <item x="140"/>
        <item x="282"/>
        <item x="169"/>
        <item x="347"/>
        <item x="382"/>
        <item x="513"/>
        <item x="374"/>
        <item x="549"/>
        <item x="400"/>
        <item x="269"/>
        <item x="588"/>
        <item x="173"/>
        <item x="117"/>
        <item x="688"/>
        <item x="71"/>
        <item x="700"/>
        <item x="159"/>
        <item x="135"/>
        <item x="416"/>
        <item x="104"/>
        <item x="189"/>
        <item x="377"/>
        <item x="322"/>
        <item x="35"/>
        <item x="372"/>
        <item x="180"/>
        <item x="581"/>
        <item x="650"/>
        <item x="116"/>
        <item x="691"/>
        <item x="676"/>
        <item x="613"/>
        <item x="255"/>
        <item x="314"/>
        <item x="429"/>
        <item x="203"/>
        <item x="118"/>
        <item x="326"/>
        <item x="699"/>
        <item x="153"/>
        <item x="452"/>
        <item x="465"/>
        <item x="451"/>
        <item x="583"/>
        <item x="234"/>
        <item x="216"/>
        <item x="564"/>
        <item x="214"/>
        <item x="7"/>
        <item x="421"/>
        <item x="335"/>
        <item x="368"/>
        <item x="544"/>
        <item x="483"/>
        <item x="487"/>
        <item x="512"/>
        <item x="38"/>
        <item x="81"/>
        <item x="743"/>
        <item x="295"/>
        <item x="248"/>
        <item x="31"/>
        <item x="280"/>
        <item x="729"/>
        <item x="697"/>
        <item x="685"/>
        <item x="659"/>
        <item x="519"/>
        <item x="123"/>
        <item x="508"/>
        <item x="665"/>
        <item x="639"/>
        <item x="528"/>
        <item x="211"/>
        <item x="573"/>
        <item x="207"/>
        <item x="87"/>
        <item x="230"/>
        <item x="293"/>
        <item x="205"/>
        <item x="22"/>
        <item x="551"/>
        <item x="112"/>
        <item x="419"/>
        <item x="571"/>
        <item x="125"/>
        <item x="29"/>
        <item x="236"/>
        <item x="536"/>
        <item x="610"/>
        <item x="702"/>
        <item x="414"/>
        <item x="63"/>
        <item x="175"/>
        <item x="362"/>
        <item x="48"/>
        <item x="568"/>
        <item x="498"/>
        <item x="661"/>
        <item x="719"/>
        <item x="409"/>
        <item x="448"/>
        <item x="196"/>
        <item x="479"/>
        <item x="355"/>
        <item x="587"/>
        <item x="565"/>
        <item x="266"/>
        <item x="527"/>
        <item x="72"/>
        <item x="130"/>
        <item x="669"/>
        <item x="350"/>
        <item x="66"/>
        <item x="507"/>
        <item x="157"/>
        <item x="319"/>
        <item x="80"/>
        <item x="398"/>
        <item x="389"/>
        <item x="258"/>
        <item x="494"/>
        <item x="617"/>
        <item x="176"/>
        <item x="228"/>
        <item x="251"/>
        <item x="476"/>
        <item x="684"/>
        <item x="30"/>
        <item x="593"/>
        <item x="73"/>
        <item x="163"/>
        <item x="396"/>
        <item x="509"/>
        <item x="168"/>
        <item x="254"/>
        <item x="321"/>
        <item x="502"/>
        <item x="456"/>
        <item x="716"/>
        <item x="738"/>
        <item x="730"/>
        <item x="4"/>
        <item x="671"/>
        <item x="124"/>
        <item x="595"/>
        <item x="318"/>
        <item x="550"/>
        <item x="43"/>
        <item x="539"/>
        <item x="486"/>
        <item x="299"/>
        <item x="410"/>
        <item x="235"/>
        <item x="540"/>
        <item x="714"/>
        <item x="156"/>
        <item x="517"/>
        <item x="441"/>
        <item x="647"/>
        <item x="472"/>
        <item x="470"/>
        <item x="467"/>
        <item x="231"/>
        <item x="51"/>
        <item x="61"/>
        <item x="150"/>
        <item x="218"/>
        <item x="243"/>
        <item x="373"/>
        <item x="554"/>
        <item x="436"/>
        <item x="668"/>
        <item x="170"/>
        <item x="407"/>
        <item x="589"/>
        <item x="361"/>
        <item x="91"/>
        <item x="435"/>
        <item x="701"/>
        <item x="678"/>
        <item x="646"/>
        <item x="311"/>
        <item x="297"/>
        <item x="10"/>
        <item x="39"/>
        <item x="679"/>
        <item x="621"/>
        <item x="330"/>
        <item x="732"/>
        <item x="342"/>
        <item x="183"/>
        <item x="113"/>
        <item x="666"/>
        <item x="64"/>
        <item x="683"/>
        <item x="537"/>
        <item x="591"/>
        <item x="8"/>
        <item x="85"/>
        <item x="247"/>
        <item x="545"/>
        <item x="703"/>
        <item x="388"/>
        <item x="332"/>
        <item x="56"/>
        <item x="690"/>
        <item x="383"/>
        <item x="184"/>
        <item x="715"/>
        <item x="447"/>
        <item x="651"/>
        <item x="721"/>
        <item x="635"/>
        <item x="526"/>
        <item x="337"/>
        <item x="644"/>
        <item x="422"/>
        <item x="397"/>
        <item x="444"/>
        <item x="731"/>
        <item x="733"/>
        <item x="221"/>
        <item x="609"/>
        <item x="304"/>
        <item x="602"/>
        <item x="391"/>
        <item x="312"/>
        <item x="580"/>
        <item x="109"/>
        <item x="346"/>
        <item x="260"/>
        <item x="637"/>
        <item t="default"/>
      </items>
    </pivotField>
    <pivotField showAll="0"/>
    <pivotField showAll="0"/>
    <pivotField dataField="1" showAll="0">
      <items count="775">
        <item x="607"/>
        <item x="769"/>
        <item x="93"/>
        <item x="110"/>
        <item x="600"/>
        <item x="707"/>
        <item x="94"/>
        <item x="344"/>
        <item x="597"/>
        <item x="767"/>
        <item x="737"/>
        <item x="192"/>
        <item x="521"/>
        <item x="566"/>
        <item x="392"/>
        <item x="140"/>
        <item x="163"/>
        <item x="97"/>
        <item x="304"/>
        <item x="121"/>
        <item x="455"/>
        <item x="551"/>
        <item x="107"/>
        <item x="218"/>
        <item x="516"/>
        <item x="537"/>
        <item x="452"/>
        <item x="696"/>
        <item x="253"/>
        <item x="374"/>
        <item x="507"/>
        <item x="15"/>
        <item x="294"/>
        <item x="134"/>
        <item x="82"/>
        <item x="613"/>
        <item x="485"/>
        <item x="519"/>
        <item x="699"/>
        <item x="201"/>
        <item x="568"/>
        <item x="680"/>
        <item x="156"/>
        <item x="579"/>
        <item x="463"/>
        <item x="621"/>
        <item x="674"/>
        <item x="715"/>
        <item x="660"/>
        <item x="178"/>
        <item x="30"/>
        <item x="690"/>
        <item x="193"/>
        <item x="498"/>
        <item x="536"/>
        <item x="743"/>
        <item x="378"/>
        <item x="587"/>
        <item x="143"/>
        <item x="509"/>
        <item x="257"/>
        <item x="692"/>
        <item x="662"/>
        <item x="131"/>
        <item x="547"/>
        <item x="763"/>
        <item x="628"/>
        <item x="191"/>
        <item x="426"/>
        <item x="419"/>
        <item x="542"/>
        <item x="148"/>
        <item x="234"/>
        <item x="34"/>
        <item x="279"/>
        <item x="270"/>
        <item x="230"/>
        <item x="504"/>
        <item x="223"/>
        <item x="336"/>
        <item x="235"/>
        <item x="598"/>
        <item x="119"/>
        <item x="766"/>
        <item x="90"/>
        <item x="599"/>
        <item x="750"/>
        <item x="483"/>
        <item x="391"/>
        <item x="269"/>
        <item x="489"/>
        <item x="588"/>
        <item x="629"/>
        <item x="285"/>
        <item x="437"/>
        <item x="326"/>
        <item x="678"/>
        <item x="640"/>
        <item x="622"/>
        <item x="701"/>
        <item x="265"/>
        <item x="20"/>
        <item x="439"/>
        <item x="565"/>
        <item x="287"/>
        <item x="650"/>
        <item x="282"/>
        <item x="531"/>
        <item x="258"/>
        <item x="538"/>
        <item x="722"/>
        <item x="12"/>
        <item x="654"/>
        <item x="420"/>
        <item x="329"/>
        <item x="58"/>
        <item x="186"/>
        <item x="138"/>
        <item x="428"/>
        <item x="637"/>
        <item x="57"/>
        <item x="69"/>
        <item x="33"/>
        <item x="468"/>
        <item x="334"/>
        <item x="252"/>
        <item x="582"/>
        <item x="226"/>
        <item x="127"/>
        <item x="321"/>
        <item x="641"/>
        <item x="45"/>
        <item x="322"/>
        <item x="96"/>
        <item x="337"/>
        <item x="771"/>
        <item x="700"/>
        <item x="210"/>
        <item x="712"/>
        <item x="247"/>
        <item x="606"/>
        <item x="76"/>
        <item x="271"/>
        <item x="221"/>
        <item x="633"/>
        <item x="50"/>
        <item x="302"/>
        <item x="214"/>
        <item x="520"/>
        <item x="185"/>
        <item x="78"/>
        <item x="475"/>
        <item x="196"/>
        <item x="724"/>
        <item x="749"/>
        <item x="161"/>
        <item x="492"/>
        <item x="126"/>
        <item x="0"/>
        <item x="114"/>
        <item x="364"/>
        <item x="101"/>
        <item x="55"/>
        <item x="47"/>
        <item x="417"/>
        <item x="18"/>
        <item x="647"/>
        <item x="398"/>
        <item x="13"/>
        <item x="450"/>
        <item x="753"/>
        <item x="480"/>
        <item x="203"/>
        <item x="177"/>
        <item x="693"/>
        <item x="296"/>
        <item x="276"/>
        <item x="250"/>
        <item x="208"/>
        <item x="636"/>
        <item x="552"/>
        <item x="645"/>
        <item x="325"/>
        <item x="362"/>
        <item x="368"/>
        <item x="248"/>
        <item x="752"/>
        <item x="339"/>
        <item x="105"/>
        <item x="748"/>
        <item x="170"/>
        <item x="577"/>
        <item x="36"/>
        <item x="25"/>
        <item x="115"/>
        <item x="586"/>
        <item x="768"/>
        <item x="668"/>
        <item x="246"/>
        <item x="200"/>
        <item x="70"/>
        <item x="396"/>
        <item x="380"/>
        <item x="573"/>
        <item x="98"/>
        <item x="164"/>
        <item x="718"/>
        <item x="446"/>
        <item x="289"/>
        <item x="397"/>
        <item x="543"/>
        <item x="267"/>
        <item x="369"/>
        <item x="412"/>
        <item x="293"/>
        <item x="311"/>
        <item x="225"/>
        <item x="688"/>
        <item x="447"/>
        <item x="158"/>
        <item x="644"/>
        <item x="527"/>
        <item x="713"/>
        <item x="11"/>
        <item x="216"/>
        <item x="395"/>
        <item x="309"/>
        <item x="346"/>
        <item x="2"/>
        <item x="204"/>
        <item x="122"/>
        <item x="361"/>
        <item x="198"/>
        <item x="580"/>
        <item x="233"/>
        <item x="139"/>
        <item x="128"/>
        <item x="154"/>
        <item x="79"/>
        <item x="313"/>
        <item x="26"/>
        <item x="197"/>
        <item x="495"/>
        <item x="133"/>
        <item x="732"/>
        <item x="515"/>
        <item x="46"/>
        <item x="751"/>
        <item x="578"/>
        <item x="300"/>
        <item x="649"/>
        <item x="355"/>
        <item x="381"/>
        <item x="308"/>
        <item x="363"/>
        <item x="703"/>
        <item x="425"/>
        <item x="560"/>
        <item x="53"/>
        <item x="295"/>
        <item x="1"/>
        <item x="630"/>
        <item x="721"/>
        <item x="493"/>
        <item x="453"/>
        <item x="624"/>
        <item x="474"/>
        <item x="206"/>
        <item x="135"/>
        <item x="467"/>
        <item x="708"/>
        <item x="376"/>
        <item x="316"/>
        <item x="611"/>
        <item x="299"/>
        <item x="174"/>
        <item x="760"/>
        <item x="275"/>
        <item x="415"/>
        <item x="182"/>
        <item x="52"/>
        <item x="89"/>
        <item x="698"/>
        <item x="590"/>
        <item x="682"/>
        <item x="430"/>
        <item x="358"/>
        <item x="469"/>
        <item x="373"/>
        <item x="103"/>
        <item x="575"/>
        <item x="350"/>
        <item x="68"/>
        <item x="297"/>
        <item x="605"/>
        <item x="532"/>
        <item x="762"/>
        <item x="129"/>
        <item x="332"/>
        <item x="583"/>
        <item x="540"/>
        <item x="74"/>
        <item x="496"/>
        <item x="237"/>
        <item x="666"/>
        <item x="5"/>
        <item x="77"/>
        <item x="28"/>
        <item x="83"/>
        <item x="232"/>
        <item x="646"/>
        <item x="730"/>
        <item x="720"/>
        <item x="424"/>
        <item x="487"/>
        <item x="652"/>
        <item x="539"/>
        <item x="414"/>
        <item x="348"/>
        <item x="205"/>
        <item x="677"/>
        <item x="310"/>
        <item x="534"/>
        <item x="260"/>
        <item x="229"/>
        <item x="387"/>
        <item x="549"/>
        <item x="349"/>
        <item x="338"/>
        <item x="261"/>
        <item x="23"/>
        <item x="65"/>
        <item x="49"/>
        <item x="490"/>
        <item x="254"/>
        <item x="359"/>
        <item x="627"/>
        <item x="625"/>
        <item x="501"/>
        <item x="746"/>
        <item x="562"/>
        <item x="511"/>
        <item x="16"/>
        <item x="687"/>
        <item x="567"/>
        <item x="199"/>
        <item x="367"/>
        <item x="386"/>
        <item x="41"/>
        <item x="735"/>
        <item x="84"/>
        <item x="165"/>
        <item x="353"/>
        <item x="40"/>
        <item x="672"/>
        <item x="264"/>
        <item x="169"/>
        <item x="638"/>
        <item x="476"/>
        <item x="59"/>
        <item x="413"/>
        <item x="240"/>
        <item x="292"/>
        <item x="315"/>
        <item x="738"/>
        <item x="245"/>
        <item x="291"/>
        <item x="436"/>
        <item x="548"/>
        <item x="445"/>
        <item x="102"/>
        <item x="144"/>
        <item x="655"/>
        <item x="75"/>
        <item x="423"/>
        <item x="278"/>
        <item x="671"/>
        <item x="681"/>
        <item x="464"/>
        <item x="37"/>
        <item x="603"/>
        <item x="517"/>
        <item x="530"/>
        <item x="273"/>
        <item x="512"/>
        <item x="684"/>
        <item x="764"/>
        <item x="88"/>
        <item x="679"/>
        <item x="9"/>
        <item x="478"/>
        <item x="557"/>
        <item x="100"/>
        <item x="505"/>
        <item x="318"/>
        <item x="42"/>
        <item x="772"/>
        <item x="21"/>
        <item x="19"/>
        <item x="581"/>
        <item x="656"/>
        <item x="593"/>
        <item x="317"/>
        <item x="54"/>
        <item x="744"/>
        <item x="761"/>
        <item x="618"/>
        <item x="706"/>
        <item x="497"/>
        <item x="513"/>
        <item x="280"/>
        <item x="324"/>
        <item x="471"/>
        <item x="215"/>
        <item x="194"/>
        <item x="132"/>
        <item x="120"/>
        <item x="686"/>
        <item x="190"/>
        <item x="375"/>
        <item x="231"/>
        <item x="403"/>
        <item x="145"/>
        <item x="32"/>
        <item x="473"/>
        <item x="617"/>
        <item x="111"/>
        <item x="595"/>
        <item x="488"/>
        <item x="298"/>
        <item x="370"/>
        <item x="3"/>
        <item x="500"/>
        <item x="333"/>
        <item x="754"/>
        <item x="175"/>
        <item x="306"/>
        <item x="157"/>
        <item x="341"/>
        <item x="27"/>
        <item x="390"/>
        <item x="733"/>
        <item x="377"/>
        <item x="189"/>
        <item x="526"/>
        <item x="147"/>
        <item x="212"/>
        <item x="354"/>
        <item x="351"/>
        <item x="522"/>
        <item x="451"/>
        <item x="433"/>
        <item x="572"/>
        <item x="24"/>
        <item x="343"/>
        <item x="642"/>
        <item x="541"/>
        <item x="734"/>
        <item x="553"/>
        <item x="228"/>
        <item x="619"/>
        <item x="438"/>
        <item x="207"/>
        <item x="550"/>
        <item x="149"/>
        <item x="137"/>
        <item x="382"/>
        <item x="739"/>
        <item x="477"/>
        <item x="458"/>
        <item x="431"/>
        <item x="401"/>
        <item x="142"/>
        <item x="665"/>
        <item x="67"/>
        <item x="44"/>
        <item x="726"/>
        <item x="411"/>
        <item x="676"/>
        <item x="389"/>
        <item x="151"/>
        <item x="410"/>
        <item x="459"/>
        <item x="404"/>
        <item x="183"/>
        <item x="626"/>
        <item x="648"/>
        <item x="92"/>
        <item x="283"/>
        <item x="146"/>
        <item x="466"/>
        <item x="290"/>
        <item x="6"/>
        <item x="14"/>
        <item x="219"/>
        <item x="172"/>
        <item x="150"/>
        <item x="241"/>
        <item x="406"/>
        <item x="357"/>
        <item x="17"/>
        <item x="529"/>
        <item x="331"/>
        <item x="714"/>
        <item x="168"/>
        <item x="440"/>
        <item x="277"/>
        <item x="508"/>
        <item x="717"/>
        <item x="176"/>
        <item x="195"/>
        <item x="482"/>
        <item x="95"/>
        <item x="123"/>
        <item x="444"/>
        <item x="554"/>
        <item x="429"/>
        <item x="284"/>
        <item x="106"/>
        <item x="288"/>
        <item x="620"/>
        <item x="167"/>
        <item x="281"/>
        <item x="286"/>
        <item x="242"/>
        <item x="22"/>
        <item x="108"/>
        <item x="569"/>
        <item x="736"/>
        <item x="773"/>
        <item x="723"/>
        <item x="472"/>
        <item x="62"/>
        <item x="87"/>
        <item x="125"/>
        <item x="664"/>
        <item x="506"/>
        <item x="71"/>
        <item x="653"/>
        <item x="561"/>
        <item x="314"/>
        <item x="238"/>
        <item x="217"/>
        <item x="372"/>
        <item x="48"/>
        <item x="184"/>
        <item x="366"/>
        <item x="673"/>
        <item x="514"/>
        <item x="116"/>
        <item x="689"/>
        <item x="563"/>
        <item x="181"/>
        <item x="256"/>
        <item x="745"/>
        <item x="456"/>
        <item x="602"/>
        <item x="379"/>
        <item x="658"/>
        <item x="523"/>
        <item x="441"/>
        <item x="162"/>
        <item x="615"/>
        <item x="29"/>
        <item x="393"/>
        <item x="383"/>
        <item x="465"/>
        <item x="421"/>
        <item x="589"/>
        <item x="503"/>
        <item x="462"/>
        <item x="274"/>
        <item x="259"/>
        <item x="442"/>
        <item x="584"/>
        <item x="719"/>
        <item x="576"/>
        <item x="416"/>
        <item x="528"/>
        <item x="639"/>
        <item x="202"/>
        <item x="651"/>
        <item x="38"/>
        <item x="405"/>
        <item x="86"/>
        <item x="634"/>
        <item x="60"/>
        <item x="731"/>
        <item x="153"/>
        <item x="272"/>
        <item x="585"/>
        <item x="81"/>
        <item x="328"/>
        <item x="604"/>
        <item x="685"/>
        <item x="66"/>
        <item x="35"/>
        <item x="596"/>
        <item x="635"/>
        <item x="112"/>
        <item x="99"/>
        <item x="80"/>
        <item x="546"/>
        <item x="263"/>
        <item x="209"/>
        <item x="591"/>
        <item x="434"/>
        <item x="770"/>
        <item x="510"/>
        <item x="663"/>
        <item x="365"/>
        <item x="524"/>
        <item x="136"/>
        <item x="104"/>
        <item x="609"/>
        <item x="72"/>
        <item x="266"/>
        <item x="155"/>
        <item x="345"/>
        <item x="301"/>
        <item x="117"/>
        <item x="443"/>
        <item x="180"/>
        <item x="179"/>
        <item x="249"/>
        <item x="571"/>
        <item x="427"/>
        <item x="711"/>
        <item x="244"/>
        <item x="141"/>
        <item x="683"/>
        <item x="400"/>
        <item x="385"/>
        <item x="335"/>
        <item x="494"/>
        <item x="303"/>
        <item x="702"/>
        <item x="755"/>
        <item x="211"/>
        <item x="661"/>
        <item x="31"/>
        <item x="388"/>
        <item x="323"/>
        <item x="725"/>
        <item x="222"/>
        <item x="479"/>
        <item x="213"/>
        <item x="728"/>
        <item x="555"/>
        <item x="7"/>
        <item x="409"/>
        <item x="118"/>
        <item x="594"/>
        <item x="220"/>
        <item x="535"/>
        <item x="432"/>
        <item x="632"/>
        <item x="499"/>
        <item x="130"/>
        <item x="236"/>
        <item x="695"/>
        <item x="592"/>
        <item x="710"/>
        <item x="63"/>
        <item x="491"/>
        <item x="461"/>
        <item x="608"/>
        <item x="545"/>
        <item x="360"/>
        <item x="160"/>
        <item x="407"/>
        <item x="742"/>
        <item x="73"/>
        <item x="262"/>
        <item x="518"/>
        <item x="4"/>
        <item x="765"/>
        <item x="171"/>
        <item x="470"/>
        <item x="124"/>
        <item x="614"/>
        <item x="756"/>
        <item x="525"/>
        <item x="43"/>
        <item x="166"/>
        <item x="454"/>
        <item x="484"/>
        <item x="697"/>
        <item x="330"/>
        <item x="422"/>
        <item x="486"/>
        <item x="159"/>
        <item x="502"/>
        <item x="327"/>
        <item x="152"/>
        <item x="61"/>
        <item x="616"/>
        <item x="670"/>
        <item x="239"/>
        <item x="740"/>
        <item x="224"/>
        <item x="559"/>
        <item x="558"/>
        <item x="570"/>
        <item x="307"/>
        <item x="243"/>
        <item x="481"/>
        <item x="449"/>
        <item x="251"/>
        <item x="694"/>
        <item x="418"/>
        <item x="371"/>
        <item x="51"/>
        <item x="574"/>
        <item x="533"/>
        <item x="384"/>
        <item x="319"/>
        <item x="10"/>
        <item x="340"/>
        <item x="691"/>
        <item x="91"/>
        <item x="187"/>
        <item x="39"/>
        <item x="8"/>
        <item x="352"/>
        <item x="709"/>
        <item x="305"/>
        <item x="113"/>
        <item x="727"/>
        <item x="669"/>
        <item x="255"/>
        <item x="758"/>
        <item x="448"/>
        <item x="716"/>
        <item x="643"/>
        <item x="85"/>
        <item x="610"/>
        <item x="173"/>
        <item x="460"/>
        <item x="729"/>
        <item x="56"/>
        <item x="704"/>
        <item x="741"/>
        <item x="757"/>
        <item x="747"/>
        <item x="564"/>
        <item x="399"/>
        <item x="705"/>
        <item x="544"/>
        <item x="64"/>
        <item x="675"/>
        <item x="402"/>
        <item x="556"/>
        <item x="188"/>
        <item x="631"/>
        <item x="759"/>
        <item x="347"/>
        <item x="268"/>
        <item x="612"/>
        <item x="342"/>
        <item x="667"/>
        <item x="659"/>
        <item x="394"/>
        <item x="623"/>
        <item x="408"/>
        <item x="457"/>
        <item x="356"/>
        <item x="320"/>
        <item x="312"/>
        <item x="657"/>
        <item x="109"/>
        <item x="227"/>
        <item x="435"/>
        <item x="601"/>
        <item t="default"/>
      </items>
    </pivotField>
    <pivotField showAll="0"/>
  </pivotFields>
  <rowItems count="1">
    <i/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Sales" fld="6" baseField="0" baseItem="0"/>
    <dataField name="Sum of Sales Projection" fld="9" baseField="0" baseItem="0"/>
  </dataFields>
  <formats count="9">
    <format dxfId="51">
      <pivotArea type="all" dataOnly="0" outline="0" fieldPosition="0"/>
    </format>
    <format dxfId="50">
      <pivotArea outline="0" collapsedLevelsAreSubtotals="1" fieldPosition="0"/>
    </format>
    <format dxfId="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6761C-E89F-4749-800C-B0DDE1137375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R11:S19" firstHeaderRow="1" firstDataRow="1" firstDataCol="1"/>
  <pivotFields count="11">
    <pivotField showAll="0"/>
    <pivotField showAll="0">
      <items count="151">
        <item x="109"/>
        <item x="6"/>
        <item x="101"/>
        <item x="18"/>
        <item x="90"/>
        <item x="125"/>
        <item x="100"/>
        <item x="115"/>
        <item x="141"/>
        <item x="75"/>
        <item x="144"/>
        <item x="23"/>
        <item x="71"/>
        <item x="11"/>
        <item x="15"/>
        <item x="54"/>
        <item x="26"/>
        <item x="104"/>
        <item x="58"/>
        <item x="27"/>
        <item x="38"/>
        <item x="89"/>
        <item x="28"/>
        <item x="19"/>
        <item x="140"/>
        <item x="105"/>
        <item x="77"/>
        <item x="51"/>
        <item x="46"/>
        <item x="85"/>
        <item x="65"/>
        <item x="120"/>
        <item x="106"/>
        <item x="108"/>
        <item x="35"/>
        <item x="66"/>
        <item x="62"/>
        <item x="31"/>
        <item x="5"/>
        <item x="80"/>
        <item x="29"/>
        <item x="132"/>
        <item x="20"/>
        <item x="41"/>
        <item x="95"/>
        <item x="50"/>
        <item x="47"/>
        <item x="24"/>
        <item x="21"/>
        <item x="17"/>
        <item x="57"/>
        <item x="12"/>
        <item x="145"/>
        <item x="137"/>
        <item x="1"/>
        <item x="136"/>
        <item x="116"/>
        <item x="138"/>
        <item x="74"/>
        <item x="93"/>
        <item x="112"/>
        <item x="2"/>
        <item x="70"/>
        <item x="43"/>
        <item x="86"/>
        <item x="129"/>
        <item x="110"/>
        <item x="16"/>
        <item x="3"/>
        <item x="10"/>
        <item x="103"/>
        <item x="9"/>
        <item x="82"/>
        <item x="52"/>
        <item x="88"/>
        <item x="102"/>
        <item x="98"/>
        <item x="13"/>
        <item x="33"/>
        <item x="134"/>
        <item x="131"/>
        <item x="142"/>
        <item x="30"/>
        <item x="8"/>
        <item x="114"/>
        <item x="94"/>
        <item x="49"/>
        <item x="61"/>
        <item x="4"/>
        <item x="133"/>
        <item x="148"/>
        <item x="81"/>
        <item x="117"/>
        <item x="118"/>
        <item x="22"/>
        <item x="92"/>
        <item x="87"/>
        <item x="84"/>
        <item x="91"/>
        <item x="96"/>
        <item x="56"/>
        <item x="45"/>
        <item x="39"/>
        <item x="68"/>
        <item x="97"/>
        <item x="53"/>
        <item x="36"/>
        <item x="111"/>
        <item x="32"/>
        <item x="135"/>
        <item x="121"/>
        <item x="37"/>
        <item x="14"/>
        <item x="44"/>
        <item x="69"/>
        <item x="124"/>
        <item x="64"/>
        <item x="7"/>
        <item x="55"/>
        <item x="149"/>
        <item x="143"/>
        <item x="83"/>
        <item x="48"/>
        <item x="63"/>
        <item x="60"/>
        <item x="25"/>
        <item x="79"/>
        <item x="126"/>
        <item x="146"/>
        <item x="119"/>
        <item x="76"/>
        <item x="73"/>
        <item x="67"/>
        <item x="42"/>
        <item x="40"/>
        <item x="34"/>
        <item x="147"/>
        <item x="122"/>
        <item x="113"/>
        <item x="123"/>
        <item x="59"/>
        <item x="107"/>
        <item x="72"/>
        <item x="139"/>
        <item x="127"/>
        <item x="99"/>
        <item x="78"/>
        <item x="130"/>
        <item x="0"/>
        <item x="128"/>
        <item t="default"/>
      </items>
    </pivotField>
    <pivotField showAll="0"/>
    <pivotField showAll="0"/>
    <pivotField axis="axisRow" showAll="0">
      <items count="8">
        <item x="4"/>
        <item x="6"/>
        <item x="2"/>
        <item x="1"/>
        <item x="3"/>
        <item x="5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cost" fld="10" baseField="0" baseItem="0"/>
  </dataFields>
  <formats count="12"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4" type="button" dataOnly="0" labelOnly="1" outline="0" axis="axisRow" fieldPosition="0"/>
    </format>
    <format dxfId="54">
      <pivotArea dataOnly="0" labelOnly="1" fieldPosition="0">
        <references count="1">
          <reference field="4" count="0"/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4" type="button" dataOnly="0" labelOnly="1" outline="0" axis="axisRow" fieldPosition="0"/>
    </format>
    <format dxfId="13">
      <pivotArea dataOnly="0" labelOnly="1" fieldPosition="0">
        <references count="1">
          <reference field="4" count="0"/>
        </references>
      </pivotArea>
    </format>
    <format dxfId="12">
      <pivotArea dataOnly="0" labelOnly="1" grandRow="1" outline="0" fieldPosition="0"/>
    </format>
    <format dxfId="11">
      <pivotArea dataOnly="0" labelOnly="1" outline="0" axis="axisValues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6FF7C6-F490-428F-96A5-A5F41E3293B3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G52:H60" firstHeaderRow="1" firstDataRow="1" firstDataCol="1"/>
  <pivotFields count="11">
    <pivotField showAll="0"/>
    <pivotField showAll="0">
      <items count="151">
        <item x="109"/>
        <item x="6"/>
        <item x="101"/>
        <item x="18"/>
        <item x="90"/>
        <item x="125"/>
        <item x="100"/>
        <item x="115"/>
        <item x="141"/>
        <item x="75"/>
        <item x="144"/>
        <item x="23"/>
        <item x="71"/>
        <item x="11"/>
        <item x="15"/>
        <item x="54"/>
        <item x="26"/>
        <item x="104"/>
        <item x="58"/>
        <item x="27"/>
        <item x="38"/>
        <item x="89"/>
        <item x="28"/>
        <item x="19"/>
        <item x="140"/>
        <item x="105"/>
        <item x="77"/>
        <item x="51"/>
        <item x="46"/>
        <item x="85"/>
        <item x="65"/>
        <item x="120"/>
        <item x="106"/>
        <item x="108"/>
        <item x="35"/>
        <item x="66"/>
        <item x="62"/>
        <item x="31"/>
        <item x="5"/>
        <item x="80"/>
        <item x="29"/>
        <item x="132"/>
        <item x="20"/>
        <item x="41"/>
        <item x="95"/>
        <item x="50"/>
        <item x="47"/>
        <item x="24"/>
        <item x="21"/>
        <item x="17"/>
        <item x="57"/>
        <item x="12"/>
        <item x="145"/>
        <item x="137"/>
        <item x="1"/>
        <item x="136"/>
        <item x="116"/>
        <item x="138"/>
        <item x="74"/>
        <item x="93"/>
        <item x="112"/>
        <item x="2"/>
        <item x="70"/>
        <item x="43"/>
        <item x="86"/>
        <item x="129"/>
        <item x="110"/>
        <item x="16"/>
        <item x="3"/>
        <item x="10"/>
        <item x="103"/>
        <item x="9"/>
        <item x="82"/>
        <item x="52"/>
        <item x="88"/>
        <item x="102"/>
        <item x="98"/>
        <item x="13"/>
        <item x="33"/>
        <item x="134"/>
        <item x="131"/>
        <item x="142"/>
        <item x="30"/>
        <item x="8"/>
        <item x="114"/>
        <item x="94"/>
        <item x="49"/>
        <item x="61"/>
        <item x="4"/>
        <item x="133"/>
        <item x="148"/>
        <item x="81"/>
        <item x="117"/>
        <item x="118"/>
        <item x="22"/>
        <item x="92"/>
        <item x="87"/>
        <item x="84"/>
        <item x="91"/>
        <item x="96"/>
        <item x="56"/>
        <item x="45"/>
        <item x="39"/>
        <item x="68"/>
        <item x="97"/>
        <item x="53"/>
        <item x="36"/>
        <item x="111"/>
        <item x="32"/>
        <item x="135"/>
        <item x="121"/>
        <item x="37"/>
        <item x="14"/>
        <item x="44"/>
        <item x="69"/>
        <item x="124"/>
        <item x="64"/>
        <item x="7"/>
        <item x="55"/>
        <item x="149"/>
        <item x="143"/>
        <item x="83"/>
        <item x="48"/>
        <item x="63"/>
        <item x="60"/>
        <item x="25"/>
        <item x="79"/>
        <item x="126"/>
        <item x="146"/>
        <item x="119"/>
        <item x="76"/>
        <item x="73"/>
        <item x="67"/>
        <item x="42"/>
        <item x="40"/>
        <item x="34"/>
        <item x="147"/>
        <item x="122"/>
        <item x="113"/>
        <item x="123"/>
        <item x="59"/>
        <item x="107"/>
        <item x="72"/>
        <item x="139"/>
        <item x="127"/>
        <item x="99"/>
        <item x="78"/>
        <item x="130"/>
        <item x="0"/>
        <item x="128"/>
        <item t="default"/>
      </items>
    </pivotField>
    <pivotField showAll="0"/>
    <pivotField showAll="0"/>
    <pivotField axis="axisRow" showAll="0">
      <items count="8">
        <item x="4"/>
        <item x="6"/>
        <item x="2"/>
        <item x="1"/>
        <item x="3"/>
        <item x="5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rofit" fld="8" baseField="0" baseItem="0"/>
  </dataFields>
  <formats count="12"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4" type="button" dataOnly="0" labelOnly="1" outline="0" axis="axisRow" fieldPosition="0"/>
    </format>
    <format dxfId="60">
      <pivotArea dataOnly="0" labelOnly="1" fieldPosition="0">
        <references count="1">
          <reference field="4" count="0"/>
        </references>
      </pivotArea>
    </format>
    <format dxfId="59">
      <pivotArea dataOnly="0" labelOnly="1" grandRow="1" outline="0" fieldPosition="0"/>
    </format>
    <format dxfId="58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4" type="button" dataOnly="0" labelOnly="1" outline="0" axis="axisRow" fieldPosition="0"/>
    </format>
    <format dxfId="20">
      <pivotArea dataOnly="0" labelOnly="1" fieldPosition="0">
        <references count="1">
          <reference field="4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A4A41C-A5EF-4F85-BE64-C4416FA2A802}" name="Table1" displayName="Table1" ref="A1:L776" totalsRowShown="0" headerRowDxfId="76">
  <autoFilter ref="A1:L776" xr:uid="{A4A4A41C-A5EF-4F85-BE64-C4416FA2A802}"/>
  <tableColumns count="12">
    <tableColumn id="1" xr3:uid="{C3F1A324-C2F6-4C5E-9F90-B01208437102}" name="Transaction ID"/>
    <tableColumn id="2" xr3:uid="{0D8AC31D-E74C-4287-89FC-C9A9F5810B80}" name="Customer ID"/>
    <tableColumn id="3" xr3:uid="{2C26D0E0-7B3F-406A-91AE-34057972FC1D}" name="Date" dataDxfId="77"/>
    <tableColumn id="4" xr3:uid="{836C3284-5680-48B4-AC51-DE572CA8F78E}" name="Transaction Type"/>
    <tableColumn id="5" xr3:uid="{29DC9E33-43D8-4842-BCBE-5A7CEE7FDAB8}" name="Category"/>
    <tableColumn id="6" xr3:uid="{0D29830F-A65A-4460-917B-03D9F820EF90}" name="Merchant Name"/>
    <tableColumn id="7" xr3:uid="{D36A31B1-DED1-4B07-9EE7-432D68028449}" name="Sales"/>
    <tableColumn id="8" xr3:uid="{60F78BCD-C717-41E0-9559-AA4480252C67}" name="Revenue"/>
    <tableColumn id="9" xr3:uid="{996BFDFD-1A5D-4EFD-997F-CA79F3181A2A}" name="Profit"/>
    <tableColumn id="10" xr3:uid="{4AC9FF1D-38A0-45D9-9E52-33BBBEB05C27}" name="Sales Projection"/>
    <tableColumn id="11" xr3:uid="{D362B32A-A1B8-41DB-A8AF-085B778A77E1}" name="cost"/>
    <tableColumn id="12" xr3:uid="{77C756A8-15CA-499A-B680-2BACB4CF226D}" name="Achivem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6.xml"/><Relationship Id="rId7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76"/>
  <sheetViews>
    <sheetView topLeftCell="F745" workbookViewId="0">
      <selection activeCell="R1" sqref="R1:R776"/>
    </sheetView>
  </sheetViews>
  <sheetFormatPr defaultRowHeight="14.4" x14ac:dyDescent="0.3"/>
  <cols>
    <col min="1" max="1" width="13.109375" bestFit="1" customWidth="1"/>
    <col min="2" max="2" width="11.33203125" bestFit="1" customWidth="1"/>
    <col min="3" max="3" width="19.6640625" style="4" bestFit="1" customWidth="1"/>
    <col min="4" max="4" width="15.44140625" bestFit="1" customWidth="1"/>
    <col min="5" max="5" width="14.109375" bestFit="1" customWidth="1"/>
    <col min="6" max="6" width="23.109375" bestFit="1" customWidth="1"/>
    <col min="7" max="7" width="10" style="9" bestFit="1" customWidth="1"/>
    <col min="8" max="8" width="26.21875" bestFit="1" customWidth="1"/>
    <col min="9" max="9" width="8.6640625" bestFit="1" customWidth="1"/>
    <col min="10" max="10" width="14.44140625" bestFit="1" customWidth="1"/>
    <col min="14" max="14" width="23.109375" bestFit="1" customWidth="1"/>
    <col min="15" max="15" width="14.109375" bestFit="1" customWidth="1"/>
    <col min="16" max="16" width="15.44140625" bestFit="1" customWidth="1"/>
    <col min="18" max="18" width="11.109375" bestFit="1" customWidth="1"/>
  </cols>
  <sheetData>
    <row r="1" spans="1:19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1" t="s">
        <v>7</v>
      </c>
      <c r="I1" s="1" t="s">
        <v>8</v>
      </c>
      <c r="J1" s="1" t="s">
        <v>9</v>
      </c>
      <c r="K1" s="1" t="s">
        <v>7</v>
      </c>
      <c r="L1" s="2" t="s">
        <v>1321</v>
      </c>
      <c r="M1" s="2" t="s">
        <v>8</v>
      </c>
      <c r="N1" s="2" t="s">
        <v>5</v>
      </c>
      <c r="O1" s="2" t="s">
        <v>4</v>
      </c>
      <c r="P1" s="2" t="s">
        <v>3</v>
      </c>
      <c r="Q1" s="7" t="s">
        <v>6</v>
      </c>
      <c r="R1" s="7" t="s">
        <v>1336</v>
      </c>
      <c r="S1" s="7"/>
    </row>
    <row r="2" spans="1:19" x14ac:dyDescent="0.3">
      <c r="A2" t="s">
        <v>10</v>
      </c>
      <c r="B2" t="s">
        <v>785</v>
      </c>
      <c r="C2" s="4" t="s">
        <v>935</v>
      </c>
      <c r="D2" t="s">
        <v>1291</v>
      </c>
      <c r="E2" t="s">
        <v>1293</v>
      </c>
      <c r="F2" t="s">
        <v>1300</v>
      </c>
      <c r="G2" s="9">
        <v>269.20999999999998</v>
      </c>
      <c r="H2">
        <v>324.51</v>
      </c>
      <c r="I2">
        <v>-48.68</v>
      </c>
      <c r="J2">
        <v>265.58999999999997</v>
      </c>
      <c r="K2">
        <f>IF(H2,H2,AVERAGE($H$2:$H$35))</f>
        <v>324.51</v>
      </c>
      <c r="L2">
        <f>K2-M2</f>
        <v>373.19</v>
      </c>
      <c r="M2">
        <f>IF(I2,I2,AVERAGE($I$2:$I$68))</f>
        <v>-48.68</v>
      </c>
      <c r="N2" t="str">
        <f>PROPER(F2)</f>
        <v>State Hydro Grid</v>
      </c>
      <c r="O2" t="str">
        <f>PROPER(E2)</f>
        <v>Utilities</v>
      </c>
      <c r="P2" t="str">
        <f>PROPER(D2)</f>
        <v>Withdrawal</v>
      </c>
      <c r="Q2">
        <f>IF(G2,G2,AVERAGE($G$2:$G$31))</f>
        <v>269.20999999999998</v>
      </c>
      <c r="R2">
        <f>Q2-J2</f>
        <v>3.6200000000000045</v>
      </c>
    </row>
    <row r="3" spans="1:19" x14ac:dyDescent="0.3">
      <c r="A3" t="s">
        <v>11</v>
      </c>
      <c r="B3" t="s">
        <v>786</v>
      </c>
      <c r="C3" s="4" t="s">
        <v>936</v>
      </c>
      <c r="D3" t="s">
        <v>1292</v>
      </c>
      <c r="E3" t="s">
        <v>1294</v>
      </c>
      <c r="F3" t="s">
        <v>1301</v>
      </c>
      <c r="G3" s="9">
        <v>542.58000000000004</v>
      </c>
      <c r="H3">
        <v>696.85</v>
      </c>
      <c r="I3">
        <v>154.27000000000001</v>
      </c>
      <c r="J3">
        <v>519.51</v>
      </c>
      <c r="K3">
        <f t="shared" ref="K3:K66" si="0">IF(H3,H3,AVERAGE($H$2:$H$35))</f>
        <v>696.85</v>
      </c>
      <c r="L3">
        <f t="shared" ref="L3:L66" si="1">K3-M3</f>
        <v>542.58000000000004</v>
      </c>
      <c r="M3">
        <f t="shared" ref="M3:M66" si="2">IF(I3,I3,AVERAGE($I$2:$I$68))</f>
        <v>154.27000000000001</v>
      </c>
      <c r="N3" t="str">
        <f t="shared" ref="N3:N66" si="3">PROPER(F3)</f>
        <v>Amazon Digital Supply</v>
      </c>
      <c r="O3" t="str">
        <f t="shared" ref="O3:O66" si="4">PROPER(E3)</f>
        <v>Online Shopping</v>
      </c>
      <c r="P3" t="str">
        <f t="shared" ref="P3:P66" si="5">PROPER(D3)</f>
        <v>Deposit</v>
      </c>
      <c r="Q3">
        <f t="shared" ref="Q3:Q66" si="6">IF(G3,G3,AVERAGE($G$2:$G$31))</f>
        <v>542.58000000000004</v>
      </c>
      <c r="R3">
        <f t="shared" ref="R3:R66" si="7">Q3-J3</f>
        <v>23.07000000000005</v>
      </c>
    </row>
    <row r="4" spans="1:19" x14ac:dyDescent="0.3">
      <c r="A4" t="s">
        <v>12</v>
      </c>
      <c r="B4" t="s">
        <v>787</v>
      </c>
      <c r="C4" s="4" t="s">
        <v>937</v>
      </c>
      <c r="D4" t="s">
        <v>1291</v>
      </c>
      <c r="E4" t="s">
        <v>1295</v>
      </c>
      <c r="F4" t="s">
        <v>1302</v>
      </c>
      <c r="G4" s="9">
        <v>375.58</v>
      </c>
      <c r="H4">
        <v>442.32</v>
      </c>
      <c r="I4">
        <v>-66.349999999999994</v>
      </c>
      <c r="J4">
        <v>430.8</v>
      </c>
      <c r="K4">
        <f t="shared" si="0"/>
        <v>442.32</v>
      </c>
      <c r="L4">
        <f t="shared" si="1"/>
        <v>508.66999999999996</v>
      </c>
      <c r="M4">
        <f t="shared" si="2"/>
        <v>-66.349999999999994</v>
      </c>
      <c r="N4" t="str">
        <f t="shared" si="3"/>
        <v>Supermart Marketplace</v>
      </c>
      <c r="O4" t="str">
        <f t="shared" si="4"/>
        <v>Groceries</v>
      </c>
      <c r="P4" t="str">
        <f t="shared" si="5"/>
        <v>Withdrawal</v>
      </c>
      <c r="Q4">
        <f t="shared" si="6"/>
        <v>375.58</v>
      </c>
      <c r="R4">
        <f t="shared" si="7"/>
        <v>-55.220000000000027</v>
      </c>
    </row>
    <row r="5" spans="1:19" x14ac:dyDescent="0.3">
      <c r="A5" t="s">
        <v>13</v>
      </c>
      <c r="B5" t="s">
        <v>788</v>
      </c>
      <c r="C5" s="4" t="s">
        <v>938</v>
      </c>
      <c r="D5" t="s">
        <v>1292</v>
      </c>
      <c r="E5" t="s">
        <v>1293</v>
      </c>
      <c r="F5" t="s">
        <v>1300</v>
      </c>
      <c r="G5" s="9">
        <v>807.69</v>
      </c>
      <c r="H5">
        <v>930.16</v>
      </c>
      <c r="I5">
        <v>122.47</v>
      </c>
      <c r="J5">
        <v>839.38</v>
      </c>
      <c r="K5">
        <f t="shared" si="0"/>
        <v>930.16</v>
      </c>
      <c r="L5">
        <f t="shared" si="1"/>
        <v>807.68999999999994</v>
      </c>
      <c r="M5">
        <f t="shared" si="2"/>
        <v>122.47</v>
      </c>
      <c r="N5" t="str">
        <f t="shared" si="3"/>
        <v>State Hydro Grid</v>
      </c>
      <c r="O5" t="str">
        <f t="shared" si="4"/>
        <v>Utilities</v>
      </c>
      <c r="P5" t="str">
        <f t="shared" si="5"/>
        <v>Deposit</v>
      </c>
      <c r="Q5">
        <f t="shared" si="6"/>
        <v>807.69</v>
      </c>
      <c r="R5">
        <f t="shared" si="7"/>
        <v>-31.689999999999941</v>
      </c>
    </row>
    <row r="6" spans="1:19" x14ac:dyDescent="0.3">
      <c r="A6" t="s">
        <v>14</v>
      </c>
      <c r="B6" t="s">
        <v>789</v>
      </c>
      <c r="C6" s="4" t="s">
        <v>939</v>
      </c>
      <c r="D6" t="s">
        <v>1291</v>
      </c>
      <c r="E6" t="s">
        <v>1296</v>
      </c>
      <c r="F6" t="s">
        <v>1303</v>
      </c>
      <c r="G6" s="9">
        <v>4843.5200000000004</v>
      </c>
      <c r="H6">
        <v>5611.92</v>
      </c>
      <c r="I6">
        <v>-841.79</v>
      </c>
      <c r="J6">
        <v>4621.9399999999996</v>
      </c>
      <c r="K6">
        <f t="shared" si="0"/>
        <v>5611.92</v>
      </c>
      <c r="L6">
        <f t="shared" si="1"/>
        <v>6453.71</v>
      </c>
      <c r="M6">
        <f t="shared" si="2"/>
        <v>-841.79</v>
      </c>
      <c r="N6" t="str">
        <f t="shared" si="3"/>
        <v>Global Industries Llc</v>
      </c>
      <c r="O6" t="str">
        <f t="shared" si="4"/>
        <v>Salary</v>
      </c>
      <c r="P6" t="str">
        <f t="shared" si="5"/>
        <v>Withdrawal</v>
      </c>
      <c r="Q6">
        <f t="shared" si="6"/>
        <v>4843.5200000000004</v>
      </c>
      <c r="R6">
        <f t="shared" si="7"/>
        <v>221.58000000000084</v>
      </c>
    </row>
    <row r="7" spans="1:19" x14ac:dyDescent="0.3">
      <c r="A7" t="s">
        <v>15</v>
      </c>
      <c r="B7" t="s">
        <v>790</v>
      </c>
      <c r="C7" s="4" t="s">
        <v>940</v>
      </c>
      <c r="D7" t="s">
        <v>1291</v>
      </c>
      <c r="E7" t="s">
        <v>1295</v>
      </c>
      <c r="F7" t="s">
        <v>1304</v>
      </c>
      <c r="G7" s="9">
        <v>619.87</v>
      </c>
      <c r="H7">
        <v>847.4</v>
      </c>
      <c r="I7">
        <v>-127.11</v>
      </c>
      <c r="J7">
        <v>591.57000000000005</v>
      </c>
      <c r="K7">
        <f t="shared" si="0"/>
        <v>847.4</v>
      </c>
      <c r="L7">
        <f t="shared" si="1"/>
        <v>974.51</v>
      </c>
      <c r="M7">
        <f t="shared" si="2"/>
        <v>-127.11</v>
      </c>
      <c r="N7" t="str">
        <f t="shared" si="3"/>
        <v>Whole Foods Store</v>
      </c>
      <c r="O7" t="str">
        <f t="shared" si="4"/>
        <v>Groceries</v>
      </c>
      <c r="P7" t="str">
        <f t="shared" si="5"/>
        <v>Withdrawal</v>
      </c>
      <c r="Q7">
        <f t="shared" si="6"/>
        <v>619.87</v>
      </c>
      <c r="R7">
        <f t="shared" si="7"/>
        <v>28.299999999999955</v>
      </c>
    </row>
    <row r="8" spans="1:19" x14ac:dyDescent="0.3">
      <c r="A8" t="s">
        <v>16</v>
      </c>
      <c r="B8" t="s">
        <v>791</v>
      </c>
      <c r="C8" s="4" t="s">
        <v>941</v>
      </c>
      <c r="D8" t="s">
        <v>1292</v>
      </c>
      <c r="E8" t="s">
        <v>1297</v>
      </c>
      <c r="F8" t="s">
        <v>1305</v>
      </c>
      <c r="G8" s="9">
        <v>847.04</v>
      </c>
      <c r="H8">
        <v>1067.75</v>
      </c>
      <c r="I8">
        <v>220.71</v>
      </c>
      <c r="J8">
        <v>970</v>
      </c>
      <c r="K8">
        <f t="shared" si="0"/>
        <v>1067.75</v>
      </c>
      <c r="L8">
        <f t="shared" si="1"/>
        <v>847.04</v>
      </c>
      <c r="M8">
        <f t="shared" si="2"/>
        <v>220.71</v>
      </c>
      <c r="N8" t="str">
        <f t="shared" si="3"/>
        <v>Mcdonalds Corp Express</v>
      </c>
      <c r="O8" t="str">
        <f t="shared" si="4"/>
        <v>Dining Out</v>
      </c>
      <c r="P8" t="str">
        <f t="shared" si="5"/>
        <v>Deposit</v>
      </c>
      <c r="Q8">
        <f t="shared" si="6"/>
        <v>847.04</v>
      </c>
      <c r="R8">
        <f t="shared" si="7"/>
        <v>-122.96000000000004</v>
      </c>
    </row>
    <row r="9" spans="1:19" x14ac:dyDescent="0.3">
      <c r="A9" t="s">
        <v>17</v>
      </c>
      <c r="B9" t="s">
        <v>792</v>
      </c>
      <c r="C9" s="4" t="s">
        <v>942</v>
      </c>
      <c r="D9" t="s">
        <v>1292</v>
      </c>
      <c r="E9" t="s">
        <v>1298</v>
      </c>
      <c r="F9" t="s">
        <v>1306</v>
      </c>
      <c r="G9" s="9">
        <v>1072.55</v>
      </c>
      <c r="H9">
        <v>1353.15</v>
      </c>
      <c r="I9">
        <v>280.60000000000002</v>
      </c>
      <c r="J9">
        <v>1251.53</v>
      </c>
      <c r="K9">
        <f t="shared" si="0"/>
        <v>1353.15</v>
      </c>
      <c r="L9">
        <f t="shared" si="1"/>
        <v>1072.5500000000002</v>
      </c>
      <c r="M9">
        <f t="shared" si="2"/>
        <v>280.60000000000002</v>
      </c>
      <c r="N9" t="str">
        <f t="shared" si="3"/>
        <v>Internal P2P Route</v>
      </c>
      <c r="O9" t="str">
        <f t="shared" si="4"/>
        <v>Transfer</v>
      </c>
      <c r="P9" t="str">
        <f t="shared" si="5"/>
        <v>Deposit</v>
      </c>
      <c r="Q9">
        <f t="shared" si="6"/>
        <v>1072.55</v>
      </c>
      <c r="R9">
        <f t="shared" si="7"/>
        <v>-178.98000000000002</v>
      </c>
    </row>
    <row r="10" spans="1:19" x14ac:dyDescent="0.3">
      <c r="A10" t="s">
        <v>18</v>
      </c>
      <c r="B10" t="s">
        <v>790</v>
      </c>
      <c r="C10" s="4" t="s">
        <v>943</v>
      </c>
      <c r="D10" t="s">
        <v>1291</v>
      </c>
      <c r="E10" t="s">
        <v>1296</v>
      </c>
      <c r="F10" t="s">
        <v>1307</v>
      </c>
      <c r="G10" s="9">
        <v>7790.63</v>
      </c>
      <c r="H10">
        <v>9641.6299999999992</v>
      </c>
      <c r="I10">
        <v>-1446.24</v>
      </c>
      <c r="J10">
        <v>7145.94</v>
      </c>
      <c r="K10">
        <f t="shared" si="0"/>
        <v>9641.6299999999992</v>
      </c>
      <c r="L10">
        <f t="shared" si="1"/>
        <v>11087.869999999999</v>
      </c>
      <c r="M10">
        <f t="shared" si="2"/>
        <v>-1446.24</v>
      </c>
      <c r="N10" t="str">
        <f t="shared" si="3"/>
        <v>Techcorp Payroll Inc</v>
      </c>
      <c r="O10" t="str">
        <f t="shared" si="4"/>
        <v>Salary</v>
      </c>
      <c r="P10" t="str">
        <f t="shared" si="5"/>
        <v>Withdrawal</v>
      </c>
      <c r="Q10">
        <f t="shared" si="6"/>
        <v>7790.63</v>
      </c>
      <c r="R10">
        <f t="shared" si="7"/>
        <v>644.69000000000051</v>
      </c>
    </row>
    <row r="11" spans="1:19" x14ac:dyDescent="0.3">
      <c r="A11" t="s">
        <v>19</v>
      </c>
      <c r="B11" t="s">
        <v>793</v>
      </c>
      <c r="C11" s="4" t="s">
        <v>944</v>
      </c>
      <c r="D11" t="s">
        <v>1291</v>
      </c>
      <c r="E11" t="s">
        <v>1293</v>
      </c>
      <c r="F11" t="s">
        <v>1300</v>
      </c>
      <c r="G11" s="9">
        <v>636.4</v>
      </c>
      <c r="H11">
        <v>859.18</v>
      </c>
      <c r="I11">
        <v>-128.88</v>
      </c>
      <c r="J11">
        <v>755.92</v>
      </c>
      <c r="K11">
        <f t="shared" si="0"/>
        <v>859.18</v>
      </c>
      <c r="L11">
        <f t="shared" si="1"/>
        <v>988.06</v>
      </c>
      <c r="M11">
        <f t="shared" si="2"/>
        <v>-128.88</v>
      </c>
      <c r="N11" t="str">
        <f t="shared" si="3"/>
        <v>State Hydro Grid</v>
      </c>
      <c r="O11" t="str">
        <f t="shared" si="4"/>
        <v>Utilities</v>
      </c>
      <c r="P11" t="str">
        <f t="shared" si="5"/>
        <v>Withdrawal</v>
      </c>
      <c r="Q11">
        <f t="shared" si="6"/>
        <v>636.4</v>
      </c>
      <c r="R11">
        <f t="shared" si="7"/>
        <v>-119.51999999999998</v>
      </c>
    </row>
    <row r="12" spans="1:19" x14ac:dyDescent="0.3">
      <c r="A12" t="s">
        <v>20</v>
      </c>
      <c r="B12" t="s">
        <v>794</v>
      </c>
      <c r="C12" s="4" t="s">
        <v>945</v>
      </c>
      <c r="D12" t="s">
        <v>1292</v>
      </c>
      <c r="E12" t="s">
        <v>1296</v>
      </c>
      <c r="F12" t="s">
        <v>1308</v>
      </c>
      <c r="G12" s="9">
        <v>7371.46</v>
      </c>
      <c r="H12">
        <v>9685.99</v>
      </c>
      <c r="I12">
        <v>2314.5300000000002</v>
      </c>
      <c r="J12">
        <v>6732.63</v>
      </c>
      <c r="K12">
        <f t="shared" si="0"/>
        <v>9685.99</v>
      </c>
      <c r="L12">
        <f t="shared" si="1"/>
        <v>7371.4599999999991</v>
      </c>
      <c r="M12">
        <f t="shared" si="2"/>
        <v>2314.5300000000002</v>
      </c>
      <c r="N12" t="str">
        <f t="shared" si="3"/>
        <v>Stark Retail Labs</v>
      </c>
      <c r="O12" t="str">
        <f t="shared" si="4"/>
        <v>Salary</v>
      </c>
      <c r="P12" t="str">
        <f t="shared" si="5"/>
        <v>Deposit</v>
      </c>
      <c r="Q12">
        <f t="shared" si="6"/>
        <v>7371.46</v>
      </c>
      <c r="R12">
        <f t="shared" si="7"/>
        <v>638.82999999999993</v>
      </c>
    </row>
    <row r="13" spans="1:19" x14ac:dyDescent="0.3">
      <c r="A13" t="s">
        <v>21</v>
      </c>
      <c r="B13" t="s">
        <v>795</v>
      </c>
      <c r="C13" s="4" t="s">
        <v>946</v>
      </c>
      <c r="D13" t="s">
        <v>1291</v>
      </c>
      <c r="E13" t="s">
        <v>1294</v>
      </c>
      <c r="F13" t="s">
        <v>1301</v>
      </c>
      <c r="G13" s="9">
        <v>356.46</v>
      </c>
      <c r="H13">
        <v>470.43</v>
      </c>
      <c r="I13">
        <v>-70.56</v>
      </c>
      <c r="J13">
        <v>416.43</v>
      </c>
      <c r="K13">
        <f t="shared" si="0"/>
        <v>470.43</v>
      </c>
      <c r="L13">
        <f t="shared" si="1"/>
        <v>540.99</v>
      </c>
      <c r="M13">
        <f t="shared" si="2"/>
        <v>-70.56</v>
      </c>
      <c r="N13" t="str">
        <f t="shared" si="3"/>
        <v>Amazon Digital Supply</v>
      </c>
      <c r="O13" t="str">
        <f t="shared" si="4"/>
        <v>Online Shopping</v>
      </c>
      <c r="P13" t="str">
        <f t="shared" si="5"/>
        <v>Withdrawal</v>
      </c>
      <c r="Q13">
        <f t="shared" si="6"/>
        <v>356.46</v>
      </c>
      <c r="R13">
        <f t="shared" si="7"/>
        <v>-59.970000000000027</v>
      </c>
    </row>
    <row r="14" spans="1:19" x14ac:dyDescent="0.3">
      <c r="A14" t="s">
        <v>22</v>
      </c>
      <c r="B14" t="s">
        <v>796</v>
      </c>
      <c r="C14" s="4" t="s">
        <v>947</v>
      </c>
      <c r="D14" t="s">
        <v>1292</v>
      </c>
      <c r="E14" t="s">
        <v>1295</v>
      </c>
      <c r="F14" t="s">
        <v>1302</v>
      </c>
      <c r="G14" s="9">
        <v>187.84</v>
      </c>
      <c r="H14">
        <v>221.72</v>
      </c>
      <c r="I14">
        <v>33.880000000000003</v>
      </c>
      <c r="J14">
        <v>170.4</v>
      </c>
      <c r="K14">
        <f t="shared" si="0"/>
        <v>221.72</v>
      </c>
      <c r="L14">
        <f t="shared" si="1"/>
        <v>187.84</v>
      </c>
      <c r="M14">
        <f t="shared" si="2"/>
        <v>33.880000000000003</v>
      </c>
      <c r="N14" t="str">
        <f t="shared" si="3"/>
        <v>Supermart Marketplace</v>
      </c>
      <c r="O14" t="str">
        <f t="shared" si="4"/>
        <v>Groceries</v>
      </c>
      <c r="P14" t="str">
        <f t="shared" si="5"/>
        <v>Deposit</v>
      </c>
      <c r="Q14">
        <f t="shared" si="6"/>
        <v>187.84</v>
      </c>
      <c r="R14">
        <f t="shared" si="7"/>
        <v>17.439999999999998</v>
      </c>
    </row>
    <row r="15" spans="1:19" x14ac:dyDescent="0.3">
      <c r="A15" t="s">
        <v>23</v>
      </c>
      <c r="B15" t="s">
        <v>797</v>
      </c>
      <c r="C15" s="4" t="s">
        <v>948</v>
      </c>
      <c r="D15" t="s">
        <v>1291</v>
      </c>
      <c r="E15" t="s">
        <v>1297</v>
      </c>
      <c r="F15" t="s">
        <v>1309</v>
      </c>
      <c r="G15" s="9">
        <v>262.58</v>
      </c>
      <c r="H15">
        <v>332.06</v>
      </c>
      <c r="I15">
        <v>-49.81</v>
      </c>
      <c r="J15">
        <v>280.13</v>
      </c>
      <c r="K15">
        <f t="shared" si="0"/>
        <v>332.06</v>
      </c>
      <c r="L15">
        <f t="shared" si="1"/>
        <v>381.87</v>
      </c>
      <c r="M15">
        <f t="shared" si="2"/>
        <v>-49.81</v>
      </c>
      <c r="N15" t="str">
        <f t="shared" si="3"/>
        <v>Olive Garden Gourmet</v>
      </c>
      <c r="O15" t="str">
        <f t="shared" si="4"/>
        <v>Dining Out</v>
      </c>
      <c r="P15" t="str">
        <f t="shared" si="5"/>
        <v>Withdrawal</v>
      </c>
      <c r="Q15">
        <f t="shared" si="6"/>
        <v>262.58</v>
      </c>
      <c r="R15">
        <f t="shared" si="7"/>
        <v>-17.550000000000011</v>
      </c>
    </row>
    <row r="16" spans="1:19" x14ac:dyDescent="0.3">
      <c r="A16" t="s">
        <v>24</v>
      </c>
      <c r="B16" t="s">
        <v>798</v>
      </c>
      <c r="C16" s="4" t="s">
        <v>949</v>
      </c>
      <c r="D16" t="s">
        <v>1291</v>
      </c>
      <c r="E16" t="s">
        <v>1295</v>
      </c>
      <c r="F16" t="s">
        <v>1304</v>
      </c>
      <c r="G16" s="9">
        <v>905.35</v>
      </c>
      <c r="H16">
        <v>1096.8499999999999</v>
      </c>
      <c r="I16">
        <v>-164.53</v>
      </c>
      <c r="J16">
        <v>971.85</v>
      </c>
      <c r="K16">
        <f t="shared" si="0"/>
        <v>1096.8499999999999</v>
      </c>
      <c r="L16">
        <f t="shared" si="1"/>
        <v>1261.3799999999999</v>
      </c>
      <c r="M16">
        <f t="shared" si="2"/>
        <v>-164.53</v>
      </c>
      <c r="N16" t="str">
        <f t="shared" si="3"/>
        <v>Whole Foods Store</v>
      </c>
      <c r="O16" t="str">
        <f t="shared" si="4"/>
        <v>Groceries</v>
      </c>
      <c r="P16" t="str">
        <f t="shared" si="5"/>
        <v>Withdrawal</v>
      </c>
      <c r="Q16">
        <f t="shared" si="6"/>
        <v>905.35</v>
      </c>
      <c r="R16">
        <f t="shared" si="7"/>
        <v>-66.5</v>
      </c>
    </row>
    <row r="17" spans="1:18" x14ac:dyDescent="0.3">
      <c r="A17" t="s">
        <v>25</v>
      </c>
      <c r="B17" t="s">
        <v>799</v>
      </c>
      <c r="C17" s="4" t="s">
        <v>950</v>
      </c>
      <c r="D17" t="s">
        <v>1291</v>
      </c>
      <c r="E17" t="s">
        <v>1297</v>
      </c>
      <c r="F17" t="s">
        <v>1309</v>
      </c>
      <c r="G17" s="9">
        <v>54.92</v>
      </c>
      <c r="H17">
        <v>75.510000000000005</v>
      </c>
      <c r="I17">
        <v>-11.33</v>
      </c>
      <c r="J17">
        <v>65.489999999999995</v>
      </c>
      <c r="K17">
        <f t="shared" si="0"/>
        <v>75.510000000000005</v>
      </c>
      <c r="L17">
        <f t="shared" si="1"/>
        <v>86.84</v>
      </c>
      <c r="M17">
        <f t="shared" si="2"/>
        <v>-11.33</v>
      </c>
      <c r="N17" t="str">
        <f t="shared" si="3"/>
        <v>Olive Garden Gourmet</v>
      </c>
      <c r="O17" t="str">
        <f t="shared" si="4"/>
        <v>Dining Out</v>
      </c>
      <c r="P17" t="str">
        <f t="shared" si="5"/>
        <v>Withdrawal</v>
      </c>
      <c r="Q17">
        <f t="shared" si="6"/>
        <v>54.92</v>
      </c>
      <c r="R17">
        <f t="shared" si="7"/>
        <v>-10.569999999999993</v>
      </c>
    </row>
    <row r="18" spans="1:18" x14ac:dyDescent="0.3">
      <c r="A18" t="s">
        <v>26</v>
      </c>
      <c r="B18" t="s">
        <v>800</v>
      </c>
      <c r="C18" s="4" t="s">
        <v>951</v>
      </c>
      <c r="D18" t="s">
        <v>1291</v>
      </c>
      <c r="E18" t="s">
        <v>1298</v>
      </c>
      <c r="F18" t="s">
        <v>1310</v>
      </c>
      <c r="G18" s="9">
        <v>592.55999999999995</v>
      </c>
      <c r="H18">
        <v>800.74</v>
      </c>
      <c r="I18">
        <v>-120.11</v>
      </c>
      <c r="J18">
        <v>646.33000000000004</v>
      </c>
      <c r="K18">
        <f t="shared" si="0"/>
        <v>800.74</v>
      </c>
      <c r="L18">
        <f t="shared" si="1"/>
        <v>920.85</v>
      </c>
      <c r="M18">
        <f t="shared" si="2"/>
        <v>-120.11</v>
      </c>
      <c r="N18" t="str">
        <f t="shared" si="3"/>
        <v>Zelle Payment Engine</v>
      </c>
      <c r="O18" t="str">
        <f t="shared" si="4"/>
        <v>Transfer</v>
      </c>
      <c r="P18" t="str">
        <f t="shared" si="5"/>
        <v>Withdrawal</v>
      </c>
      <c r="Q18">
        <f t="shared" si="6"/>
        <v>592.55999999999995</v>
      </c>
      <c r="R18">
        <f t="shared" si="7"/>
        <v>-53.770000000000095</v>
      </c>
    </row>
    <row r="19" spans="1:18" x14ac:dyDescent="0.3">
      <c r="A19" t="s">
        <v>27</v>
      </c>
      <c r="B19" t="s">
        <v>788</v>
      </c>
      <c r="C19" s="4" t="s">
        <v>952</v>
      </c>
      <c r="D19" t="s">
        <v>1292</v>
      </c>
      <c r="E19" t="s">
        <v>1297</v>
      </c>
      <c r="F19" t="s">
        <v>1305</v>
      </c>
      <c r="G19" s="9">
        <v>880.09</v>
      </c>
      <c r="H19">
        <v>1044.4000000000001</v>
      </c>
      <c r="I19">
        <v>164.31</v>
      </c>
      <c r="J19">
        <v>980.5</v>
      </c>
      <c r="K19">
        <f t="shared" si="0"/>
        <v>1044.4000000000001</v>
      </c>
      <c r="L19">
        <f t="shared" si="1"/>
        <v>880.09000000000015</v>
      </c>
      <c r="M19">
        <f t="shared" si="2"/>
        <v>164.31</v>
      </c>
      <c r="N19" t="str">
        <f t="shared" si="3"/>
        <v>Mcdonalds Corp Express</v>
      </c>
      <c r="O19" t="str">
        <f t="shared" si="4"/>
        <v>Dining Out</v>
      </c>
      <c r="P19" t="str">
        <f t="shared" si="5"/>
        <v>Deposit</v>
      </c>
      <c r="Q19">
        <f t="shared" si="6"/>
        <v>880.09</v>
      </c>
      <c r="R19">
        <f t="shared" si="7"/>
        <v>-100.40999999999997</v>
      </c>
    </row>
    <row r="20" spans="1:18" x14ac:dyDescent="0.3">
      <c r="A20" t="s">
        <v>28</v>
      </c>
      <c r="B20" t="s">
        <v>801</v>
      </c>
      <c r="C20" s="4" t="s">
        <v>951</v>
      </c>
      <c r="D20" t="s">
        <v>1292</v>
      </c>
      <c r="E20" t="s">
        <v>1299</v>
      </c>
      <c r="F20" t="s">
        <v>1311</v>
      </c>
      <c r="G20" s="9">
        <v>290.32</v>
      </c>
      <c r="H20">
        <v>347.82</v>
      </c>
      <c r="I20">
        <v>57.5</v>
      </c>
      <c r="J20">
        <v>275.05</v>
      </c>
      <c r="K20">
        <f t="shared" si="0"/>
        <v>347.82</v>
      </c>
      <c r="L20">
        <f t="shared" si="1"/>
        <v>290.32</v>
      </c>
      <c r="M20">
        <f t="shared" si="2"/>
        <v>57.5</v>
      </c>
      <c r="N20" t="str">
        <f t="shared" si="3"/>
        <v>Spotify Music Hub</v>
      </c>
      <c r="O20" t="str">
        <f t="shared" si="4"/>
        <v>Entertainment</v>
      </c>
      <c r="P20" t="str">
        <f t="shared" si="5"/>
        <v>Deposit</v>
      </c>
      <c r="Q20">
        <f t="shared" si="6"/>
        <v>290.32</v>
      </c>
      <c r="R20">
        <f t="shared" si="7"/>
        <v>15.269999999999982</v>
      </c>
    </row>
    <row r="21" spans="1:18" x14ac:dyDescent="0.3">
      <c r="A21" t="s">
        <v>29</v>
      </c>
      <c r="B21" t="s">
        <v>802</v>
      </c>
      <c r="C21" s="4" t="s">
        <v>953</v>
      </c>
      <c r="D21" t="s">
        <v>1292</v>
      </c>
      <c r="E21" t="s">
        <v>1297</v>
      </c>
      <c r="F21" t="s">
        <v>1309</v>
      </c>
      <c r="G21" s="9">
        <v>824.84</v>
      </c>
      <c r="H21">
        <v>1130.0899999999999</v>
      </c>
      <c r="I21">
        <v>305.25</v>
      </c>
      <c r="J21">
        <v>768.34</v>
      </c>
      <c r="K21">
        <f t="shared" si="0"/>
        <v>1130.0899999999999</v>
      </c>
      <c r="L21">
        <f t="shared" si="1"/>
        <v>824.83999999999992</v>
      </c>
      <c r="M21">
        <f t="shared" si="2"/>
        <v>305.25</v>
      </c>
      <c r="N21" t="str">
        <f t="shared" si="3"/>
        <v>Olive Garden Gourmet</v>
      </c>
      <c r="O21" t="str">
        <f t="shared" si="4"/>
        <v>Dining Out</v>
      </c>
      <c r="P21" t="str">
        <f t="shared" si="5"/>
        <v>Deposit</v>
      </c>
      <c r="Q21">
        <f t="shared" si="6"/>
        <v>824.84</v>
      </c>
      <c r="R21">
        <f t="shared" si="7"/>
        <v>56.5</v>
      </c>
    </row>
    <row r="22" spans="1:18" x14ac:dyDescent="0.3">
      <c r="A22" t="s">
        <v>30</v>
      </c>
      <c r="B22" t="s">
        <v>803</v>
      </c>
      <c r="C22" s="4" t="s">
        <v>954</v>
      </c>
      <c r="D22" t="s">
        <v>1292</v>
      </c>
      <c r="E22" t="s">
        <v>1297</v>
      </c>
      <c r="F22" t="s">
        <v>1309</v>
      </c>
      <c r="G22" s="9">
        <v>167.75</v>
      </c>
      <c r="H22">
        <v>197.55</v>
      </c>
      <c r="I22">
        <v>29.8</v>
      </c>
      <c r="J22">
        <v>153.03</v>
      </c>
      <c r="K22">
        <f t="shared" si="0"/>
        <v>197.55</v>
      </c>
      <c r="L22">
        <f t="shared" si="1"/>
        <v>167.75</v>
      </c>
      <c r="M22">
        <f t="shared" si="2"/>
        <v>29.8</v>
      </c>
      <c r="N22" t="str">
        <f t="shared" si="3"/>
        <v>Olive Garden Gourmet</v>
      </c>
      <c r="O22" t="str">
        <f t="shared" si="4"/>
        <v>Dining Out</v>
      </c>
      <c r="P22" t="str">
        <f t="shared" si="5"/>
        <v>Deposit</v>
      </c>
      <c r="Q22">
        <f t="shared" si="6"/>
        <v>167.75</v>
      </c>
      <c r="R22">
        <f t="shared" si="7"/>
        <v>14.719999999999999</v>
      </c>
    </row>
    <row r="23" spans="1:18" x14ac:dyDescent="0.3">
      <c r="A23" t="s">
        <v>31</v>
      </c>
      <c r="B23" t="s">
        <v>804</v>
      </c>
      <c r="C23" s="4" t="s">
        <v>937</v>
      </c>
      <c r="D23" t="s">
        <v>1292</v>
      </c>
      <c r="E23" t="s">
        <v>1299</v>
      </c>
      <c r="F23" t="s">
        <v>1312</v>
      </c>
      <c r="G23" s="9">
        <v>826.21</v>
      </c>
      <c r="H23">
        <v>962.91</v>
      </c>
      <c r="I23">
        <v>136.69999999999999</v>
      </c>
      <c r="J23">
        <v>767.46</v>
      </c>
      <c r="K23">
        <f t="shared" si="0"/>
        <v>962.91</v>
      </c>
      <c r="L23">
        <f t="shared" si="1"/>
        <v>826.21</v>
      </c>
      <c r="M23">
        <f t="shared" si="2"/>
        <v>136.69999999999999</v>
      </c>
      <c r="N23" t="str">
        <f t="shared" si="3"/>
        <v>Netflix Streaming Premium</v>
      </c>
      <c r="O23" t="str">
        <f t="shared" si="4"/>
        <v>Entertainment</v>
      </c>
      <c r="P23" t="str">
        <f t="shared" si="5"/>
        <v>Deposit</v>
      </c>
      <c r="Q23">
        <f t="shared" si="6"/>
        <v>826.21</v>
      </c>
      <c r="R23">
        <f t="shared" si="7"/>
        <v>58.75</v>
      </c>
    </row>
    <row r="24" spans="1:18" x14ac:dyDescent="0.3">
      <c r="A24" t="s">
        <v>32</v>
      </c>
      <c r="B24" t="s">
        <v>805</v>
      </c>
      <c r="C24" s="4" t="s">
        <v>955</v>
      </c>
      <c r="D24" t="s">
        <v>1291</v>
      </c>
      <c r="E24" t="s">
        <v>1295</v>
      </c>
      <c r="F24" t="s">
        <v>1313</v>
      </c>
      <c r="G24" s="9">
        <v>1123.8</v>
      </c>
      <c r="H24">
        <v>1385.8</v>
      </c>
      <c r="I24">
        <v>-207.87</v>
      </c>
      <c r="J24">
        <v>1022.35</v>
      </c>
      <c r="K24">
        <f t="shared" si="0"/>
        <v>1385.8</v>
      </c>
      <c r="L24">
        <f t="shared" si="1"/>
        <v>1593.67</v>
      </c>
      <c r="M24">
        <f t="shared" si="2"/>
        <v>-207.87</v>
      </c>
      <c r="N24" t="str">
        <f t="shared" si="3"/>
        <v>Fresh &amp; Fast Logistics</v>
      </c>
      <c r="O24" t="str">
        <f t="shared" si="4"/>
        <v>Groceries</v>
      </c>
      <c r="P24" t="str">
        <f t="shared" si="5"/>
        <v>Withdrawal</v>
      </c>
      <c r="Q24">
        <f t="shared" si="6"/>
        <v>1123.8</v>
      </c>
      <c r="R24">
        <f t="shared" si="7"/>
        <v>101.44999999999993</v>
      </c>
    </row>
    <row r="25" spans="1:18" x14ac:dyDescent="0.3">
      <c r="A25" t="s">
        <v>33</v>
      </c>
      <c r="B25" t="s">
        <v>787</v>
      </c>
      <c r="C25" s="4" t="s">
        <v>956</v>
      </c>
      <c r="D25" t="s">
        <v>1291</v>
      </c>
      <c r="E25" t="s">
        <v>1295</v>
      </c>
      <c r="F25" t="s">
        <v>1313</v>
      </c>
      <c r="G25" s="9">
        <v>535.25</v>
      </c>
      <c r="H25">
        <v>739.41</v>
      </c>
      <c r="I25">
        <v>-110.91</v>
      </c>
      <c r="J25">
        <v>623.66</v>
      </c>
      <c r="K25">
        <f t="shared" si="0"/>
        <v>739.41</v>
      </c>
      <c r="L25">
        <f t="shared" si="1"/>
        <v>850.31999999999994</v>
      </c>
      <c r="M25">
        <f t="shared" si="2"/>
        <v>-110.91</v>
      </c>
      <c r="N25" t="str">
        <f t="shared" si="3"/>
        <v>Fresh &amp; Fast Logistics</v>
      </c>
      <c r="O25" t="str">
        <f t="shared" si="4"/>
        <v>Groceries</v>
      </c>
      <c r="P25" t="str">
        <f t="shared" si="5"/>
        <v>Withdrawal</v>
      </c>
      <c r="Q25">
        <f t="shared" si="6"/>
        <v>535.25</v>
      </c>
      <c r="R25">
        <f t="shared" si="7"/>
        <v>-88.409999999999968</v>
      </c>
    </row>
    <row r="26" spans="1:18" x14ac:dyDescent="0.3">
      <c r="A26" t="s">
        <v>34</v>
      </c>
      <c r="B26" t="s">
        <v>806</v>
      </c>
      <c r="C26" s="4" t="s">
        <v>953</v>
      </c>
      <c r="D26" t="s">
        <v>1292</v>
      </c>
      <c r="E26" t="s">
        <v>1294</v>
      </c>
      <c r="F26" t="s">
        <v>1314</v>
      </c>
      <c r="G26" s="9">
        <v>910.95</v>
      </c>
      <c r="H26">
        <v>1133.02</v>
      </c>
      <c r="I26">
        <v>222.07</v>
      </c>
      <c r="J26">
        <v>889.39</v>
      </c>
      <c r="K26">
        <f t="shared" si="0"/>
        <v>1133.02</v>
      </c>
      <c r="L26">
        <f t="shared" si="1"/>
        <v>910.95</v>
      </c>
      <c r="M26">
        <f t="shared" si="2"/>
        <v>222.07</v>
      </c>
      <c r="N26" t="str">
        <f t="shared" si="3"/>
        <v>Target Direct Online</v>
      </c>
      <c r="O26" t="str">
        <f t="shared" si="4"/>
        <v>Online Shopping</v>
      </c>
      <c r="P26" t="str">
        <f t="shared" si="5"/>
        <v>Deposit</v>
      </c>
      <c r="Q26">
        <f t="shared" si="6"/>
        <v>910.95</v>
      </c>
      <c r="R26">
        <f t="shared" si="7"/>
        <v>21.560000000000059</v>
      </c>
    </row>
    <row r="27" spans="1:18" x14ac:dyDescent="0.3">
      <c r="A27" t="s">
        <v>35</v>
      </c>
      <c r="B27" t="s">
        <v>807</v>
      </c>
      <c r="C27" s="4" t="s">
        <v>957</v>
      </c>
      <c r="D27" t="s">
        <v>1291</v>
      </c>
      <c r="E27" t="s">
        <v>1298</v>
      </c>
      <c r="F27" t="s">
        <v>1306</v>
      </c>
      <c r="G27" s="9">
        <v>372.66</v>
      </c>
      <c r="H27">
        <v>445</v>
      </c>
      <c r="I27">
        <v>-66.75</v>
      </c>
      <c r="J27">
        <v>337.75</v>
      </c>
      <c r="K27">
        <f t="shared" si="0"/>
        <v>445</v>
      </c>
      <c r="L27">
        <f t="shared" si="1"/>
        <v>511.75</v>
      </c>
      <c r="M27">
        <f t="shared" si="2"/>
        <v>-66.75</v>
      </c>
      <c r="N27" t="str">
        <f t="shared" si="3"/>
        <v>Internal P2P Route</v>
      </c>
      <c r="O27" t="str">
        <f t="shared" si="4"/>
        <v>Transfer</v>
      </c>
      <c r="P27" t="str">
        <f t="shared" si="5"/>
        <v>Withdrawal</v>
      </c>
      <c r="Q27">
        <f t="shared" si="6"/>
        <v>372.66</v>
      </c>
      <c r="R27">
        <f t="shared" si="7"/>
        <v>34.910000000000025</v>
      </c>
    </row>
    <row r="28" spans="1:18" x14ac:dyDescent="0.3">
      <c r="A28" t="s">
        <v>36</v>
      </c>
      <c r="B28" t="s">
        <v>808</v>
      </c>
      <c r="C28" s="4" t="s">
        <v>958</v>
      </c>
      <c r="D28" t="s">
        <v>1292</v>
      </c>
      <c r="E28" t="s">
        <v>1294</v>
      </c>
      <c r="F28" t="s">
        <v>1301</v>
      </c>
      <c r="G28" s="9">
        <v>465.17</v>
      </c>
      <c r="H28">
        <v>591.79999999999995</v>
      </c>
      <c r="I28">
        <v>126.63</v>
      </c>
      <c r="J28">
        <v>473.28</v>
      </c>
      <c r="K28">
        <f t="shared" si="0"/>
        <v>591.79999999999995</v>
      </c>
      <c r="L28">
        <f t="shared" si="1"/>
        <v>465.16999999999996</v>
      </c>
      <c r="M28">
        <f t="shared" si="2"/>
        <v>126.63</v>
      </c>
      <c r="N28" t="str">
        <f t="shared" si="3"/>
        <v>Amazon Digital Supply</v>
      </c>
      <c r="O28" t="str">
        <f t="shared" si="4"/>
        <v>Online Shopping</v>
      </c>
      <c r="P28" t="str">
        <f t="shared" si="5"/>
        <v>Deposit</v>
      </c>
      <c r="Q28">
        <f t="shared" si="6"/>
        <v>465.17</v>
      </c>
      <c r="R28">
        <f t="shared" si="7"/>
        <v>-8.1099999999999568</v>
      </c>
    </row>
    <row r="29" spans="1:18" x14ac:dyDescent="0.3">
      <c r="A29" t="s">
        <v>37</v>
      </c>
      <c r="B29" t="s">
        <v>809</v>
      </c>
      <c r="C29" s="4" t="s">
        <v>959</v>
      </c>
      <c r="D29" t="s">
        <v>1291</v>
      </c>
      <c r="E29" t="s">
        <v>1294</v>
      </c>
      <c r="F29" t="s">
        <v>1315</v>
      </c>
      <c r="G29" s="9">
        <v>878.04</v>
      </c>
      <c r="H29">
        <v>1159.96</v>
      </c>
      <c r="I29">
        <v>-173.99</v>
      </c>
      <c r="J29">
        <v>865.19</v>
      </c>
      <c r="K29">
        <f t="shared" si="0"/>
        <v>1159.96</v>
      </c>
      <c r="L29">
        <f t="shared" si="1"/>
        <v>1333.95</v>
      </c>
      <c r="M29">
        <f t="shared" si="2"/>
        <v>-173.99</v>
      </c>
      <c r="N29" t="str">
        <f t="shared" si="3"/>
        <v>Ebay International</v>
      </c>
      <c r="O29" t="str">
        <f t="shared" si="4"/>
        <v>Online Shopping</v>
      </c>
      <c r="P29" t="str">
        <f t="shared" si="5"/>
        <v>Withdrawal</v>
      </c>
      <c r="Q29">
        <f t="shared" si="6"/>
        <v>878.04</v>
      </c>
      <c r="R29">
        <f t="shared" si="7"/>
        <v>12.849999999999909</v>
      </c>
    </row>
    <row r="30" spans="1:18" x14ac:dyDescent="0.3">
      <c r="A30" t="s">
        <v>38</v>
      </c>
      <c r="B30" t="s">
        <v>805</v>
      </c>
      <c r="C30" s="4" t="s">
        <v>960</v>
      </c>
      <c r="D30" t="s">
        <v>1291</v>
      </c>
      <c r="E30" t="s">
        <v>1295</v>
      </c>
      <c r="F30" t="s">
        <v>1304</v>
      </c>
      <c r="G30" s="9">
        <v>637.79999999999995</v>
      </c>
      <c r="H30">
        <v>742.06</v>
      </c>
      <c r="I30">
        <v>-111.31</v>
      </c>
      <c r="J30">
        <v>594.55999999999995</v>
      </c>
      <c r="K30">
        <f t="shared" si="0"/>
        <v>742.06</v>
      </c>
      <c r="L30">
        <f t="shared" si="1"/>
        <v>853.36999999999989</v>
      </c>
      <c r="M30">
        <f t="shared" si="2"/>
        <v>-111.31</v>
      </c>
      <c r="N30" t="str">
        <f t="shared" si="3"/>
        <v>Whole Foods Store</v>
      </c>
      <c r="O30" t="str">
        <f t="shared" si="4"/>
        <v>Groceries</v>
      </c>
      <c r="P30" t="str">
        <f t="shared" si="5"/>
        <v>Withdrawal</v>
      </c>
      <c r="Q30">
        <f t="shared" si="6"/>
        <v>637.79999999999995</v>
      </c>
      <c r="R30">
        <f t="shared" si="7"/>
        <v>43.240000000000009</v>
      </c>
    </row>
    <row r="31" spans="1:18" x14ac:dyDescent="0.3">
      <c r="A31" t="s">
        <v>39</v>
      </c>
      <c r="B31" t="s">
        <v>810</v>
      </c>
      <c r="C31" s="4" t="s">
        <v>961</v>
      </c>
      <c r="D31" t="s">
        <v>1291</v>
      </c>
      <c r="E31" t="s">
        <v>1297</v>
      </c>
      <c r="F31" t="s">
        <v>1305</v>
      </c>
      <c r="G31" s="9">
        <v>1133.3699999999999</v>
      </c>
      <c r="H31">
        <v>1372.11</v>
      </c>
      <c r="I31">
        <v>-205.82</v>
      </c>
      <c r="J31">
        <v>1066.43</v>
      </c>
      <c r="K31">
        <f t="shared" si="0"/>
        <v>1372.11</v>
      </c>
      <c r="L31">
        <f t="shared" si="1"/>
        <v>1577.9299999999998</v>
      </c>
      <c r="M31">
        <f t="shared" si="2"/>
        <v>-205.82</v>
      </c>
      <c r="N31" t="str">
        <f t="shared" si="3"/>
        <v>Mcdonalds Corp Express</v>
      </c>
      <c r="O31" t="str">
        <f t="shared" si="4"/>
        <v>Dining Out</v>
      </c>
      <c r="P31" t="str">
        <f t="shared" si="5"/>
        <v>Withdrawal</v>
      </c>
      <c r="Q31">
        <f t="shared" si="6"/>
        <v>1133.3699999999999</v>
      </c>
      <c r="R31">
        <f t="shared" si="7"/>
        <v>66.939999999999827</v>
      </c>
    </row>
    <row r="32" spans="1:18" x14ac:dyDescent="0.3">
      <c r="A32" t="s">
        <v>40</v>
      </c>
      <c r="B32" t="s">
        <v>811</v>
      </c>
      <c r="C32" s="4" t="s">
        <v>962</v>
      </c>
      <c r="D32" t="s">
        <v>1291</v>
      </c>
      <c r="E32" t="s">
        <v>1296</v>
      </c>
      <c r="F32" t="s">
        <v>1308</v>
      </c>
      <c r="H32">
        <v>121.8</v>
      </c>
      <c r="I32">
        <v>-18.27</v>
      </c>
      <c r="J32">
        <v>100.37</v>
      </c>
      <c r="K32">
        <f t="shared" si="0"/>
        <v>121.8</v>
      </c>
      <c r="L32">
        <f t="shared" si="1"/>
        <v>140.07</v>
      </c>
      <c r="M32">
        <f t="shared" si="2"/>
        <v>-18.27</v>
      </c>
      <c r="N32" t="str">
        <f t="shared" si="3"/>
        <v>Stark Retail Labs</v>
      </c>
      <c r="O32" t="str">
        <f t="shared" si="4"/>
        <v>Salary</v>
      </c>
      <c r="P32" t="str">
        <f t="shared" si="5"/>
        <v>Withdrawal</v>
      </c>
      <c r="Q32">
        <f t="shared" si="6"/>
        <v>1219.4163333333336</v>
      </c>
      <c r="R32">
        <f t="shared" si="7"/>
        <v>1119.0463333333337</v>
      </c>
    </row>
    <row r="33" spans="1:18" x14ac:dyDescent="0.3">
      <c r="A33" t="s">
        <v>41</v>
      </c>
      <c r="B33" t="s">
        <v>812</v>
      </c>
      <c r="C33" s="4" t="s">
        <v>963</v>
      </c>
      <c r="D33" t="s">
        <v>1291</v>
      </c>
      <c r="E33" t="s">
        <v>1299</v>
      </c>
      <c r="F33" t="s">
        <v>1316</v>
      </c>
      <c r="G33" s="9">
        <v>1095.26</v>
      </c>
      <c r="H33">
        <v>1274.47</v>
      </c>
      <c r="I33">
        <v>-191.17</v>
      </c>
      <c r="J33">
        <v>1229.27</v>
      </c>
      <c r="K33">
        <f t="shared" si="0"/>
        <v>1274.47</v>
      </c>
      <c r="L33">
        <f t="shared" si="1"/>
        <v>1465.64</v>
      </c>
      <c r="M33">
        <f t="shared" si="2"/>
        <v>-191.17</v>
      </c>
      <c r="N33" t="str">
        <f t="shared" si="3"/>
        <v>Amc Cinema Network</v>
      </c>
      <c r="O33" t="str">
        <f t="shared" si="4"/>
        <v>Entertainment</v>
      </c>
      <c r="P33" t="str">
        <f t="shared" si="5"/>
        <v>Withdrawal</v>
      </c>
      <c r="Q33">
        <f t="shared" si="6"/>
        <v>1095.26</v>
      </c>
      <c r="R33">
        <f t="shared" si="7"/>
        <v>-134.01</v>
      </c>
    </row>
    <row r="34" spans="1:18" x14ac:dyDescent="0.3">
      <c r="A34" t="s">
        <v>42</v>
      </c>
      <c r="B34" t="s">
        <v>803</v>
      </c>
      <c r="C34" s="4" t="s">
        <v>964</v>
      </c>
      <c r="D34" t="s">
        <v>1292</v>
      </c>
      <c r="E34" t="s">
        <v>1297</v>
      </c>
      <c r="F34" t="s">
        <v>1309</v>
      </c>
      <c r="G34" s="9">
        <v>686.79</v>
      </c>
      <c r="H34">
        <v>940.71</v>
      </c>
      <c r="I34">
        <v>253.92</v>
      </c>
      <c r="J34">
        <v>820.01</v>
      </c>
      <c r="K34">
        <f t="shared" si="0"/>
        <v>940.71</v>
      </c>
      <c r="L34">
        <f t="shared" si="1"/>
        <v>686.79000000000008</v>
      </c>
      <c r="M34">
        <f t="shared" si="2"/>
        <v>253.92</v>
      </c>
      <c r="N34" t="str">
        <f t="shared" si="3"/>
        <v>Olive Garden Gourmet</v>
      </c>
      <c r="O34" t="str">
        <f t="shared" si="4"/>
        <v>Dining Out</v>
      </c>
      <c r="P34" t="str">
        <f t="shared" si="5"/>
        <v>Deposit</v>
      </c>
      <c r="Q34">
        <f t="shared" si="6"/>
        <v>686.79</v>
      </c>
      <c r="R34">
        <f t="shared" si="7"/>
        <v>-133.22000000000003</v>
      </c>
    </row>
    <row r="35" spans="1:18" x14ac:dyDescent="0.3">
      <c r="A35" t="s">
        <v>43</v>
      </c>
      <c r="B35" t="s">
        <v>813</v>
      </c>
      <c r="C35" s="4" t="s">
        <v>950</v>
      </c>
      <c r="D35" t="s">
        <v>1292</v>
      </c>
      <c r="E35" t="s">
        <v>1298</v>
      </c>
      <c r="F35" t="s">
        <v>1317</v>
      </c>
      <c r="G35" s="9">
        <v>189.72</v>
      </c>
      <c r="H35">
        <v>241.89</v>
      </c>
      <c r="I35">
        <v>52.17</v>
      </c>
      <c r="J35">
        <v>188.11</v>
      </c>
      <c r="K35">
        <f t="shared" si="0"/>
        <v>241.89</v>
      </c>
      <c r="L35">
        <f t="shared" si="1"/>
        <v>189.71999999999997</v>
      </c>
      <c r="M35">
        <f t="shared" si="2"/>
        <v>52.17</v>
      </c>
      <c r="N35" t="str">
        <f t="shared" si="3"/>
        <v>External Wire Clearance</v>
      </c>
      <c r="O35" t="str">
        <f t="shared" si="4"/>
        <v>Transfer</v>
      </c>
      <c r="P35" t="str">
        <f t="shared" si="5"/>
        <v>Deposit</v>
      </c>
      <c r="Q35">
        <f t="shared" si="6"/>
        <v>189.72</v>
      </c>
      <c r="R35">
        <f t="shared" si="7"/>
        <v>1.6099999999999852</v>
      </c>
    </row>
    <row r="36" spans="1:18" x14ac:dyDescent="0.3">
      <c r="A36" t="s">
        <v>44</v>
      </c>
      <c r="B36" t="s">
        <v>814</v>
      </c>
      <c r="C36" s="4" t="s">
        <v>965</v>
      </c>
      <c r="D36" t="s">
        <v>1292</v>
      </c>
      <c r="E36" t="s">
        <v>1295</v>
      </c>
      <c r="F36" t="s">
        <v>1304</v>
      </c>
      <c r="G36" s="9">
        <v>103.46</v>
      </c>
      <c r="I36">
        <v>22.01</v>
      </c>
      <c r="J36">
        <v>113.87</v>
      </c>
      <c r="K36">
        <f t="shared" si="0"/>
        <v>1420.2638235294123</v>
      </c>
      <c r="L36">
        <f t="shared" si="1"/>
        <v>1398.2538235294123</v>
      </c>
      <c r="M36">
        <f t="shared" si="2"/>
        <v>22.01</v>
      </c>
      <c r="N36" t="str">
        <f t="shared" si="3"/>
        <v>Whole Foods Store</v>
      </c>
      <c r="O36" t="str">
        <f t="shared" si="4"/>
        <v>Groceries</v>
      </c>
      <c r="P36" t="str">
        <f t="shared" si="5"/>
        <v>Deposit</v>
      </c>
      <c r="Q36">
        <f t="shared" si="6"/>
        <v>103.46</v>
      </c>
      <c r="R36">
        <f t="shared" si="7"/>
        <v>-10.410000000000011</v>
      </c>
    </row>
    <row r="37" spans="1:18" x14ac:dyDescent="0.3">
      <c r="A37" t="s">
        <v>45</v>
      </c>
      <c r="B37" t="s">
        <v>815</v>
      </c>
      <c r="C37" s="4" t="s">
        <v>966</v>
      </c>
      <c r="D37" t="s">
        <v>1292</v>
      </c>
      <c r="E37" t="s">
        <v>1299</v>
      </c>
      <c r="F37" t="s">
        <v>1312</v>
      </c>
      <c r="G37" s="9">
        <v>1038.3</v>
      </c>
      <c r="H37">
        <v>1300.33</v>
      </c>
      <c r="I37">
        <v>262.02999999999997</v>
      </c>
      <c r="J37">
        <v>1133.24</v>
      </c>
      <c r="K37">
        <f t="shared" si="0"/>
        <v>1300.33</v>
      </c>
      <c r="L37">
        <f t="shared" si="1"/>
        <v>1038.3</v>
      </c>
      <c r="M37">
        <f t="shared" si="2"/>
        <v>262.02999999999997</v>
      </c>
      <c r="N37" t="str">
        <f t="shared" si="3"/>
        <v>Netflix Streaming Premium</v>
      </c>
      <c r="O37" t="str">
        <f t="shared" si="4"/>
        <v>Entertainment</v>
      </c>
      <c r="P37" t="str">
        <f t="shared" si="5"/>
        <v>Deposit</v>
      </c>
      <c r="Q37">
        <f t="shared" si="6"/>
        <v>1038.3</v>
      </c>
      <c r="R37">
        <f t="shared" si="7"/>
        <v>-94.940000000000055</v>
      </c>
    </row>
    <row r="38" spans="1:18" x14ac:dyDescent="0.3">
      <c r="A38" t="s">
        <v>46</v>
      </c>
      <c r="B38" t="s">
        <v>816</v>
      </c>
      <c r="C38" s="4" t="s">
        <v>967</v>
      </c>
      <c r="D38" t="s">
        <v>1291</v>
      </c>
      <c r="E38" t="s">
        <v>1294</v>
      </c>
      <c r="F38" t="s">
        <v>1314</v>
      </c>
      <c r="G38" s="9">
        <v>282.83</v>
      </c>
      <c r="H38">
        <v>346.58</v>
      </c>
      <c r="I38">
        <v>-51.99</v>
      </c>
      <c r="J38">
        <v>335.75</v>
      </c>
      <c r="K38">
        <f t="shared" si="0"/>
        <v>346.58</v>
      </c>
      <c r="L38">
        <f t="shared" si="1"/>
        <v>398.57</v>
      </c>
      <c r="M38">
        <f t="shared" si="2"/>
        <v>-51.99</v>
      </c>
      <c r="N38" t="str">
        <f t="shared" si="3"/>
        <v>Target Direct Online</v>
      </c>
      <c r="O38" t="str">
        <f t="shared" si="4"/>
        <v>Online Shopping</v>
      </c>
      <c r="P38" t="str">
        <f t="shared" si="5"/>
        <v>Withdrawal</v>
      </c>
      <c r="Q38">
        <f t="shared" si="6"/>
        <v>282.83</v>
      </c>
      <c r="R38">
        <f t="shared" si="7"/>
        <v>-52.920000000000016</v>
      </c>
    </row>
    <row r="39" spans="1:18" x14ac:dyDescent="0.3">
      <c r="A39" t="s">
        <v>47</v>
      </c>
      <c r="B39" t="s">
        <v>817</v>
      </c>
      <c r="C39" s="4" t="s">
        <v>968</v>
      </c>
      <c r="D39" t="s">
        <v>1292</v>
      </c>
      <c r="E39" t="s">
        <v>1299</v>
      </c>
      <c r="F39" t="s">
        <v>1312</v>
      </c>
      <c r="G39" s="9">
        <v>640.4</v>
      </c>
      <c r="H39">
        <v>868.35</v>
      </c>
      <c r="I39">
        <v>227.95</v>
      </c>
      <c r="J39">
        <v>726.25</v>
      </c>
      <c r="K39">
        <f t="shared" si="0"/>
        <v>868.35</v>
      </c>
      <c r="L39">
        <f t="shared" si="1"/>
        <v>640.40000000000009</v>
      </c>
      <c r="M39">
        <f t="shared" si="2"/>
        <v>227.95</v>
      </c>
      <c r="N39" t="str">
        <f t="shared" si="3"/>
        <v>Netflix Streaming Premium</v>
      </c>
      <c r="O39" t="str">
        <f t="shared" si="4"/>
        <v>Entertainment</v>
      </c>
      <c r="P39" t="str">
        <f t="shared" si="5"/>
        <v>Deposit</v>
      </c>
      <c r="Q39">
        <f t="shared" si="6"/>
        <v>640.4</v>
      </c>
      <c r="R39">
        <f t="shared" si="7"/>
        <v>-85.850000000000023</v>
      </c>
    </row>
    <row r="40" spans="1:18" x14ac:dyDescent="0.3">
      <c r="A40" t="s">
        <v>48</v>
      </c>
      <c r="B40" t="s">
        <v>786</v>
      </c>
      <c r="C40" s="4" t="s">
        <v>969</v>
      </c>
      <c r="D40" t="s">
        <v>1292</v>
      </c>
      <c r="E40" t="s">
        <v>1295</v>
      </c>
      <c r="F40" t="s">
        <v>1302</v>
      </c>
      <c r="G40" s="9">
        <v>1082.23</v>
      </c>
      <c r="H40">
        <v>1461.75</v>
      </c>
      <c r="I40">
        <v>379.52</v>
      </c>
      <c r="J40">
        <v>1102.7</v>
      </c>
      <c r="K40">
        <f t="shared" si="0"/>
        <v>1461.75</v>
      </c>
      <c r="L40">
        <f t="shared" si="1"/>
        <v>1082.23</v>
      </c>
      <c r="M40">
        <f t="shared" si="2"/>
        <v>379.52</v>
      </c>
      <c r="N40" t="str">
        <f t="shared" si="3"/>
        <v>Supermart Marketplace</v>
      </c>
      <c r="O40" t="str">
        <f t="shared" si="4"/>
        <v>Groceries</v>
      </c>
      <c r="P40" t="str">
        <f t="shared" si="5"/>
        <v>Deposit</v>
      </c>
      <c r="Q40">
        <f t="shared" si="6"/>
        <v>1082.23</v>
      </c>
      <c r="R40">
        <f t="shared" si="7"/>
        <v>-20.470000000000027</v>
      </c>
    </row>
    <row r="41" spans="1:18" x14ac:dyDescent="0.3">
      <c r="A41" t="s">
        <v>49</v>
      </c>
      <c r="B41" t="s">
        <v>798</v>
      </c>
      <c r="C41" s="4" t="s">
        <v>970</v>
      </c>
      <c r="D41" t="s">
        <v>1291</v>
      </c>
      <c r="E41" t="s">
        <v>1296</v>
      </c>
      <c r="F41" t="s">
        <v>1308</v>
      </c>
      <c r="G41" s="9">
        <v>7381.28</v>
      </c>
      <c r="H41">
        <v>9756.2099999999991</v>
      </c>
      <c r="I41">
        <v>-1463.43</v>
      </c>
      <c r="J41">
        <v>7096.85</v>
      </c>
      <c r="K41">
        <f t="shared" si="0"/>
        <v>9756.2099999999991</v>
      </c>
      <c r="L41">
        <f t="shared" si="1"/>
        <v>11219.64</v>
      </c>
      <c r="M41">
        <f t="shared" si="2"/>
        <v>-1463.43</v>
      </c>
      <c r="N41" t="str">
        <f t="shared" si="3"/>
        <v>Stark Retail Labs</v>
      </c>
      <c r="O41" t="str">
        <f t="shared" si="4"/>
        <v>Salary</v>
      </c>
      <c r="P41" t="str">
        <f t="shared" si="5"/>
        <v>Withdrawal</v>
      </c>
      <c r="Q41">
        <f t="shared" si="6"/>
        <v>7381.28</v>
      </c>
      <c r="R41">
        <f t="shared" si="7"/>
        <v>284.42999999999938</v>
      </c>
    </row>
    <row r="42" spans="1:18" x14ac:dyDescent="0.3">
      <c r="A42" t="s">
        <v>50</v>
      </c>
      <c r="B42" t="s">
        <v>818</v>
      </c>
      <c r="C42" s="4" t="s">
        <v>971</v>
      </c>
      <c r="D42" t="s">
        <v>1292</v>
      </c>
      <c r="E42" t="s">
        <v>1293</v>
      </c>
      <c r="F42" t="s">
        <v>1318</v>
      </c>
      <c r="G42" s="9">
        <v>612.38</v>
      </c>
      <c r="H42">
        <v>826.06</v>
      </c>
      <c r="I42">
        <v>213.68</v>
      </c>
      <c r="J42">
        <v>668.94</v>
      </c>
      <c r="K42">
        <f t="shared" si="0"/>
        <v>826.06</v>
      </c>
      <c r="L42">
        <f t="shared" si="1"/>
        <v>612.37999999999988</v>
      </c>
      <c r="M42">
        <f t="shared" si="2"/>
        <v>213.68</v>
      </c>
      <c r="N42" t="str">
        <f t="shared" si="3"/>
        <v>Metropolitan Water Sewer</v>
      </c>
      <c r="O42" t="str">
        <f t="shared" si="4"/>
        <v>Utilities</v>
      </c>
      <c r="P42" t="str">
        <f t="shared" si="5"/>
        <v>Deposit</v>
      </c>
      <c r="Q42">
        <f t="shared" si="6"/>
        <v>612.38</v>
      </c>
      <c r="R42">
        <f t="shared" si="7"/>
        <v>-56.560000000000059</v>
      </c>
    </row>
    <row r="43" spans="1:18" x14ac:dyDescent="0.3">
      <c r="A43" t="s">
        <v>51</v>
      </c>
      <c r="B43" t="s">
        <v>819</v>
      </c>
      <c r="C43" s="4" t="s">
        <v>972</v>
      </c>
      <c r="D43" t="s">
        <v>1292</v>
      </c>
      <c r="E43" t="s">
        <v>1298</v>
      </c>
      <c r="F43" t="s">
        <v>1317</v>
      </c>
      <c r="G43" s="9">
        <v>602.71</v>
      </c>
      <c r="H43">
        <v>807.39</v>
      </c>
      <c r="I43">
        <v>204.68</v>
      </c>
      <c r="J43">
        <v>657.35</v>
      </c>
      <c r="K43">
        <f t="shared" si="0"/>
        <v>807.39</v>
      </c>
      <c r="L43">
        <f t="shared" si="1"/>
        <v>602.71</v>
      </c>
      <c r="M43">
        <f t="shared" si="2"/>
        <v>204.68</v>
      </c>
      <c r="N43" t="str">
        <f t="shared" si="3"/>
        <v>External Wire Clearance</v>
      </c>
      <c r="O43" t="str">
        <f t="shared" si="4"/>
        <v>Transfer</v>
      </c>
      <c r="P43" t="str">
        <f t="shared" si="5"/>
        <v>Deposit</v>
      </c>
      <c r="Q43">
        <f t="shared" si="6"/>
        <v>602.71</v>
      </c>
      <c r="R43">
        <f t="shared" si="7"/>
        <v>-54.639999999999986</v>
      </c>
    </row>
    <row r="44" spans="1:18" x14ac:dyDescent="0.3">
      <c r="A44" t="s">
        <v>52</v>
      </c>
      <c r="B44" t="s">
        <v>799</v>
      </c>
      <c r="C44" s="4" t="s">
        <v>973</v>
      </c>
      <c r="D44" t="s">
        <v>1291</v>
      </c>
      <c r="E44" t="s">
        <v>1294</v>
      </c>
      <c r="F44" t="s">
        <v>1314</v>
      </c>
      <c r="G44" s="9">
        <v>839.49</v>
      </c>
      <c r="H44">
        <v>1038.4000000000001</v>
      </c>
      <c r="I44">
        <v>-155.76</v>
      </c>
      <c r="J44">
        <v>765.46</v>
      </c>
      <c r="K44">
        <f t="shared" si="0"/>
        <v>1038.4000000000001</v>
      </c>
      <c r="L44">
        <f t="shared" si="1"/>
        <v>1194.1600000000001</v>
      </c>
      <c r="M44">
        <f t="shared" si="2"/>
        <v>-155.76</v>
      </c>
      <c r="N44" t="str">
        <f t="shared" si="3"/>
        <v>Target Direct Online</v>
      </c>
      <c r="O44" t="str">
        <f t="shared" si="4"/>
        <v>Online Shopping</v>
      </c>
      <c r="P44" t="str">
        <f t="shared" si="5"/>
        <v>Withdrawal</v>
      </c>
      <c r="Q44">
        <f t="shared" si="6"/>
        <v>839.49</v>
      </c>
      <c r="R44">
        <f t="shared" si="7"/>
        <v>74.029999999999973</v>
      </c>
    </row>
    <row r="45" spans="1:18" x14ac:dyDescent="0.3">
      <c r="A45" t="s">
        <v>53</v>
      </c>
      <c r="B45" t="s">
        <v>789</v>
      </c>
      <c r="C45" s="4" t="s">
        <v>974</v>
      </c>
      <c r="D45" t="s">
        <v>1292</v>
      </c>
      <c r="E45" t="s">
        <v>1296</v>
      </c>
      <c r="F45" t="s">
        <v>1303</v>
      </c>
      <c r="G45" s="9">
        <v>5226.95</v>
      </c>
      <c r="H45">
        <v>7054.36</v>
      </c>
      <c r="I45">
        <v>1827.41</v>
      </c>
      <c r="J45">
        <v>4977.54</v>
      </c>
      <c r="K45">
        <f t="shared" si="0"/>
        <v>7054.36</v>
      </c>
      <c r="L45">
        <f t="shared" si="1"/>
        <v>5226.95</v>
      </c>
      <c r="M45">
        <f t="shared" si="2"/>
        <v>1827.41</v>
      </c>
      <c r="N45" t="str">
        <f t="shared" si="3"/>
        <v>Global Industries Llc</v>
      </c>
      <c r="O45" t="str">
        <f t="shared" si="4"/>
        <v>Salary</v>
      </c>
      <c r="P45" t="str">
        <f t="shared" si="5"/>
        <v>Deposit</v>
      </c>
      <c r="Q45">
        <f t="shared" si="6"/>
        <v>5226.95</v>
      </c>
      <c r="R45">
        <f t="shared" si="7"/>
        <v>249.40999999999985</v>
      </c>
    </row>
    <row r="46" spans="1:18" x14ac:dyDescent="0.3">
      <c r="A46" t="s">
        <v>54</v>
      </c>
      <c r="B46" t="s">
        <v>820</v>
      </c>
      <c r="C46" s="4" t="s">
        <v>975</v>
      </c>
      <c r="D46" t="s">
        <v>1291</v>
      </c>
      <c r="E46" t="s">
        <v>1298</v>
      </c>
      <c r="F46" t="s">
        <v>1310</v>
      </c>
      <c r="G46" s="9">
        <v>856.89</v>
      </c>
      <c r="H46">
        <v>1061.83</v>
      </c>
      <c r="I46">
        <v>-159.27000000000001</v>
      </c>
      <c r="J46">
        <v>929.66</v>
      </c>
      <c r="K46">
        <f t="shared" si="0"/>
        <v>1061.83</v>
      </c>
      <c r="L46">
        <f t="shared" si="1"/>
        <v>1221.0999999999999</v>
      </c>
      <c r="M46">
        <f t="shared" si="2"/>
        <v>-159.27000000000001</v>
      </c>
      <c r="N46" t="str">
        <f t="shared" si="3"/>
        <v>Zelle Payment Engine</v>
      </c>
      <c r="O46" t="str">
        <f t="shared" si="4"/>
        <v>Transfer</v>
      </c>
      <c r="P46" t="str">
        <f t="shared" si="5"/>
        <v>Withdrawal</v>
      </c>
      <c r="Q46">
        <f t="shared" si="6"/>
        <v>856.89</v>
      </c>
      <c r="R46">
        <f t="shared" si="7"/>
        <v>-72.769999999999982</v>
      </c>
    </row>
    <row r="47" spans="1:18" x14ac:dyDescent="0.3">
      <c r="A47" t="s">
        <v>55</v>
      </c>
      <c r="B47" t="s">
        <v>821</v>
      </c>
      <c r="C47" s="4" t="s">
        <v>976</v>
      </c>
      <c r="D47" t="s">
        <v>1291</v>
      </c>
      <c r="E47" t="s">
        <v>1294</v>
      </c>
      <c r="F47" t="s">
        <v>1314</v>
      </c>
      <c r="G47" s="9">
        <v>187.47</v>
      </c>
      <c r="H47">
        <v>247.07</v>
      </c>
      <c r="I47">
        <v>-37.06</v>
      </c>
      <c r="J47">
        <v>197.85</v>
      </c>
      <c r="K47">
        <f t="shared" si="0"/>
        <v>247.07</v>
      </c>
      <c r="L47">
        <f t="shared" si="1"/>
        <v>284.13</v>
      </c>
      <c r="M47">
        <f t="shared" si="2"/>
        <v>-37.06</v>
      </c>
      <c r="N47" t="str">
        <f t="shared" si="3"/>
        <v>Target Direct Online</v>
      </c>
      <c r="O47" t="str">
        <f t="shared" si="4"/>
        <v>Online Shopping</v>
      </c>
      <c r="P47" t="str">
        <f t="shared" si="5"/>
        <v>Withdrawal</v>
      </c>
      <c r="Q47">
        <f t="shared" si="6"/>
        <v>187.47</v>
      </c>
      <c r="R47">
        <f t="shared" si="7"/>
        <v>-10.379999999999995</v>
      </c>
    </row>
    <row r="48" spans="1:18" x14ac:dyDescent="0.3">
      <c r="A48" t="s">
        <v>56</v>
      </c>
      <c r="B48" t="s">
        <v>822</v>
      </c>
      <c r="C48" s="4" t="s">
        <v>977</v>
      </c>
      <c r="D48" t="s">
        <v>1291</v>
      </c>
      <c r="E48" t="s">
        <v>1294</v>
      </c>
      <c r="F48" t="s">
        <v>1301</v>
      </c>
      <c r="G48" s="9">
        <v>406.95</v>
      </c>
      <c r="H48">
        <v>485.37</v>
      </c>
      <c r="I48">
        <v>-72.81</v>
      </c>
      <c r="J48">
        <v>485.2</v>
      </c>
      <c r="K48">
        <f t="shared" si="0"/>
        <v>485.37</v>
      </c>
      <c r="L48">
        <f t="shared" si="1"/>
        <v>558.18000000000006</v>
      </c>
      <c r="M48">
        <f t="shared" si="2"/>
        <v>-72.81</v>
      </c>
      <c r="N48" t="str">
        <f t="shared" si="3"/>
        <v>Amazon Digital Supply</v>
      </c>
      <c r="O48" t="str">
        <f t="shared" si="4"/>
        <v>Online Shopping</v>
      </c>
      <c r="P48" t="str">
        <f t="shared" si="5"/>
        <v>Withdrawal</v>
      </c>
      <c r="Q48">
        <f t="shared" si="6"/>
        <v>406.95</v>
      </c>
      <c r="R48">
        <f t="shared" si="7"/>
        <v>-78.25</v>
      </c>
    </row>
    <row r="49" spans="1:18" x14ac:dyDescent="0.3">
      <c r="A49" t="s">
        <v>57</v>
      </c>
      <c r="B49" t="s">
        <v>823</v>
      </c>
      <c r="C49" s="4" t="s">
        <v>978</v>
      </c>
      <c r="D49" t="s">
        <v>1292</v>
      </c>
      <c r="E49" t="s">
        <v>1294</v>
      </c>
      <c r="F49" t="s">
        <v>1301</v>
      </c>
      <c r="G49" s="9">
        <v>300.83</v>
      </c>
      <c r="H49">
        <v>348.51</v>
      </c>
      <c r="I49">
        <v>47.68</v>
      </c>
      <c r="J49">
        <v>271.29000000000002</v>
      </c>
      <c r="K49">
        <f t="shared" si="0"/>
        <v>348.51</v>
      </c>
      <c r="L49">
        <f t="shared" si="1"/>
        <v>300.83</v>
      </c>
      <c r="M49">
        <f t="shared" si="2"/>
        <v>47.68</v>
      </c>
      <c r="N49" t="str">
        <f t="shared" si="3"/>
        <v>Amazon Digital Supply</v>
      </c>
      <c r="O49" t="str">
        <f t="shared" si="4"/>
        <v>Online Shopping</v>
      </c>
      <c r="P49" t="str">
        <f t="shared" si="5"/>
        <v>Deposit</v>
      </c>
      <c r="Q49">
        <f t="shared" si="6"/>
        <v>300.83</v>
      </c>
      <c r="R49">
        <f t="shared" si="7"/>
        <v>29.539999999999964</v>
      </c>
    </row>
    <row r="50" spans="1:18" x14ac:dyDescent="0.3">
      <c r="A50" t="s">
        <v>58</v>
      </c>
      <c r="B50" t="s">
        <v>824</v>
      </c>
      <c r="C50" s="4" t="s">
        <v>979</v>
      </c>
      <c r="D50" t="s">
        <v>1292</v>
      </c>
      <c r="E50" t="s">
        <v>1293</v>
      </c>
      <c r="F50" t="s">
        <v>1318</v>
      </c>
      <c r="G50" s="9">
        <v>1139.92</v>
      </c>
      <c r="H50">
        <v>1517.98</v>
      </c>
      <c r="I50">
        <v>378.06</v>
      </c>
      <c r="J50">
        <v>1049.77</v>
      </c>
      <c r="K50">
        <f t="shared" si="0"/>
        <v>1517.98</v>
      </c>
      <c r="L50">
        <f t="shared" si="1"/>
        <v>1139.92</v>
      </c>
      <c r="M50">
        <f t="shared" si="2"/>
        <v>378.06</v>
      </c>
      <c r="N50" t="str">
        <f t="shared" si="3"/>
        <v>Metropolitan Water Sewer</v>
      </c>
      <c r="O50" t="str">
        <f t="shared" si="4"/>
        <v>Utilities</v>
      </c>
      <c r="P50" t="str">
        <f t="shared" si="5"/>
        <v>Deposit</v>
      </c>
      <c r="Q50">
        <f t="shared" si="6"/>
        <v>1139.92</v>
      </c>
      <c r="R50">
        <f t="shared" si="7"/>
        <v>90.150000000000091</v>
      </c>
    </row>
    <row r="51" spans="1:18" x14ac:dyDescent="0.3">
      <c r="A51" t="s">
        <v>59</v>
      </c>
      <c r="B51" t="s">
        <v>818</v>
      </c>
      <c r="C51" s="4" t="s">
        <v>980</v>
      </c>
      <c r="D51" t="s">
        <v>1291</v>
      </c>
      <c r="E51" t="s">
        <v>1295</v>
      </c>
      <c r="F51" t="s">
        <v>1302</v>
      </c>
      <c r="G51" s="9">
        <v>594.03</v>
      </c>
      <c r="H51">
        <v>699.49</v>
      </c>
      <c r="I51">
        <v>-104.92</v>
      </c>
      <c r="J51">
        <v>627.42999999999995</v>
      </c>
      <c r="K51">
        <f t="shared" si="0"/>
        <v>699.49</v>
      </c>
      <c r="L51">
        <f t="shared" si="1"/>
        <v>804.41</v>
      </c>
      <c r="M51">
        <f t="shared" si="2"/>
        <v>-104.92</v>
      </c>
      <c r="N51" t="str">
        <f t="shared" si="3"/>
        <v>Supermart Marketplace</v>
      </c>
      <c r="O51" t="str">
        <f t="shared" si="4"/>
        <v>Groceries</v>
      </c>
      <c r="P51" t="str">
        <f t="shared" si="5"/>
        <v>Withdrawal</v>
      </c>
      <c r="Q51">
        <f t="shared" si="6"/>
        <v>594.03</v>
      </c>
      <c r="R51">
        <f t="shared" si="7"/>
        <v>-33.399999999999977</v>
      </c>
    </row>
    <row r="52" spans="1:18" x14ac:dyDescent="0.3">
      <c r="A52" t="s">
        <v>60</v>
      </c>
      <c r="B52" t="s">
        <v>825</v>
      </c>
      <c r="C52" s="4" t="s">
        <v>981</v>
      </c>
      <c r="D52" t="s">
        <v>1291</v>
      </c>
      <c r="E52" t="s">
        <v>1298</v>
      </c>
      <c r="F52" t="s">
        <v>1317</v>
      </c>
      <c r="G52" s="9">
        <v>204.97</v>
      </c>
      <c r="H52">
        <v>250.26</v>
      </c>
      <c r="I52">
        <v>-37.54</v>
      </c>
      <c r="J52">
        <v>237.92</v>
      </c>
      <c r="K52">
        <f t="shared" si="0"/>
        <v>250.26</v>
      </c>
      <c r="L52">
        <f t="shared" si="1"/>
        <v>287.8</v>
      </c>
      <c r="M52">
        <f t="shared" si="2"/>
        <v>-37.54</v>
      </c>
      <c r="N52" t="str">
        <f t="shared" si="3"/>
        <v>External Wire Clearance</v>
      </c>
      <c r="O52" t="str">
        <f t="shared" si="4"/>
        <v>Transfer</v>
      </c>
      <c r="P52" t="str">
        <f t="shared" si="5"/>
        <v>Withdrawal</v>
      </c>
      <c r="Q52">
        <f t="shared" si="6"/>
        <v>204.97</v>
      </c>
      <c r="R52">
        <f t="shared" si="7"/>
        <v>-32.949999999999989</v>
      </c>
    </row>
    <row r="53" spans="1:18" x14ac:dyDescent="0.3">
      <c r="A53" t="s">
        <v>61</v>
      </c>
      <c r="B53" t="s">
        <v>814</v>
      </c>
      <c r="C53" s="4" t="s">
        <v>956</v>
      </c>
      <c r="D53" t="s">
        <v>1291</v>
      </c>
      <c r="E53" t="s">
        <v>1296</v>
      </c>
      <c r="F53" t="s">
        <v>1308</v>
      </c>
      <c r="G53" s="9">
        <v>5922.17</v>
      </c>
      <c r="H53">
        <v>7709.52</v>
      </c>
      <c r="I53">
        <v>-1156.43</v>
      </c>
      <c r="J53">
        <v>6487.1</v>
      </c>
      <c r="K53">
        <f t="shared" si="0"/>
        <v>7709.52</v>
      </c>
      <c r="L53">
        <f t="shared" si="1"/>
        <v>8865.9500000000007</v>
      </c>
      <c r="M53">
        <f t="shared" si="2"/>
        <v>-1156.43</v>
      </c>
      <c r="N53" t="str">
        <f t="shared" si="3"/>
        <v>Stark Retail Labs</v>
      </c>
      <c r="O53" t="str">
        <f t="shared" si="4"/>
        <v>Salary</v>
      </c>
      <c r="P53" t="str">
        <f t="shared" si="5"/>
        <v>Withdrawal</v>
      </c>
      <c r="Q53">
        <f t="shared" si="6"/>
        <v>5922.17</v>
      </c>
      <c r="R53">
        <f t="shared" si="7"/>
        <v>-564.93000000000029</v>
      </c>
    </row>
    <row r="54" spans="1:18" x14ac:dyDescent="0.3">
      <c r="A54" t="s">
        <v>62</v>
      </c>
      <c r="B54" t="s">
        <v>826</v>
      </c>
      <c r="C54" s="4" t="s">
        <v>982</v>
      </c>
      <c r="D54" t="s">
        <v>1292</v>
      </c>
      <c r="E54" t="s">
        <v>1297</v>
      </c>
      <c r="F54" t="s">
        <v>1319</v>
      </c>
      <c r="G54" s="9">
        <v>588.09</v>
      </c>
      <c r="H54">
        <v>783.59</v>
      </c>
      <c r="I54">
        <v>195.5</v>
      </c>
      <c r="J54">
        <v>555.89</v>
      </c>
      <c r="K54">
        <f t="shared" si="0"/>
        <v>783.59</v>
      </c>
      <c r="L54">
        <f t="shared" si="1"/>
        <v>588.09</v>
      </c>
      <c r="M54">
        <f t="shared" si="2"/>
        <v>195.5</v>
      </c>
      <c r="N54" t="str">
        <f t="shared" si="3"/>
        <v>Starbucks Hub Cafe</v>
      </c>
      <c r="O54" t="str">
        <f t="shared" si="4"/>
        <v>Dining Out</v>
      </c>
      <c r="P54" t="str">
        <f t="shared" si="5"/>
        <v>Deposit</v>
      </c>
      <c r="Q54">
        <f t="shared" si="6"/>
        <v>588.09</v>
      </c>
      <c r="R54">
        <f t="shared" si="7"/>
        <v>32.200000000000045</v>
      </c>
    </row>
    <row r="55" spans="1:18" x14ac:dyDescent="0.3">
      <c r="A55" t="s">
        <v>63</v>
      </c>
      <c r="B55" t="s">
        <v>825</v>
      </c>
      <c r="C55" s="4" t="s">
        <v>983</v>
      </c>
      <c r="D55" t="s">
        <v>1292</v>
      </c>
      <c r="E55" t="s">
        <v>1298</v>
      </c>
      <c r="F55" t="s">
        <v>1306</v>
      </c>
      <c r="G55" s="9">
        <v>499.91</v>
      </c>
      <c r="H55">
        <v>641.9</v>
      </c>
      <c r="I55">
        <v>141.99</v>
      </c>
      <c r="J55">
        <v>518.9</v>
      </c>
      <c r="K55">
        <f t="shared" si="0"/>
        <v>641.9</v>
      </c>
      <c r="L55">
        <f t="shared" si="1"/>
        <v>499.90999999999997</v>
      </c>
      <c r="M55">
        <f t="shared" si="2"/>
        <v>141.99</v>
      </c>
      <c r="N55" t="str">
        <f t="shared" si="3"/>
        <v>Internal P2P Route</v>
      </c>
      <c r="O55" t="str">
        <f t="shared" si="4"/>
        <v>Transfer</v>
      </c>
      <c r="P55" t="str">
        <f t="shared" si="5"/>
        <v>Deposit</v>
      </c>
      <c r="Q55">
        <f t="shared" si="6"/>
        <v>499.91</v>
      </c>
      <c r="R55">
        <f t="shared" si="7"/>
        <v>-18.989999999999952</v>
      </c>
    </row>
    <row r="56" spans="1:18" x14ac:dyDescent="0.3">
      <c r="A56" t="s">
        <v>64</v>
      </c>
      <c r="B56" t="s">
        <v>814</v>
      </c>
      <c r="C56" s="4" t="s">
        <v>984</v>
      </c>
      <c r="D56" t="s">
        <v>1291</v>
      </c>
      <c r="E56" t="s">
        <v>1299</v>
      </c>
      <c r="F56" t="s">
        <v>1312</v>
      </c>
      <c r="G56" s="9">
        <v>808.68</v>
      </c>
      <c r="H56">
        <v>966.99</v>
      </c>
      <c r="I56">
        <v>-145.05000000000001</v>
      </c>
      <c r="J56">
        <v>776.25</v>
      </c>
      <c r="K56">
        <f t="shared" si="0"/>
        <v>966.99</v>
      </c>
      <c r="L56">
        <f t="shared" si="1"/>
        <v>1112.04</v>
      </c>
      <c r="M56">
        <f t="shared" si="2"/>
        <v>-145.05000000000001</v>
      </c>
      <c r="N56" t="str">
        <f t="shared" si="3"/>
        <v>Netflix Streaming Premium</v>
      </c>
      <c r="O56" t="str">
        <f t="shared" si="4"/>
        <v>Entertainment</v>
      </c>
      <c r="P56" t="str">
        <f t="shared" si="5"/>
        <v>Withdrawal</v>
      </c>
      <c r="Q56">
        <f t="shared" si="6"/>
        <v>808.68</v>
      </c>
      <c r="R56">
        <f t="shared" si="7"/>
        <v>32.42999999999995</v>
      </c>
    </row>
    <row r="57" spans="1:18" x14ac:dyDescent="0.3">
      <c r="A57" t="s">
        <v>65</v>
      </c>
      <c r="B57" t="s">
        <v>827</v>
      </c>
      <c r="C57" s="4" t="s">
        <v>985</v>
      </c>
      <c r="D57" t="s">
        <v>1292</v>
      </c>
      <c r="E57" t="s">
        <v>1295</v>
      </c>
      <c r="F57" t="s">
        <v>1304</v>
      </c>
      <c r="G57" s="9">
        <v>296.45999999999998</v>
      </c>
      <c r="H57">
        <v>347.06</v>
      </c>
      <c r="I57">
        <v>50.6</v>
      </c>
      <c r="J57">
        <v>271.08999999999997</v>
      </c>
      <c r="K57">
        <f t="shared" si="0"/>
        <v>347.06</v>
      </c>
      <c r="L57">
        <f t="shared" si="1"/>
        <v>296.45999999999998</v>
      </c>
      <c r="M57">
        <f t="shared" si="2"/>
        <v>50.6</v>
      </c>
      <c r="N57" t="str">
        <f t="shared" si="3"/>
        <v>Whole Foods Store</v>
      </c>
      <c r="O57" t="str">
        <f t="shared" si="4"/>
        <v>Groceries</v>
      </c>
      <c r="P57" t="str">
        <f t="shared" si="5"/>
        <v>Deposit</v>
      </c>
      <c r="Q57">
        <f t="shared" si="6"/>
        <v>296.45999999999998</v>
      </c>
      <c r="R57">
        <f t="shared" si="7"/>
        <v>25.370000000000005</v>
      </c>
    </row>
    <row r="58" spans="1:18" x14ac:dyDescent="0.3">
      <c r="A58" t="s">
        <v>66</v>
      </c>
      <c r="B58" t="s">
        <v>828</v>
      </c>
      <c r="C58" s="4" t="s">
        <v>986</v>
      </c>
      <c r="D58" t="s">
        <v>1291</v>
      </c>
      <c r="E58" t="s">
        <v>1296</v>
      </c>
      <c r="F58" t="s">
        <v>1308</v>
      </c>
      <c r="G58" s="9">
        <v>8220.42</v>
      </c>
      <c r="H58">
        <v>9951.33</v>
      </c>
      <c r="I58">
        <v>-1492.7</v>
      </c>
      <c r="J58">
        <v>8123.23</v>
      </c>
      <c r="K58">
        <f t="shared" si="0"/>
        <v>9951.33</v>
      </c>
      <c r="L58">
        <f t="shared" si="1"/>
        <v>11444.03</v>
      </c>
      <c r="M58">
        <f t="shared" si="2"/>
        <v>-1492.7</v>
      </c>
      <c r="N58" t="str">
        <f t="shared" si="3"/>
        <v>Stark Retail Labs</v>
      </c>
      <c r="O58" t="str">
        <f t="shared" si="4"/>
        <v>Salary</v>
      </c>
      <c r="P58" t="str">
        <f t="shared" si="5"/>
        <v>Withdrawal</v>
      </c>
      <c r="Q58">
        <f t="shared" si="6"/>
        <v>8220.42</v>
      </c>
      <c r="R58">
        <f t="shared" si="7"/>
        <v>97.190000000000509</v>
      </c>
    </row>
    <row r="59" spans="1:18" x14ac:dyDescent="0.3">
      <c r="A59" t="s">
        <v>67</v>
      </c>
      <c r="B59" t="s">
        <v>829</v>
      </c>
      <c r="C59" s="4" t="s">
        <v>987</v>
      </c>
      <c r="D59" t="s">
        <v>1292</v>
      </c>
      <c r="E59" t="s">
        <v>1298</v>
      </c>
      <c r="F59" t="s">
        <v>1306</v>
      </c>
      <c r="G59" s="9">
        <v>158.06</v>
      </c>
      <c r="H59">
        <v>184.47</v>
      </c>
      <c r="I59">
        <v>26.41</v>
      </c>
      <c r="J59">
        <v>183.81</v>
      </c>
      <c r="K59">
        <f t="shared" si="0"/>
        <v>184.47</v>
      </c>
      <c r="L59">
        <f t="shared" si="1"/>
        <v>158.06</v>
      </c>
      <c r="M59">
        <f t="shared" si="2"/>
        <v>26.41</v>
      </c>
      <c r="N59" t="str">
        <f t="shared" si="3"/>
        <v>Internal P2P Route</v>
      </c>
      <c r="O59" t="str">
        <f t="shared" si="4"/>
        <v>Transfer</v>
      </c>
      <c r="P59" t="str">
        <f t="shared" si="5"/>
        <v>Deposit</v>
      </c>
      <c r="Q59">
        <f t="shared" si="6"/>
        <v>158.06</v>
      </c>
      <c r="R59">
        <f t="shared" si="7"/>
        <v>-25.75</v>
      </c>
    </row>
    <row r="60" spans="1:18" x14ac:dyDescent="0.3">
      <c r="A60" t="s">
        <v>68</v>
      </c>
      <c r="B60" t="s">
        <v>830</v>
      </c>
      <c r="C60" s="4" t="s">
        <v>988</v>
      </c>
      <c r="D60" t="s">
        <v>1292</v>
      </c>
      <c r="E60" t="s">
        <v>1299</v>
      </c>
      <c r="F60" t="s">
        <v>1312</v>
      </c>
      <c r="G60" s="9">
        <v>167.65</v>
      </c>
      <c r="H60">
        <v>216.12</v>
      </c>
      <c r="I60">
        <v>48.47</v>
      </c>
      <c r="J60">
        <v>175.86</v>
      </c>
      <c r="K60">
        <f t="shared" si="0"/>
        <v>216.12</v>
      </c>
      <c r="L60">
        <f t="shared" si="1"/>
        <v>167.65</v>
      </c>
      <c r="M60">
        <f t="shared" si="2"/>
        <v>48.47</v>
      </c>
      <c r="N60" t="str">
        <f t="shared" si="3"/>
        <v>Netflix Streaming Premium</v>
      </c>
      <c r="O60" t="str">
        <f t="shared" si="4"/>
        <v>Entertainment</v>
      </c>
      <c r="P60" t="str">
        <f t="shared" si="5"/>
        <v>Deposit</v>
      </c>
      <c r="Q60">
        <f t="shared" si="6"/>
        <v>167.65</v>
      </c>
      <c r="R60">
        <f t="shared" si="7"/>
        <v>-8.210000000000008</v>
      </c>
    </row>
    <row r="61" spans="1:18" x14ac:dyDescent="0.3">
      <c r="A61" t="s">
        <v>69</v>
      </c>
      <c r="B61" t="s">
        <v>831</v>
      </c>
      <c r="C61" s="4" t="s">
        <v>989</v>
      </c>
      <c r="D61" t="s">
        <v>1292</v>
      </c>
      <c r="E61" t="s">
        <v>1299</v>
      </c>
      <c r="F61" t="s">
        <v>1316</v>
      </c>
      <c r="G61" s="9">
        <v>699.8</v>
      </c>
      <c r="H61">
        <v>931.41</v>
      </c>
      <c r="I61">
        <v>231.61</v>
      </c>
      <c r="J61">
        <v>679.72</v>
      </c>
      <c r="K61">
        <f t="shared" si="0"/>
        <v>931.41</v>
      </c>
      <c r="L61">
        <f t="shared" si="1"/>
        <v>699.8</v>
      </c>
      <c r="M61">
        <f t="shared" si="2"/>
        <v>231.61</v>
      </c>
      <c r="N61" t="str">
        <f t="shared" si="3"/>
        <v>Amc Cinema Network</v>
      </c>
      <c r="O61" t="str">
        <f t="shared" si="4"/>
        <v>Entertainment</v>
      </c>
      <c r="P61" t="str">
        <f t="shared" si="5"/>
        <v>Deposit</v>
      </c>
      <c r="Q61">
        <f t="shared" si="6"/>
        <v>699.8</v>
      </c>
      <c r="R61">
        <f t="shared" si="7"/>
        <v>20.079999999999927</v>
      </c>
    </row>
    <row r="62" spans="1:18" x14ac:dyDescent="0.3">
      <c r="A62" t="s">
        <v>70</v>
      </c>
      <c r="B62" t="s">
        <v>832</v>
      </c>
      <c r="C62" s="4" t="s">
        <v>990</v>
      </c>
      <c r="D62" t="s">
        <v>1291</v>
      </c>
      <c r="E62" t="s">
        <v>1299</v>
      </c>
      <c r="F62" t="s">
        <v>1312</v>
      </c>
      <c r="G62" s="9">
        <v>981.8</v>
      </c>
      <c r="H62">
        <v>1177.1300000000001</v>
      </c>
      <c r="I62">
        <v>-176.57</v>
      </c>
      <c r="J62">
        <v>1114.22</v>
      </c>
      <c r="K62">
        <f t="shared" si="0"/>
        <v>1177.1300000000001</v>
      </c>
      <c r="L62">
        <f t="shared" si="1"/>
        <v>1353.7</v>
      </c>
      <c r="M62">
        <f t="shared" si="2"/>
        <v>-176.57</v>
      </c>
      <c r="N62" t="str">
        <f t="shared" si="3"/>
        <v>Netflix Streaming Premium</v>
      </c>
      <c r="O62" t="str">
        <f t="shared" si="4"/>
        <v>Entertainment</v>
      </c>
      <c r="P62" t="str">
        <f t="shared" si="5"/>
        <v>Withdrawal</v>
      </c>
      <c r="Q62">
        <f t="shared" si="6"/>
        <v>981.8</v>
      </c>
      <c r="R62">
        <f t="shared" si="7"/>
        <v>-132.42000000000007</v>
      </c>
    </row>
    <row r="63" spans="1:18" x14ac:dyDescent="0.3">
      <c r="A63" t="s">
        <v>71</v>
      </c>
      <c r="B63" t="s">
        <v>833</v>
      </c>
      <c r="C63" s="4" t="s">
        <v>991</v>
      </c>
      <c r="D63" t="s">
        <v>1291</v>
      </c>
      <c r="E63" t="s">
        <v>1296</v>
      </c>
      <c r="F63" t="s">
        <v>1303</v>
      </c>
      <c r="G63" s="9">
        <v>5950.68</v>
      </c>
      <c r="H63">
        <v>7219.95</v>
      </c>
      <c r="I63">
        <v>-1082.99</v>
      </c>
      <c r="J63">
        <v>5792.42</v>
      </c>
      <c r="K63">
        <f t="shared" si="0"/>
        <v>7219.95</v>
      </c>
      <c r="L63">
        <f t="shared" si="1"/>
        <v>8302.94</v>
      </c>
      <c r="M63">
        <f t="shared" si="2"/>
        <v>-1082.99</v>
      </c>
      <c r="N63" t="str">
        <f t="shared" si="3"/>
        <v>Global Industries Llc</v>
      </c>
      <c r="O63" t="str">
        <f t="shared" si="4"/>
        <v>Salary</v>
      </c>
      <c r="P63" t="str">
        <f t="shared" si="5"/>
        <v>Withdrawal</v>
      </c>
      <c r="Q63">
        <f t="shared" si="6"/>
        <v>5950.68</v>
      </c>
      <c r="R63">
        <f t="shared" si="7"/>
        <v>158.26000000000022</v>
      </c>
    </row>
    <row r="64" spans="1:18" x14ac:dyDescent="0.3">
      <c r="A64" t="s">
        <v>72</v>
      </c>
      <c r="B64" t="s">
        <v>834</v>
      </c>
      <c r="C64" s="4" t="s">
        <v>992</v>
      </c>
      <c r="D64" t="s">
        <v>1292</v>
      </c>
      <c r="E64" t="s">
        <v>1294</v>
      </c>
      <c r="F64" t="s">
        <v>1301</v>
      </c>
      <c r="G64" s="9">
        <v>910.02</v>
      </c>
      <c r="H64">
        <v>1166.1500000000001</v>
      </c>
      <c r="I64">
        <v>256.13</v>
      </c>
      <c r="J64">
        <v>1032.0899999999999</v>
      </c>
      <c r="K64">
        <f t="shared" si="0"/>
        <v>1166.1500000000001</v>
      </c>
      <c r="L64">
        <f t="shared" si="1"/>
        <v>910.0200000000001</v>
      </c>
      <c r="M64">
        <f t="shared" si="2"/>
        <v>256.13</v>
      </c>
      <c r="N64" t="str">
        <f t="shared" si="3"/>
        <v>Amazon Digital Supply</v>
      </c>
      <c r="O64" t="str">
        <f t="shared" si="4"/>
        <v>Online Shopping</v>
      </c>
      <c r="P64" t="str">
        <f t="shared" si="5"/>
        <v>Deposit</v>
      </c>
      <c r="Q64">
        <f t="shared" si="6"/>
        <v>910.02</v>
      </c>
      <c r="R64">
        <f t="shared" si="7"/>
        <v>-122.06999999999994</v>
      </c>
    </row>
    <row r="65" spans="1:18" x14ac:dyDescent="0.3">
      <c r="A65" t="s">
        <v>73</v>
      </c>
      <c r="B65" t="s">
        <v>835</v>
      </c>
      <c r="C65" s="4" t="s">
        <v>993</v>
      </c>
      <c r="D65" t="s">
        <v>1291</v>
      </c>
      <c r="E65" t="s">
        <v>1295</v>
      </c>
      <c r="F65" t="s">
        <v>1313</v>
      </c>
      <c r="G65" s="9">
        <v>1138.1400000000001</v>
      </c>
      <c r="H65">
        <v>1508.39</v>
      </c>
      <c r="I65">
        <v>-226.26</v>
      </c>
      <c r="J65">
        <v>1340.26</v>
      </c>
      <c r="K65">
        <f t="shared" si="0"/>
        <v>1508.39</v>
      </c>
      <c r="L65">
        <f t="shared" si="1"/>
        <v>1734.65</v>
      </c>
      <c r="M65">
        <f t="shared" si="2"/>
        <v>-226.26</v>
      </c>
      <c r="N65" t="str">
        <f t="shared" si="3"/>
        <v>Fresh &amp; Fast Logistics</v>
      </c>
      <c r="O65" t="str">
        <f t="shared" si="4"/>
        <v>Groceries</v>
      </c>
      <c r="P65" t="str">
        <f t="shared" si="5"/>
        <v>Withdrawal</v>
      </c>
      <c r="Q65">
        <f t="shared" si="6"/>
        <v>1138.1400000000001</v>
      </c>
      <c r="R65">
        <f t="shared" si="7"/>
        <v>-202.11999999999989</v>
      </c>
    </row>
    <row r="66" spans="1:18" x14ac:dyDescent="0.3">
      <c r="A66" t="s">
        <v>74</v>
      </c>
      <c r="B66" t="s">
        <v>836</v>
      </c>
      <c r="C66" s="4" t="s">
        <v>994</v>
      </c>
      <c r="D66" t="s">
        <v>1291</v>
      </c>
      <c r="E66" t="s">
        <v>1296</v>
      </c>
      <c r="F66" t="s">
        <v>1308</v>
      </c>
      <c r="G66" s="9">
        <v>7654.98</v>
      </c>
      <c r="H66">
        <v>9831.4699999999993</v>
      </c>
      <c r="I66">
        <v>-1474.72</v>
      </c>
      <c r="J66">
        <v>8743.2199999999993</v>
      </c>
      <c r="K66">
        <f t="shared" si="0"/>
        <v>9831.4699999999993</v>
      </c>
      <c r="L66">
        <f t="shared" si="1"/>
        <v>11306.189999999999</v>
      </c>
      <c r="M66">
        <f t="shared" si="2"/>
        <v>-1474.72</v>
      </c>
      <c r="N66" t="str">
        <f t="shared" si="3"/>
        <v>Stark Retail Labs</v>
      </c>
      <c r="O66" t="str">
        <f t="shared" si="4"/>
        <v>Salary</v>
      </c>
      <c r="P66" t="str">
        <f t="shared" si="5"/>
        <v>Withdrawal</v>
      </c>
      <c r="Q66">
        <f t="shared" si="6"/>
        <v>7654.98</v>
      </c>
      <c r="R66">
        <f t="shared" si="7"/>
        <v>-1088.2399999999998</v>
      </c>
    </row>
    <row r="67" spans="1:18" x14ac:dyDescent="0.3">
      <c r="A67" t="s">
        <v>75</v>
      </c>
      <c r="B67" t="s">
        <v>837</v>
      </c>
      <c r="C67" s="4" t="s">
        <v>941</v>
      </c>
      <c r="D67" t="s">
        <v>1292</v>
      </c>
      <c r="E67" t="s">
        <v>1298</v>
      </c>
      <c r="F67" t="s">
        <v>1317</v>
      </c>
      <c r="G67" s="9">
        <v>694.02</v>
      </c>
      <c r="H67">
        <v>967.83</v>
      </c>
      <c r="I67">
        <v>273.81</v>
      </c>
      <c r="J67">
        <v>625.45000000000005</v>
      </c>
      <c r="K67">
        <f t="shared" ref="K67:K130" si="8">IF(H67,H67,AVERAGE($H$2:$H$35))</f>
        <v>967.83</v>
      </c>
      <c r="L67">
        <f t="shared" ref="L67:L130" si="9">K67-M67</f>
        <v>694.02</v>
      </c>
      <c r="M67">
        <f t="shared" ref="M67:M130" si="10">IF(I67,I67,AVERAGE($I$2:$I$68))</f>
        <v>273.81</v>
      </c>
      <c r="N67" t="str">
        <f t="shared" ref="N67:N130" si="11">PROPER(F67)</f>
        <v>External Wire Clearance</v>
      </c>
      <c r="O67" t="str">
        <f t="shared" ref="O67:O130" si="12">PROPER(E67)</f>
        <v>Transfer</v>
      </c>
      <c r="P67" t="str">
        <f t="shared" ref="P67:P130" si="13">PROPER(D67)</f>
        <v>Deposit</v>
      </c>
      <c r="Q67">
        <f t="shared" ref="Q67:Q130" si="14">IF(G67,G67,AVERAGE($G$2:$G$31))</f>
        <v>694.02</v>
      </c>
      <c r="R67">
        <f t="shared" ref="R67:R130" si="15">Q67-J67</f>
        <v>68.569999999999936</v>
      </c>
    </row>
    <row r="68" spans="1:18" x14ac:dyDescent="0.3">
      <c r="A68" t="s">
        <v>76</v>
      </c>
      <c r="B68" t="s">
        <v>823</v>
      </c>
      <c r="C68" s="4" t="s">
        <v>995</v>
      </c>
      <c r="D68" t="s">
        <v>1291</v>
      </c>
      <c r="E68" t="s">
        <v>1294</v>
      </c>
      <c r="F68" t="s">
        <v>1315</v>
      </c>
      <c r="G68" s="9">
        <v>1171.03</v>
      </c>
      <c r="H68">
        <v>1490.89</v>
      </c>
      <c r="I68">
        <v>-223.63</v>
      </c>
      <c r="J68">
        <v>1133.21</v>
      </c>
      <c r="K68">
        <f t="shared" si="8"/>
        <v>1490.89</v>
      </c>
      <c r="L68">
        <f t="shared" si="9"/>
        <v>1714.52</v>
      </c>
      <c r="M68">
        <f t="shared" si="10"/>
        <v>-223.63</v>
      </c>
      <c r="N68" t="str">
        <f t="shared" si="11"/>
        <v>Ebay International</v>
      </c>
      <c r="O68" t="str">
        <f t="shared" si="12"/>
        <v>Online Shopping</v>
      </c>
      <c r="P68" t="str">
        <f t="shared" si="13"/>
        <v>Withdrawal</v>
      </c>
      <c r="Q68">
        <f t="shared" si="14"/>
        <v>1171.03</v>
      </c>
      <c r="R68">
        <f t="shared" si="15"/>
        <v>37.819999999999936</v>
      </c>
    </row>
    <row r="69" spans="1:18" x14ac:dyDescent="0.3">
      <c r="A69" t="s">
        <v>77</v>
      </c>
      <c r="B69" t="s">
        <v>838</v>
      </c>
      <c r="C69" s="4" t="s">
        <v>996</v>
      </c>
      <c r="D69" t="s">
        <v>1291</v>
      </c>
      <c r="E69" t="s">
        <v>1299</v>
      </c>
      <c r="F69" t="s">
        <v>1311</v>
      </c>
      <c r="G69" s="9">
        <v>839.82</v>
      </c>
      <c r="H69">
        <v>1098.96</v>
      </c>
      <c r="J69">
        <v>929.12</v>
      </c>
      <c r="K69">
        <f t="shared" si="8"/>
        <v>1098.96</v>
      </c>
      <c r="L69">
        <f t="shared" si="9"/>
        <v>1143.1429850746269</v>
      </c>
      <c r="M69">
        <f t="shared" si="10"/>
        <v>-44.182985074626863</v>
      </c>
      <c r="N69" t="str">
        <f t="shared" si="11"/>
        <v>Spotify Music Hub</v>
      </c>
      <c r="O69" t="str">
        <f t="shared" si="12"/>
        <v>Entertainment</v>
      </c>
      <c r="P69" t="str">
        <f t="shared" si="13"/>
        <v>Withdrawal</v>
      </c>
      <c r="Q69">
        <f t="shared" si="14"/>
        <v>839.82</v>
      </c>
      <c r="R69">
        <f t="shared" si="15"/>
        <v>-89.299999999999955</v>
      </c>
    </row>
    <row r="70" spans="1:18" x14ac:dyDescent="0.3">
      <c r="A70" t="s">
        <v>78</v>
      </c>
      <c r="B70" t="s">
        <v>838</v>
      </c>
      <c r="C70" s="4" t="s">
        <v>997</v>
      </c>
      <c r="D70" t="s">
        <v>1292</v>
      </c>
      <c r="E70" t="s">
        <v>1295</v>
      </c>
      <c r="F70" t="s">
        <v>1304</v>
      </c>
      <c r="G70" s="9">
        <v>617.58000000000004</v>
      </c>
      <c r="H70">
        <v>835.1</v>
      </c>
      <c r="I70">
        <v>217.52</v>
      </c>
      <c r="J70">
        <v>573.22</v>
      </c>
      <c r="K70">
        <f t="shared" si="8"/>
        <v>835.1</v>
      </c>
      <c r="L70">
        <f t="shared" si="9"/>
        <v>617.58000000000004</v>
      </c>
      <c r="M70">
        <f t="shared" si="10"/>
        <v>217.52</v>
      </c>
      <c r="N70" t="str">
        <f t="shared" si="11"/>
        <v>Whole Foods Store</v>
      </c>
      <c r="O70" t="str">
        <f t="shared" si="12"/>
        <v>Groceries</v>
      </c>
      <c r="P70" t="str">
        <f t="shared" si="13"/>
        <v>Deposit</v>
      </c>
      <c r="Q70">
        <f t="shared" si="14"/>
        <v>617.58000000000004</v>
      </c>
      <c r="R70">
        <f t="shared" si="15"/>
        <v>44.360000000000014</v>
      </c>
    </row>
    <row r="71" spans="1:18" x14ac:dyDescent="0.3">
      <c r="A71" t="s">
        <v>79</v>
      </c>
      <c r="B71" t="s">
        <v>833</v>
      </c>
      <c r="C71" s="4" t="s">
        <v>939</v>
      </c>
      <c r="D71" t="s">
        <v>1291</v>
      </c>
      <c r="E71" t="s">
        <v>1299</v>
      </c>
      <c r="F71" t="s">
        <v>1312</v>
      </c>
      <c r="G71" s="9">
        <v>171.76</v>
      </c>
      <c r="H71">
        <v>236.98</v>
      </c>
      <c r="I71">
        <v>-35.549999999999997</v>
      </c>
      <c r="J71">
        <v>185.16</v>
      </c>
      <c r="K71">
        <f t="shared" si="8"/>
        <v>236.98</v>
      </c>
      <c r="L71">
        <f t="shared" si="9"/>
        <v>272.52999999999997</v>
      </c>
      <c r="M71">
        <f t="shared" si="10"/>
        <v>-35.549999999999997</v>
      </c>
      <c r="N71" t="str">
        <f t="shared" si="11"/>
        <v>Netflix Streaming Premium</v>
      </c>
      <c r="O71" t="str">
        <f t="shared" si="12"/>
        <v>Entertainment</v>
      </c>
      <c r="P71" t="str">
        <f t="shared" si="13"/>
        <v>Withdrawal</v>
      </c>
      <c r="Q71">
        <f t="shared" si="14"/>
        <v>171.76</v>
      </c>
      <c r="R71">
        <f t="shared" si="15"/>
        <v>-13.400000000000006</v>
      </c>
    </row>
    <row r="72" spans="1:18" x14ac:dyDescent="0.3">
      <c r="A72" t="s">
        <v>80</v>
      </c>
      <c r="B72" t="s">
        <v>790</v>
      </c>
      <c r="C72" s="4" t="s">
        <v>998</v>
      </c>
      <c r="D72" t="s">
        <v>1291</v>
      </c>
      <c r="E72" t="s">
        <v>1299</v>
      </c>
      <c r="F72" t="s">
        <v>1316</v>
      </c>
      <c r="G72" s="9">
        <v>378.35</v>
      </c>
      <c r="H72">
        <v>484.23</v>
      </c>
      <c r="I72">
        <v>-72.63</v>
      </c>
      <c r="J72">
        <v>353.95</v>
      </c>
      <c r="K72">
        <f t="shared" si="8"/>
        <v>484.23</v>
      </c>
      <c r="L72">
        <f t="shared" si="9"/>
        <v>556.86</v>
      </c>
      <c r="M72">
        <f t="shared" si="10"/>
        <v>-72.63</v>
      </c>
      <c r="N72" t="str">
        <f t="shared" si="11"/>
        <v>Amc Cinema Network</v>
      </c>
      <c r="O72" t="str">
        <f t="shared" si="12"/>
        <v>Entertainment</v>
      </c>
      <c r="P72" t="str">
        <f t="shared" si="13"/>
        <v>Withdrawal</v>
      </c>
      <c r="Q72">
        <f t="shared" si="14"/>
        <v>378.35</v>
      </c>
      <c r="R72">
        <f t="shared" si="15"/>
        <v>24.400000000000034</v>
      </c>
    </row>
    <row r="73" spans="1:18" x14ac:dyDescent="0.3">
      <c r="A73" t="s">
        <v>81</v>
      </c>
      <c r="B73" t="s">
        <v>839</v>
      </c>
      <c r="C73" s="4" t="s">
        <v>999</v>
      </c>
      <c r="D73" t="s">
        <v>1292</v>
      </c>
      <c r="E73" t="s">
        <v>1298</v>
      </c>
      <c r="F73" t="s">
        <v>1317</v>
      </c>
      <c r="G73" s="9">
        <v>1027.06</v>
      </c>
      <c r="H73">
        <v>1263.48</v>
      </c>
      <c r="I73">
        <v>236.42</v>
      </c>
      <c r="J73">
        <v>1039.8800000000001</v>
      </c>
      <c r="K73">
        <f t="shared" si="8"/>
        <v>1263.48</v>
      </c>
      <c r="L73">
        <f t="shared" si="9"/>
        <v>1027.06</v>
      </c>
      <c r="M73">
        <f t="shared" si="10"/>
        <v>236.42</v>
      </c>
      <c r="N73" t="str">
        <f t="shared" si="11"/>
        <v>External Wire Clearance</v>
      </c>
      <c r="O73" t="str">
        <f t="shared" si="12"/>
        <v>Transfer</v>
      </c>
      <c r="P73" t="str">
        <f t="shared" si="13"/>
        <v>Deposit</v>
      </c>
      <c r="Q73">
        <f t="shared" si="14"/>
        <v>1027.06</v>
      </c>
      <c r="R73">
        <f t="shared" si="15"/>
        <v>-12.820000000000164</v>
      </c>
    </row>
    <row r="74" spans="1:18" x14ac:dyDescent="0.3">
      <c r="A74" t="s">
        <v>82</v>
      </c>
      <c r="B74" t="s">
        <v>840</v>
      </c>
      <c r="C74" s="4" t="s">
        <v>947</v>
      </c>
      <c r="D74" t="s">
        <v>1291</v>
      </c>
      <c r="E74" t="s">
        <v>1297</v>
      </c>
      <c r="F74" t="s">
        <v>1309</v>
      </c>
      <c r="G74" s="9">
        <v>1162.17</v>
      </c>
      <c r="H74">
        <v>1459.38</v>
      </c>
      <c r="I74">
        <v>-218.91</v>
      </c>
      <c r="J74">
        <v>1173.9000000000001</v>
      </c>
      <c r="K74">
        <f t="shared" si="8"/>
        <v>1459.38</v>
      </c>
      <c r="L74">
        <f t="shared" si="9"/>
        <v>1678.2900000000002</v>
      </c>
      <c r="M74">
        <f t="shared" si="10"/>
        <v>-218.91</v>
      </c>
      <c r="N74" t="str">
        <f t="shared" si="11"/>
        <v>Olive Garden Gourmet</v>
      </c>
      <c r="O74" t="str">
        <f t="shared" si="12"/>
        <v>Dining Out</v>
      </c>
      <c r="P74" t="str">
        <f t="shared" si="13"/>
        <v>Withdrawal</v>
      </c>
      <c r="Q74">
        <f t="shared" si="14"/>
        <v>1162.17</v>
      </c>
      <c r="R74">
        <f t="shared" si="15"/>
        <v>-11.730000000000018</v>
      </c>
    </row>
    <row r="75" spans="1:18" x14ac:dyDescent="0.3">
      <c r="A75" t="s">
        <v>83</v>
      </c>
      <c r="B75" t="s">
        <v>841</v>
      </c>
      <c r="C75" s="4" t="s">
        <v>1000</v>
      </c>
      <c r="D75" t="s">
        <v>1291</v>
      </c>
      <c r="E75" t="s">
        <v>1296</v>
      </c>
      <c r="F75" t="s">
        <v>1308</v>
      </c>
      <c r="G75" s="9">
        <v>4397.12</v>
      </c>
      <c r="H75">
        <v>5162.83</v>
      </c>
      <c r="I75">
        <v>-774.42</v>
      </c>
      <c r="J75">
        <v>4591.32</v>
      </c>
      <c r="K75">
        <f t="shared" si="8"/>
        <v>5162.83</v>
      </c>
      <c r="L75">
        <f t="shared" si="9"/>
        <v>5937.25</v>
      </c>
      <c r="M75">
        <f t="shared" si="10"/>
        <v>-774.42</v>
      </c>
      <c r="N75" t="str">
        <f t="shared" si="11"/>
        <v>Stark Retail Labs</v>
      </c>
      <c r="O75" t="str">
        <f t="shared" si="12"/>
        <v>Salary</v>
      </c>
      <c r="P75" t="str">
        <f t="shared" si="13"/>
        <v>Withdrawal</v>
      </c>
      <c r="Q75">
        <f t="shared" si="14"/>
        <v>4397.12</v>
      </c>
      <c r="R75">
        <f t="shared" si="15"/>
        <v>-194.19999999999982</v>
      </c>
    </row>
    <row r="76" spans="1:18" x14ac:dyDescent="0.3">
      <c r="A76" t="s">
        <v>84</v>
      </c>
      <c r="B76" t="s">
        <v>842</v>
      </c>
      <c r="C76" s="4" t="s">
        <v>1001</v>
      </c>
      <c r="D76" t="s">
        <v>1292</v>
      </c>
      <c r="E76" t="s">
        <v>1295</v>
      </c>
      <c r="F76" t="s">
        <v>1313</v>
      </c>
      <c r="G76" s="9">
        <v>602.55999999999995</v>
      </c>
      <c r="H76">
        <v>825.13</v>
      </c>
      <c r="I76">
        <v>222.57</v>
      </c>
      <c r="J76">
        <v>588.21</v>
      </c>
      <c r="K76">
        <f t="shared" si="8"/>
        <v>825.13</v>
      </c>
      <c r="L76">
        <f t="shared" si="9"/>
        <v>602.55999999999995</v>
      </c>
      <c r="M76">
        <f t="shared" si="10"/>
        <v>222.57</v>
      </c>
      <c r="N76" t="str">
        <f t="shared" si="11"/>
        <v>Fresh &amp; Fast Logistics</v>
      </c>
      <c r="O76" t="str">
        <f t="shared" si="12"/>
        <v>Groceries</v>
      </c>
      <c r="P76" t="str">
        <f t="shared" si="13"/>
        <v>Deposit</v>
      </c>
      <c r="Q76">
        <f t="shared" si="14"/>
        <v>602.55999999999995</v>
      </c>
      <c r="R76">
        <f t="shared" si="15"/>
        <v>14.349999999999909</v>
      </c>
    </row>
    <row r="77" spans="1:18" x14ac:dyDescent="0.3">
      <c r="A77" t="s">
        <v>85</v>
      </c>
      <c r="B77" t="s">
        <v>843</v>
      </c>
      <c r="C77" s="4" t="s">
        <v>1002</v>
      </c>
      <c r="D77" t="s">
        <v>1292</v>
      </c>
      <c r="E77" t="s">
        <v>1297</v>
      </c>
      <c r="F77" t="s">
        <v>1309</v>
      </c>
      <c r="G77" s="9">
        <v>600.04999999999995</v>
      </c>
      <c r="H77">
        <v>814.45</v>
      </c>
      <c r="I77">
        <v>214.4</v>
      </c>
      <c r="J77">
        <v>716.7</v>
      </c>
      <c r="K77">
        <f t="shared" si="8"/>
        <v>814.45</v>
      </c>
      <c r="L77">
        <f t="shared" si="9"/>
        <v>600.05000000000007</v>
      </c>
      <c r="M77">
        <f t="shared" si="10"/>
        <v>214.4</v>
      </c>
      <c r="N77" t="str">
        <f t="shared" si="11"/>
        <v>Olive Garden Gourmet</v>
      </c>
      <c r="O77" t="str">
        <f t="shared" si="12"/>
        <v>Dining Out</v>
      </c>
      <c r="P77" t="str">
        <f t="shared" si="13"/>
        <v>Deposit</v>
      </c>
      <c r="Q77">
        <f t="shared" si="14"/>
        <v>600.04999999999995</v>
      </c>
      <c r="R77">
        <f t="shared" si="15"/>
        <v>-116.65000000000009</v>
      </c>
    </row>
    <row r="78" spans="1:18" x14ac:dyDescent="0.3">
      <c r="A78" t="s">
        <v>86</v>
      </c>
      <c r="B78" t="s">
        <v>833</v>
      </c>
      <c r="C78" s="4" t="s">
        <v>1003</v>
      </c>
      <c r="D78" t="s">
        <v>1292</v>
      </c>
      <c r="E78" t="s">
        <v>1299</v>
      </c>
      <c r="F78" t="s">
        <v>1312</v>
      </c>
      <c r="G78" s="9">
        <v>216.63</v>
      </c>
      <c r="H78">
        <v>287.18</v>
      </c>
      <c r="I78">
        <v>70.55</v>
      </c>
      <c r="J78">
        <v>230.03</v>
      </c>
      <c r="K78">
        <f t="shared" si="8"/>
        <v>287.18</v>
      </c>
      <c r="L78">
        <f t="shared" si="9"/>
        <v>216.63</v>
      </c>
      <c r="M78">
        <f t="shared" si="10"/>
        <v>70.55</v>
      </c>
      <c r="N78" t="str">
        <f t="shared" si="11"/>
        <v>Netflix Streaming Premium</v>
      </c>
      <c r="O78" t="str">
        <f t="shared" si="12"/>
        <v>Entertainment</v>
      </c>
      <c r="P78" t="str">
        <f t="shared" si="13"/>
        <v>Deposit</v>
      </c>
      <c r="Q78">
        <f t="shared" si="14"/>
        <v>216.63</v>
      </c>
      <c r="R78">
        <f t="shared" si="15"/>
        <v>-13.400000000000006</v>
      </c>
    </row>
    <row r="79" spans="1:18" x14ac:dyDescent="0.3">
      <c r="A79" t="s">
        <v>87</v>
      </c>
      <c r="B79" t="s">
        <v>844</v>
      </c>
      <c r="C79" s="4" t="s">
        <v>1004</v>
      </c>
      <c r="D79" t="s">
        <v>1291</v>
      </c>
      <c r="E79" t="s">
        <v>1299</v>
      </c>
      <c r="F79" t="s">
        <v>1312</v>
      </c>
      <c r="G79" s="9">
        <v>501.53</v>
      </c>
      <c r="H79">
        <v>653.67999999999995</v>
      </c>
      <c r="I79">
        <v>-98.05</v>
      </c>
      <c r="J79">
        <v>594.04</v>
      </c>
      <c r="K79">
        <f t="shared" si="8"/>
        <v>653.67999999999995</v>
      </c>
      <c r="L79">
        <f t="shared" si="9"/>
        <v>751.7299999999999</v>
      </c>
      <c r="M79">
        <f t="shared" si="10"/>
        <v>-98.05</v>
      </c>
      <c r="N79" t="str">
        <f t="shared" si="11"/>
        <v>Netflix Streaming Premium</v>
      </c>
      <c r="O79" t="str">
        <f t="shared" si="12"/>
        <v>Entertainment</v>
      </c>
      <c r="P79" t="str">
        <f t="shared" si="13"/>
        <v>Withdrawal</v>
      </c>
      <c r="Q79">
        <f t="shared" si="14"/>
        <v>501.53</v>
      </c>
      <c r="R79">
        <f t="shared" si="15"/>
        <v>-92.509999999999991</v>
      </c>
    </row>
    <row r="80" spans="1:18" x14ac:dyDescent="0.3">
      <c r="A80" t="s">
        <v>88</v>
      </c>
      <c r="B80" t="s">
        <v>833</v>
      </c>
      <c r="C80" s="4" t="s">
        <v>1005</v>
      </c>
      <c r="D80" t="s">
        <v>1291</v>
      </c>
      <c r="E80" t="s">
        <v>1298</v>
      </c>
      <c r="F80" t="s">
        <v>1317</v>
      </c>
      <c r="G80" s="9">
        <v>212.62</v>
      </c>
      <c r="H80">
        <v>283.29000000000002</v>
      </c>
      <c r="I80">
        <v>-42.49</v>
      </c>
      <c r="J80">
        <v>249.41</v>
      </c>
      <c r="K80">
        <f t="shared" si="8"/>
        <v>283.29000000000002</v>
      </c>
      <c r="L80">
        <f t="shared" si="9"/>
        <v>325.78000000000003</v>
      </c>
      <c r="M80">
        <f t="shared" si="10"/>
        <v>-42.49</v>
      </c>
      <c r="N80" t="str">
        <f t="shared" si="11"/>
        <v>External Wire Clearance</v>
      </c>
      <c r="O80" t="str">
        <f t="shared" si="12"/>
        <v>Transfer</v>
      </c>
      <c r="P80" t="str">
        <f t="shared" si="13"/>
        <v>Withdrawal</v>
      </c>
      <c r="Q80">
        <f t="shared" si="14"/>
        <v>212.62</v>
      </c>
      <c r="R80">
        <f t="shared" si="15"/>
        <v>-36.789999999999992</v>
      </c>
    </row>
    <row r="81" spans="1:18" x14ac:dyDescent="0.3">
      <c r="A81" t="s">
        <v>89</v>
      </c>
      <c r="B81" t="s">
        <v>845</v>
      </c>
      <c r="C81" s="4" t="s">
        <v>1006</v>
      </c>
      <c r="D81" t="s">
        <v>1292</v>
      </c>
      <c r="E81" t="s">
        <v>1298</v>
      </c>
      <c r="F81" t="s">
        <v>1310</v>
      </c>
      <c r="G81" s="9">
        <v>509.28</v>
      </c>
      <c r="H81">
        <v>637.9</v>
      </c>
      <c r="I81">
        <v>128.62</v>
      </c>
      <c r="J81">
        <v>469.11</v>
      </c>
      <c r="K81">
        <f t="shared" si="8"/>
        <v>637.9</v>
      </c>
      <c r="L81">
        <f t="shared" si="9"/>
        <v>509.28</v>
      </c>
      <c r="M81">
        <f t="shared" si="10"/>
        <v>128.62</v>
      </c>
      <c r="N81" t="str">
        <f t="shared" si="11"/>
        <v>Zelle Payment Engine</v>
      </c>
      <c r="O81" t="str">
        <f t="shared" si="12"/>
        <v>Transfer</v>
      </c>
      <c r="P81" t="str">
        <f t="shared" si="13"/>
        <v>Deposit</v>
      </c>
      <c r="Q81">
        <f t="shared" si="14"/>
        <v>509.28</v>
      </c>
      <c r="R81">
        <f t="shared" si="15"/>
        <v>40.169999999999959</v>
      </c>
    </row>
    <row r="82" spans="1:18" x14ac:dyDescent="0.3">
      <c r="A82" t="s">
        <v>90</v>
      </c>
      <c r="B82" t="s">
        <v>807</v>
      </c>
      <c r="C82" s="4" t="s">
        <v>961</v>
      </c>
      <c r="D82" t="s">
        <v>1291</v>
      </c>
      <c r="E82" t="s">
        <v>1294</v>
      </c>
      <c r="F82" t="s">
        <v>1315</v>
      </c>
      <c r="G82" s="9">
        <v>1178.42</v>
      </c>
      <c r="H82">
        <v>1363.1</v>
      </c>
      <c r="I82">
        <v>-204.46</v>
      </c>
      <c r="J82">
        <v>1140.98</v>
      </c>
      <c r="K82">
        <f t="shared" si="8"/>
        <v>1363.1</v>
      </c>
      <c r="L82">
        <f t="shared" si="9"/>
        <v>1567.56</v>
      </c>
      <c r="M82">
        <f t="shared" si="10"/>
        <v>-204.46</v>
      </c>
      <c r="N82" t="str">
        <f t="shared" si="11"/>
        <v>Ebay International</v>
      </c>
      <c r="O82" t="str">
        <f t="shared" si="12"/>
        <v>Online Shopping</v>
      </c>
      <c r="P82" t="str">
        <f t="shared" si="13"/>
        <v>Withdrawal</v>
      </c>
      <c r="Q82">
        <f t="shared" si="14"/>
        <v>1178.42</v>
      </c>
      <c r="R82">
        <f t="shared" si="15"/>
        <v>37.440000000000055</v>
      </c>
    </row>
    <row r="83" spans="1:18" x14ac:dyDescent="0.3">
      <c r="A83" t="s">
        <v>91</v>
      </c>
      <c r="B83" t="s">
        <v>846</v>
      </c>
      <c r="C83" s="4" t="s">
        <v>1007</v>
      </c>
      <c r="D83" t="s">
        <v>1292</v>
      </c>
      <c r="E83" t="s">
        <v>1297</v>
      </c>
      <c r="F83" t="s">
        <v>1309</v>
      </c>
      <c r="G83" s="9">
        <v>1083.47</v>
      </c>
      <c r="H83">
        <v>1381.74</v>
      </c>
      <c r="I83">
        <v>298.27</v>
      </c>
      <c r="J83">
        <v>1130.3599999999999</v>
      </c>
      <c r="K83">
        <f t="shared" si="8"/>
        <v>1381.74</v>
      </c>
      <c r="L83">
        <f t="shared" si="9"/>
        <v>1083.47</v>
      </c>
      <c r="M83">
        <f t="shared" si="10"/>
        <v>298.27</v>
      </c>
      <c r="N83" t="str">
        <f t="shared" si="11"/>
        <v>Olive Garden Gourmet</v>
      </c>
      <c r="O83" t="str">
        <f t="shared" si="12"/>
        <v>Dining Out</v>
      </c>
      <c r="P83" t="str">
        <f t="shared" si="13"/>
        <v>Deposit</v>
      </c>
      <c r="Q83">
        <f t="shared" si="14"/>
        <v>1083.47</v>
      </c>
      <c r="R83">
        <f t="shared" si="15"/>
        <v>-46.889999999999873</v>
      </c>
    </row>
    <row r="84" spans="1:18" x14ac:dyDescent="0.3">
      <c r="A84" t="s">
        <v>92</v>
      </c>
      <c r="B84" t="s">
        <v>806</v>
      </c>
      <c r="C84" s="4" t="s">
        <v>1008</v>
      </c>
      <c r="D84" t="s">
        <v>1292</v>
      </c>
      <c r="E84" t="s">
        <v>1295</v>
      </c>
      <c r="F84" t="s">
        <v>1302</v>
      </c>
      <c r="G84" s="9">
        <v>68.66</v>
      </c>
      <c r="H84">
        <v>85.02</v>
      </c>
      <c r="I84">
        <v>16.36</v>
      </c>
      <c r="J84">
        <v>69.25</v>
      </c>
      <c r="K84">
        <f t="shared" si="8"/>
        <v>85.02</v>
      </c>
      <c r="L84">
        <f t="shared" si="9"/>
        <v>68.66</v>
      </c>
      <c r="M84">
        <f t="shared" si="10"/>
        <v>16.36</v>
      </c>
      <c r="N84" t="str">
        <f t="shared" si="11"/>
        <v>Supermart Marketplace</v>
      </c>
      <c r="O84" t="str">
        <f t="shared" si="12"/>
        <v>Groceries</v>
      </c>
      <c r="P84" t="str">
        <f t="shared" si="13"/>
        <v>Deposit</v>
      </c>
      <c r="Q84">
        <f t="shared" si="14"/>
        <v>68.66</v>
      </c>
      <c r="R84">
        <f t="shared" si="15"/>
        <v>-0.59000000000000341</v>
      </c>
    </row>
    <row r="85" spans="1:18" x14ac:dyDescent="0.3">
      <c r="A85" t="s">
        <v>93</v>
      </c>
      <c r="B85" t="s">
        <v>847</v>
      </c>
      <c r="C85" s="4" t="s">
        <v>1009</v>
      </c>
      <c r="D85" t="s">
        <v>1292</v>
      </c>
      <c r="E85" t="s">
        <v>1295</v>
      </c>
      <c r="F85" t="s">
        <v>1313</v>
      </c>
      <c r="G85" s="9">
        <v>504.94</v>
      </c>
      <c r="H85">
        <v>582.02</v>
      </c>
      <c r="I85">
        <v>77.08</v>
      </c>
      <c r="J85">
        <v>595.73</v>
      </c>
      <c r="K85">
        <f t="shared" si="8"/>
        <v>582.02</v>
      </c>
      <c r="L85">
        <f t="shared" si="9"/>
        <v>504.94</v>
      </c>
      <c r="M85">
        <f t="shared" si="10"/>
        <v>77.08</v>
      </c>
      <c r="N85" t="str">
        <f t="shared" si="11"/>
        <v>Fresh &amp; Fast Logistics</v>
      </c>
      <c r="O85" t="str">
        <f t="shared" si="12"/>
        <v>Groceries</v>
      </c>
      <c r="P85" t="str">
        <f t="shared" si="13"/>
        <v>Deposit</v>
      </c>
      <c r="Q85">
        <f t="shared" si="14"/>
        <v>504.94</v>
      </c>
      <c r="R85">
        <f t="shared" si="15"/>
        <v>-90.79000000000002</v>
      </c>
    </row>
    <row r="86" spans="1:18" x14ac:dyDescent="0.3">
      <c r="A86" t="s">
        <v>94</v>
      </c>
      <c r="B86" t="s">
        <v>848</v>
      </c>
      <c r="C86" s="4" t="s">
        <v>988</v>
      </c>
      <c r="D86" t="s">
        <v>1291</v>
      </c>
      <c r="E86" t="s">
        <v>1299</v>
      </c>
      <c r="F86" t="s">
        <v>1316</v>
      </c>
      <c r="G86" s="9">
        <v>643.58000000000004</v>
      </c>
      <c r="H86">
        <v>831.12</v>
      </c>
      <c r="I86">
        <v>-124.67</v>
      </c>
      <c r="J86">
        <v>661.41</v>
      </c>
      <c r="K86">
        <f t="shared" si="8"/>
        <v>831.12</v>
      </c>
      <c r="L86">
        <f t="shared" si="9"/>
        <v>955.79</v>
      </c>
      <c r="M86">
        <f t="shared" si="10"/>
        <v>-124.67</v>
      </c>
      <c r="N86" t="str">
        <f t="shared" si="11"/>
        <v>Amc Cinema Network</v>
      </c>
      <c r="O86" t="str">
        <f t="shared" si="12"/>
        <v>Entertainment</v>
      </c>
      <c r="P86" t="str">
        <f t="shared" si="13"/>
        <v>Withdrawal</v>
      </c>
      <c r="Q86">
        <f t="shared" si="14"/>
        <v>643.58000000000004</v>
      </c>
      <c r="R86">
        <f t="shared" si="15"/>
        <v>-17.829999999999927</v>
      </c>
    </row>
    <row r="87" spans="1:18" x14ac:dyDescent="0.3">
      <c r="A87" t="s">
        <v>95</v>
      </c>
      <c r="B87" t="s">
        <v>849</v>
      </c>
      <c r="C87" s="4" t="s">
        <v>1010</v>
      </c>
      <c r="D87" t="s">
        <v>1292</v>
      </c>
      <c r="E87" t="s">
        <v>1296</v>
      </c>
      <c r="F87" t="s">
        <v>1308</v>
      </c>
      <c r="G87" s="9">
        <v>7836.93</v>
      </c>
      <c r="H87">
        <v>10463.299999999999</v>
      </c>
      <c r="I87">
        <v>2626.37</v>
      </c>
      <c r="J87">
        <v>7901.05</v>
      </c>
      <c r="K87">
        <f t="shared" si="8"/>
        <v>10463.299999999999</v>
      </c>
      <c r="L87">
        <f t="shared" si="9"/>
        <v>7836.9299999999994</v>
      </c>
      <c r="M87">
        <f t="shared" si="10"/>
        <v>2626.37</v>
      </c>
      <c r="N87" t="str">
        <f t="shared" si="11"/>
        <v>Stark Retail Labs</v>
      </c>
      <c r="O87" t="str">
        <f t="shared" si="12"/>
        <v>Salary</v>
      </c>
      <c r="P87" t="str">
        <f t="shared" si="13"/>
        <v>Deposit</v>
      </c>
      <c r="Q87">
        <f t="shared" si="14"/>
        <v>7836.93</v>
      </c>
      <c r="R87">
        <f t="shared" si="15"/>
        <v>-64.119999999999891</v>
      </c>
    </row>
    <row r="88" spans="1:18" x14ac:dyDescent="0.3">
      <c r="A88" t="s">
        <v>96</v>
      </c>
      <c r="B88" t="s">
        <v>793</v>
      </c>
      <c r="C88" s="4" t="s">
        <v>955</v>
      </c>
      <c r="D88" t="s">
        <v>1291</v>
      </c>
      <c r="E88" t="s">
        <v>1298</v>
      </c>
      <c r="F88" t="s">
        <v>1310</v>
      </c>
      <c r="G88" s="9">
        <v>988.89</v>
      </c>
      <c r="H88">
        <v>1163.1500000000001</v>
      </c>
      <c r="I88">
        <v>-174.47</v>
      </c>
      <c r="J88">
        <v>1107.17</v>
      </c>
      <c r="K88">
        <f t="shared" si="8"/>
        <v>1163.1500000000001</v>
      </c>
      <c r="L88">
        <f t="shared" si="9"/>
        <v>1337.6200000000001</v>
      </c>
      <c r="M88">
        <f t="shared" si="10"/>
        <v>-174.47</v>
      </c>
      <c r="N88" t="str">
        <f t="shared" si="11"/>
        <v>Zelle Payment Engine</v>
      </c>
      <c r="O88" t="str">
        <f t="shared" si="12"/>
        <v>Transfer</v>
      </c>
      <c r="P88" t="str">
        <f t="shared" si="13"/>
        <v>Withdrawal</v>
      </c>
      <c r="Q88">
        <f t="shared" si="14"/>
        <v>988.89</v>
      </c>
      <c r="R88">
        <f t="shared" si="15"/>
        <v>-118.28000000000009</v>
      </c>
    </row>
    <row r="89" spans="1:18" x14ac:dyDescent="0.3">
      <c r="A89" t="s">
        <v>97</v>
      </c>
      <c r="B89" t="s">
        <v>804</v>
      </c>
      <c r="C89" s="4" t="s">
        <v>1003</v>
      </c>
      <c r="D89" t="s">
        <v>1291</v>
      </c>
      <c r="E89" t="s">
        <v>1298</v>
      </c>
      <c r="F89" t="s">
        <v>1310</v>
      </c>
      <c r="G89" s="9">
        <v>1118.08</v>
      </c>
      <c r="H89">
        <v>1304.02</v>
      </c>
      <c r="I89">
        <v>-195.6</v>
      </c>
      <c r="J89">
        <v>1032.93</v>
      </c>
      <c r="K89">
        <f t="shared" si="8"/>
        <v>1304.02</v>
      </c>
      <c r="L89">
        <f t="shared" si="9"/>
        <v>1499.62</v>
      </c>
      <c r="M89">
        <f t="shared" si="10"/>
        <v>-195.6</v>
      </c>
      <c r="N89" t="str">
        <f t="shared" si="11"/>
        <v>Zelle Payment Engine</v>
      </c>
      <c r="O89" t="str">
        <f t="shared" si="12"/>
        <v>Transfer</v>
      </c>
      <c r="P89" t="str">
        <f t="shared" si="13"/>
        <v>Withdrawal</v>
      </c>
      <c r="Q89">
        <f t="shared" si="14"/>
        <v>1118.08</v>
      </c>
      <c r="R89">
        <f t="shared" si="15"/>
        <v>85.149999999999864</v>
      </c>
    </row>
    <row r="90" spans="1:18" x14ac:dyDescent="0.3">
      <c r="A90" t="s">
        <v>98</v>
      </c>
      <c r="B90" t="s">
        <v>850</v>
      </c>
      <c r="C90" s="4" t="s">
        <v>1011</v>
      </c>
      <c r="D90" t="s">
        <v>1291</v>
      </c>
      <c r="E90" t="s">
        <v>1297</v>
      </c>
      <c r="F90" t="s">
        <v>1319</v>
      </c>
      <c r="G90" s="9">
        <v>667.25</v>
      </c>
      <c r="H90">
        <v>887.17</v>
      </c>
      <c r="I90">
        <v>-133.08000000000001</v>
      </c>
      <c r="J90">
        <v>748.3</v>
      </c>
      <c r="K90">
        <f t="shared" si="8"/>
        <v>887.17</v>
      </c>
      <c r="L90">
        <f t="shared" si="9"/>
        <v>1020.25</v>
      </c>
      <c r="M90">
        <f t="shared" si="10"/>
        <v>-133.08000000000001</v>
      </c>
      <c r="N90" t="str">
        <f t="shared" si="11"/>
        <v>Starbucks Hub Cafe</v>
      </c>
      <c r="O90" t="str">
        <f t="shared" si="12"/>
        <v>Dining Out</v>
      </c>
      <c r="P90" t="str">
        <f t="shared" si="13"/>
        <v>Withdrawal</v>
      </c>
      <c r="Q90">
        <f t="shared" si="14"/>
        <v>667.25</v>
      </c>
      <c r="R90">
        <f t="shared" si="15"/>
        <v>-81.049999999999955</v>
      </c>
    </row>
    <row r="91" spans="1:18" x14ac:dyDescent="0.3">
      <c r="A91" t="s">
        <v>99</v>
      </c>
      <c r="B91" t="s">
        <v>787</v>
      </c>
      <c r="C91" s="4" t="s">
        <v>1012</v>
      </c>
      <c r="D91" t="s">
        <v>1292</v>
      </c>
      <c r="E91" t="s">
        <v>1297</v>
      </c>
      <c r="F91" t="s">
        <v>1309</v>
      </c>
      <c r="G91" s="9">
        <v>524.34</v>
      </c>
      <c r="H91">
        <v>604.51</v>
      </c>
      <c r="I91">
        <v>80.17</v>
      </c>
      <c r="J91">
        <v>556.99</v>
      </c>
      <c r="K91">
        <f t="shared" si="8"/>
        <v>604.51</v>
      </c>
      <c r="L91">
        <f t="shared" si="9"/>
        <v>524.34</v>
      </c>
      <c r="M91">
        <f t="shared" si="10"/>
        <v>80.17</v>
      </c>
      <c r="N91" t="str">
        <f t="shared" si="11"/>
        <v>Olive Garden Gourmet</v>
      </c>
      <c r="O91" t="str">
        <f t="shared" si="12"/>
        <v>Dining Out</v>
      </c>
      <c r="P91" t="str">
        <f t="shared" si="13"/>
        <v>Deposit</v>
      </c>
      <c r="Q91">
        <f t="shared" si="14"/>
        <v>524.34</v>
      </c>
      <c r="R91">
        <f t="shared" si="15"/>
        <v>-32.649999999999977</v>
      </c>
    </row>
    <row r="92" spans="1:18" x14ac:dyDescent="0.3">
      <c r="A92" t="s">
        <v>100</v>
      </c>
      <c r="B92" t="s">
        <v>828</v>
      </c>
      <c r="C92" s="4" t="s">
        <v>1013</v>
      </c>
      <c r="D92" t="s">
        <v>1292</v>
      </c>
      <c r="E92" t="s">
        <v>1298</v>
      </c>
      <c r="F92" t="s">
        <v>1310</v>
      </c>
      <c r="G92" s="9">
        <v>138.19</v>
      </c>
      <c r="H92">
        <v>172.88</v>
      </c>
      <c r="I92">
        <v>34.69</v>
      </c>
      <c r="J92">
        <v>124.86</v>
      </c>
      <c r="K92">
        <f t="shared" si="8"/>
        <v>172.88</v>
      </c>
      <c r="L92">
        <f t="shared" si="9"/>
        <v>138.19</v>
      </c>
      <c r="M92">
        <f t="shared" si="10"/>
        <v>34.69</v>
      </c>
      <c r="N92" t="str">
        <f t="shared" si="11"/>
        <v>Zelle Payment Engine</v>
      </c>
      <c r="O92" t="str">
        <f t="shared" si="12"/>
        <v>Transfer</v>
      </c>
      <c r="P92" t="str">
        <f t="shared" si="13"/>
        <v>Deposit</v>
      </c>
      <c r="Q92">
        <f t="shared" si="14"/>
        <v>138.19</v>
      </c>
      <c r="R92">
        <f t="shared" si="15"/>
        <v>13.329999999999998</v>
      </c>
    </row>
    <row r="93" spans="1:18" x14ac:dyDescent="0.3">
      <c r="A93" t="s">
        <v>101</v>
      </c>
      <c r="B93" t="s">
        <v>828</v>
      </c>
      <c r="C93" s="4" t="s">
        <v>1014</v>
      </c>
      <c r="D93" t="s">
        <v>1291</v>
      </c>
      <c r="E93" t="s">
        <v>1296</v>
      </c>
      <c r="F93" t="s">
        <v>1308</v>
      </c>
      <c r="G93" s="9">
        <v>7077.71</v>
      </c>
      <c r="H93">
        <v>9339.86</v>
      </c>
      <c r="I93">
        <v>-1400.98</v>
      </c>
      <c r="J93">
        <v>6915.55</v>
      </c>
      <c r="K93">
        <f t="shared" si="8"/>
        <v>9339.86</v>
      </c>
      <c r="L93">
        <f t="shared" si="9"/>
        <v>10740.84</v>
      </c>
      <c r="M93">
        <f t="shared" si="10"/>
        <v>-1400.98</v>
      </c>
      <c r="N93" t="str">
        <f t="shared" si="11"/>
        <v>Stark Retail Labs</v>
      </c>
      <c r="O93" t="str">
        <f t="shared" si="12"/>
        <v>Salary</v>
      </c>
      <c r="P93" t="str">
        <f t="shared" si="13"/>
        <v>Withdrawal</v>
      </c>
      <c r="Q93">
        <f t="shared" si="14"/>
        <v>7077.71</v>
      </c>
      <c r="R93">
        <f t="shared" si="15"/>
        <v>162.15999999999985</v>
      </c>
    </row>
    <row r="94" spans="1:18" x14ac:dyDescent="0.3">
      <c r="A94" t="s">
        <v>102</v>
      </c>
      <c r="B94" t="s">
        <v>813</v>
      </c>
      <c r="C94" s="4" t="s">
        <v>1015</v>
      </c>
      <c r="D94" t="s">
        <v>1291</v>
      </c>
      <c r="E94" t="s">
        <v>1294</v>
      </c>
      <c r="F94" t="s">
        <v>1314</v>
      </c>
      <c r="G94" s="9">
        <v>877.02</v>
      </c>
      <c r="H94">
        <v>1072.52</v>
      </c>
      <c r="I94">
        <v>-160.88</v>
      </c>
      <c r="J94">
        <v>954.45</v>
      </c>
      <c r="K94">
        <f t="shared" si="8"/>
        <v>1072.52</v>
      </c>
      <c r="L94">
        <f t="shared" si="9"/>
        <v>1233.4000000000001</v>
      </c>
      <c r="M94">
        <f t="shared" si="10"/>
        <v>-160.88</v>
      </c>
      <c r="N94" t="str">
        <f t="shared" si="11"/>
        <v>Target Direct Online</v>
      </c>
      <c r="O94" t="str">
        <f t="shared" si="12"/>
        <v>Online Shopping</v>
      </c>
      <c r="P94" t="str">
        <f t="shared" si="13"/>
        <v>Withdrawal</v>
      </c>
      <c r="Q94">
        <f t="shared" si="14"/>
        <v>877.02</v>
      </c>
      <c r="R94">
        <f t="shared" si="15"/>
        <v>-77.430000000000064</v>
      </c>
    </row>
    <row r="95" spans="1:18" x14ac:dyDescent="0.3">
      <c r="A95" t="s">
        <v>103</v>
      </c>
      <c r="B95" t="s">
        <v>839</v>
      </c>
      <c r="C95" s="4" t="s">
        <v>1016</v>
      </c>
      <c r="D95" t="s">
        <v>1291</v>
      </c>
      <c r="E95" t="s">
        <v>1298</v>
      </c>
      <c r="F95" t="s">
        <v>1306</v>
      </c>
      <c r="G95" s="9">
        <v>17.399999999999999</v>
      </c>
      <c r="H95">
        <v>21.29</v>
      </c>
      <c r="I95">
        <v>-3.19</v>
      </c>
      <c r="J95">
        <v>18.47</v>
      </c>
      <c r="K95">
        <f t="shared" si="8"/>
        <v>21.29</v>
      </c>
      <c r="L95">
        <f t="shared" si="9"/>
        <v>24.48</v>
      </c>
      <c r="M95">
        <f t="shared" si="10"/>
        <v>-3.19</v>
      </c>
      <c r="N95" t="str">
        <f t="shared" si="11"/>
        <v>Internal P2P Route</v>
      </c>
      <c r="O95" t="str">
        <f t="shared" si="12"/>
        <v>Transfer</v>
      </c>
      <c r="P95" t="str">
        <f t="shared" si="13"/>
        <v>Withdrawal</v>
      </c>
      <c r="Q95">
        <f t="shared" si="14"/>
        <v>17.399999999999999</v>
      </c>
      <c r="R95">
        <f t="shared" si="15"/>
        <v>-1.0700000000000003</v>
      </c>
    </row>
    <row r="96" spans="1:18" x14ac:dyDescent="0.3">
      <c r="A96" t="s">
        <v>104</v>
      </c>
      <c r="B96" t="s">
        <v>802</v>
      </c>
      <c r="C96" s="4" t="s">
        <v>1017</v>
      </c>
      <c r="D96" t="s">
        <v>1291</v>
      </c>
      <c r="E96" t="s">
        <v>1294</v>
      </c>
      <c r="F96" t="s">
        <v>1314</v>
      </c>
      <c r="G96" s="9">
        <v>22.11</v>
      </c>
      <c r="H96">
        <v>29.11</v>
      </c>
      <c r="I96">
        <v>-4.37</v>
      </c>
      <c r="J96">
        <v>25.89</v>
      </c>
      <c r="K96">
        <f t="shared" si="8"/>
        <v>29.11</v>
      </c>
      <c r="L96">
        <f t="shared" si="9"/>
        <v>33.479999999999997</v>
      </c>
      <c r="M96">
        <f t="shared" si="10"/>
        <v>-4.37</v>
      </c>
      <c r="N96" t="str">
        <f t="shared" si="11"/>
        <v>Target Direct Online</v>
      </c>
      <c r="O96" t="str">
        <f t="shared" si="12"/>
        <v>Online Shopping</v>
      </c>
      <c r="P96" t="str">
        <f t="shared" si="13"/>
        <v>Withdrawal</v>
      </c>
      <c r="Q96">
        <f t="shared" si="14"/>
        <v>22.11</v>
      </c>
      <c r="R96">
        <f t="shared" si="15"/>
        <v>-3.7800000000000011</v>
      </c>
    </row>
    <row r="97" spans="1:18" x14ac:dyDescent="0.3">
      <c r="A97" t="s">
        <v>105</v>
      </c>
      <c r="B97" t="s">
        <v>817</v>
      </c>
      <c r="C97" s="4" t="s">
        <v>1018</v>
      </c>
      <c r="D97" t="s">
        <v>1291</v>
      </c>
      <c r="E97" t="s">
        <v>1294</v>
      </c>
      <c r="F97" t="s">
        <v>1301</v>
      </c>
      <c r="G97" s="9">
        <v>836.38</v>
      </c>
      <c r="H97">
        <v>1059.04</v>
      </c>
      <c r="I97">
        <v>-158.86000000000001</v>
      </c>
      <c r="J97">
        <v>1003.13</v>
      </c>
      <c r="K97">
        <f t="shared" si="8"/>
        <v>1059.04</v>
      </c>
      <c r="L97">
        <f t="shared" si="9"/>
        <v>1217.9000000000001</v>
      </c>
      <c r="M97">
        <f t="shared" si="10"/>
        <v>-158.86000000000001</v>
      </c>
      <c r="N97" t="str">
        <f t="shared" si="11"/>
        <v>Amazon Digital Supply</v>
      </c>
      <c r="O97" t="str">
        <f t="shared" si="12"/>
        <v>Online Shopping</v>
      </c>
      <c r="P97" t="str">
        <f t="shared" si="13"/>
        <v>Withdrawal</v>
      </c>
      <c r="Q97">
        <f t="shared" si="14"/>
        <v>836.38</v>
      </c>
      <c r="R97">
        <f t="shared" si="15"/>
        <v>-166.75</v>
      </c>
    </row>
    <row r="98" spans="1:18" x14ac:dyDescent="0.3">
      <c r="A98" t="s">
        <v>106</v>
      </c>
      <c r="B98" t="s">
        <v>851</v>
      </c>
      <c r="C98" s="4" t="s">
        <v>1019</v>
      </c>
      <c r="D98" t="s">
        <v>1291</v>
      </c>
      <c r="E98" t="s">
        <v>1294</v>
      </c>
      <c r="F98" t="s">
        <v>1314</v>
      </c>
      <c r="G98" s="9">
        <v>191.06</v>
      </c>
      <c r="H98">
        <v>219.87</v>
      </c>
      <c r="I98">
        <v>-32.979999999999997</v>
      </c>
      <c r="J98">
        <v>199.5</v>
      </c>
      <c r="K98">
        <f t="shared" si="8"/>
        <v>219.87</v>
      </c>
      <c r="L98">
        <f t="shared" si="9"/>
        <v>252.85</v>
      </c>
      <c r="M98">
        <f t="shared" si="10"/>
        <v>-32.979999999999997</v>
      </c>
      <c r="N98" t="str">
        <f t="shared" si="11"/>
        <v>Target Direct Online</v>
      </c>
      <c r="O98" t="str">
        <f t="shared" si="12"/>
        <v>Online Shopping</v>
      </c>
      <c r="P98" t="str">
        <f t="shared" si="13"/>
        <v>Withdrawal</v>
      </c>
      <c r="Q98">
        <f t="shared" si="14"/>
        <v>191.06</v>
      </c>
      <c r="R98">
        <f t="shared" si="15"/>
        <v>-8.4399999999999977</v>
      </c>
    </row>
    <row r="99" spans="1:18" x14ac:dyDescent="0.3">
      <c r="A99" t="s">
        <v>107</v>
      </c>
      <c r="B99" t="s">
        <v>819</v>
      </c>
      <c r="C99" s="4" t="s">
        <v>1020</v>
      </c>
      <c r="D99" t="s">
        <v>1291</v>
      </c>
      <c r="E99" t="s">
        <v>1294</v>
      </c>
      <c r="F99" t="s">
        <v>1301</v>
      </c>
      <c r="G99" s="9">
        <v>36.090000000000003</v>
      </c>
      <c r="H99">
        <v>42.9</v>
      </c>
      <c r="I99">
        <v>-6.43</v>
      </c>
      <c r="J99">
        <v>40.270000000000003</v>
      </c>
      <c r="K99">
        <f t="shared" si="8"/>
        <v>42.9</v>
      </c>
      <c r="L99">
        <f t="shared" si="9"/>
        <v>49.33</v>
      </c>
      <c r="M99">
        <f t="shared" si="10"/>
        <v>-6.43</v>
      </c>
      <c r="N99" t="str">
        <f t="shared" si="11"/>
        <v>Amazon Digital Supply</v>
      </c>
      <c r="O99" t="str">
        <f t="shared" si="12"/>
        <v>Online Shopping</v>
      </c>
      <c r="P99" t="str">
        <f t="shared" si="13"/>
        <v>Withdrawal</v>
      </c>
      <c r="Q99">
        <f t="shared" si="14"/>
        <v>36.090000000000003</v>
      </c>
      <c r="R99">
        <f t="shared" si="15"/>
        <v>-4.18</v>
      </c>
    </row>
    <row r="100" spans="1:18" x14ac:dyDescent="0.3">
      <c r="A100" t="s">
        <v>108</v>
      </c>
      <c r="B100" t="s">
        <v>841</v>
      </c>
      <c r="C100" s="4" t="s">
        <v>1021</v>
      </c>
      <c r="D100" t="s">
        <v>1292</v>
      </c>
      <c r="E100" t="s">
        <v>1298</v>
      </c>
      <c r="F100" t="s">
        <v>1306</v>
      </c>
      <c r="G100" s="9">
        <v>318.33</v>
      </c>
      <c r="H100">
        <v>385.21</v>
      </c>
      <c r="I100">
        <v>66.88</v>
      </c>
      <c r="J100">
        <v>369.8</v>
      </c>
      <c r="K100">
        <f t="shared" si="8"/>
        <v>385.21</v>
      </c>
      <c r="L100">
        <f t="shared" si="9"/>
        <v>318.33</v>
      </c>
      <c r="M100">
        <f t="shared" si="10"/>
        <v>66.88</v>
      </c>
      <c r="N100" t="str">
        <f t="shared" si="11"/>
        <v>Internal P2P Route</v>
      </c>
      <c r="O100" t="str">
        <f t="shared" si="12"/>
        <v>Transfer</v>
      </c>
      <c r="P100" t="str">
        <f t="shared" si="13"/>
        <v>Deposit</v>
      </c>
      <c r="Q100">
        <f t="shared" si="14"/>
        <v>318.33</v>
      </c>
      <c r="R100">
        <f t="shared" si="15"/>
        <v>-51.470000000000027</v>
      </c>
    </row>
    <row r="101" spans="1:18" x14ac:dyDescent="0.3">
      <c r="A101" t="s">
        <v>109</v>
      </c>
      <c r="B101" t="s">
        <v>852</v>
      </c>
      <c r="C101" s="4" t="s">
        <v>1022</v>
      </c>
      <c r="D101" t="s">
        <v>1291</v>
      </c>
      <c r="E101" t="s">
        <v>1299</v>
      </c>
      <c r="F101" t="s">
        <v>1311</v>
      </c>
      <c r="G101" s="9">
        <v>972.48</v>
      </c>
      <c r="H101">
        <v>1151.8800000000001</v>
      </c>
      <c r="I101">
        <v>-172.78</v>
      </c>
      <c r="J101">
        <v>1139.21</v>
      </c>
      <c r="K101">
        <f t="shared" si="8"/>
        <v>1151.8800000000001</v>
      </c>
      <c r="L101">
        <f t="shared" si="9"/>
        <v>1324.66</v>
      </c>
      <c r="M101">
        <f t="shared" si="10"/>
        <v>-172.78</v>
      </c>
      <c r="N101" t="str">
        <f t="shared" si="11"/>
        <v>Spotify Music Hub</v>
      </c>
      <c r="O101" t="str">
        <f t="shared" si="12"/>
        <v>Entertainment</v>
      </c>
      <c r="P101" t="str">
        <f t="shared" si="13"/>
        <v>Withdrawal</v>
      </c>
      <c r="Q101">
        <f t="shared" si="14"/>
        <v>972.48</v>
      </c>
      <c r="R101">
        <f t="shared" si="15"/>
        <v>-166.73000000000002</v>
      </c>
    </row>
    <row r="102" spans="1:18" x14ac:dyDescent="0.3">
      <c r="A102" t="s">
        <v>110</v>
      </c>
      <c r="B102" t="s">
        <v>853</v>
      </c>
      <c r="C102" s="4" t="s">
        <v>1023</v>
      </c>
      <c r="D102" t="s">
        <v>1292</v>
      </c>
      <c r="E102" t="s">
        <v>1298</v>
      </c>
      <c r="F102" t="s">
        <v>1317</v>
      </c>
      <c r="G102" s="9">
        <v>775.78</v>
      </c>
      <c r="H102">
        <v>1073.77</v>
      </c>
      <c r="I102">
        <v>297.99</v>
      </c>
      <c r="J102">
        <v>762.83</v>
      </c>
      <c r="K102">
        <f t="shared" si="8"/>
        <v>1073.77</v>
      </c>
      <c r="L102">
        <f t="shared" si="9"/>
        <v>775.78</v>
      </c>
      <c r="M102">
        <f t="shared" si="10"/>
        <v>297.99</v>
      </c>
      <c r="N102" t="str">
        <f t="shared" si="11"/>
        <v>External Wire Clearance</v>
      </c>
      <c r="O102" t="str">
        <f t="shared" si="12"/>
        <v>Transfer</v>
      </c>
      <c r="P102" t="str">
        <f t="shared" si="13"/>
        <v>Deposit</v>
      </c>
      <c r="Q102">
        <f t="shared" si="14"/>
        <v>775.78</v>
      </c>
      <c r="R102">
        <f t="shared" si="15"/>
        <v>12.949999999999932</v>
      </c>
    </row>
    <row r="103" spans="1:18" x14ac:dyDescent="0.3">
      <c r="A103" t="s">
        <v>111</v>
      </c>
      <c r="B103" t="s">
        <v>854</v>
      </c>
      <c r="C103" s="4" t="s">
        <v>1024</v>
      </c>
      <c r="D103" t="s">
        <v>1291</v>
      </c>
      <c r="E103" t="s">
        <v>1295</v>
      </c>
      <c r="F103" t="s">
        <v>1302</v>
      </c>
      <c r="G103" s="9">
        <v>274.52</v>
      </c>
      <c r="H103">
        <v>371.45</v>
      </c>
      <c r="I103">
        <v>-55.72</v>
      </c>
      <c r="J103">
        <v>270.39999999999998</v>
      </c>
      <c r="K103">
        <f t="shared" si="8"/>
        <v>371.45</v>
      </c>
      <c r="L103">
        <f t="shared" si="9"/>
        <v>427.16999999999996</v>
      </c>
      <c r="M103">
        <f t="shared" si="10"/>
        <v>-55.72</v>
      </c>
      <c r="N103" t="str">
        <f t="shared" si="11"/>
        <v>Supermart Marketplace</v>
      </c>
      <c r="O103" t="str">
        <f t="shared" si="12"/>
        <v>Groceries</v>
      </c>
      <c r="P103" t="str">
        <f t="shared" si="13"/>
        <v>Withdrawal</v>
      </c>
      <c r="Q103">
        <f t="shared" si="14"/>
        <v>274.52</v>
      </c>
      <c r="R103">
        <f t="shared" si="15"/>
        <v>4.1200000000000045</v>
      </c>
    </row>
    <row r="104" spans="1:18" x14ac:dyDescent="0.3">
      <c r="A104" t="s">
        <v>112</v>
      </c>
      <c r="B104" t="s">
        <v>819</v>
      </c>
      <c r="C104" s="4" t="s">
        <v>1025</v>
      </c>
      <c r="D104" t="s">
        <v>1291</v>
      </c>
      <c r="E104" t="s">
        <v>1299</v>
      </c>
      <c r="F104" t="s">
        <v>1316</v>
      </c>
      <c r="G104">
        <v>607.16</v>
      </c>
      <c r="H104">
        <v>825.93</v>
      </c>
      <c r="I104">
        <v>-123.89</v>
      </c>
      <c r="J104">
        <v>697.65</v>
      </c>
      <c r="K104">
        <f t="shared" si="8"/>
        <v>825.93</v>
      </c>
      <c r="L104">
        <f t="shared" si="9"/>
        <v>949.81999999999994</v>
      </c>
      <c r="M104">
        <f t="shared" si="10"/>
        <v>-123.89</v>
      </c>
      <c r="N104" t="str">
        <f t="shared" si="11"/>
        <v>Amc Cinema Network</v>
      </c>
      <c r="O104" t="str">
        <f t="shared" si="12"/>
        <v>Entertainment</v>
      </c>
      <c r="P104" t="str">
        <f t="shared" si="13"/>
        <v>Withdrawal</v>
      </c>
      <c r="Q104">
        <f t="shared" si="14"/>
        <v>607.16</v>
      </c>
      <c r="R104">
        <f t="shared" si="15"/>
        <v>-90.490000000000009</v>
      </c>
    </row>
    <row r="105" spans="1:18" x14ac:dyDescent="0.3">
      <c r="A105" t="s">
        <v>113</v>
      </c>
      <c r="B105" t="s">
        <v>855</v>
      </c>
      <c r="C105" s="4" t="s">
        <v>1026</v>
      </c>
      <c r="D105" t="s">
        <v>1292</v>
      </c>
      <c r="E105" t="s">
        <v>1299</v>
      </c>
      <c r="F105" t="s">
        <v>1316</v>
      </c>
      <c r="G105">
        <v>597.12</v>
      </c>
      <c r="H105">
        <v>723.99</v>
      </c>
      <c r="I105">
        <v>126.87</v>
      </c>
      <c r="J105">
        <v>569.04</v>
      </c>
      <c r="K105">
        <f t="shared" si="8"/>
        <v>723.99</v>
      </c>
      <c r="L105">
        <f t="shared" si="9"/>
        <v>597.12</v>
      </c>
      <c r="M105">
        <f t="shared" si="10"/>
        <v>126.87</v>
      </c>
      <c r="N105" t="str">
        <f t="shared" si="11"/>
        <v>Amc Cinema Network</v>
      </c>
      <c r="O105" t="str">
        <f t="shared" si="12"/>
        <v>Entertainment</v>
      </c>
      <c r="P105" t="str">
        <f t="shared" si="13"/>
        <v>Deposit</v>
      </c>
      <c r="Q105">
        <f t="shared" si="14"/>
        <v>597.12</v>
      </c>
      <c r="R105">
        <f t="shared" si="15"/>
        <v>28.080000000000041</v>
      </c>
    </row>
    <row r="106" spans="1:18" x14ac:dyDescent="0.3">
      <c r="A106" t="s">
        <v>114</v>
      </c>
      <c r="B106" t="s">
        <v>831</v>
      </c>
      <c r="C106" s="4" t="s">
        <v>980</v>
      </c>
      <c r="D106" t="s">
        <v>1292</v>
      </c>
      <c r="E106" t="s">
        <v>1293</v>
      </c>
      <c r="F106" t="s">
        <v>1300</v>
      </c>
      <c r="G106">
        <v>1035.31</v>
      </c>
      <c r="H106">
        <v>1371.11</v>
      </c>
      <c r="I106">
        <v>335.8</v>
      </c>
      <c r="J106">
        <v>1171.1300000000001</v>
      </c>
      <c r="K106">
        <f t="shared" si="8"/>
        <v>1371.11</v>
      </c>
      <c r="L106">
        <f t="shared" si="9"/>
        <v>1035.31</v>
      </c>
      <c r="M106">
        <f t="shared" si="10"/>
        <v>335.8</v>
      </c>
      <c r="N106" t="str">
        <f t="shared" si="11"/>
        <v>State Hydro Grid</v>
      </c>
      <c r="O106" t="str">
        <f t="shared" si="12"/>
        <v>Utilities</v>
      </c>
      <c r="P106" t="str">
        <f t="shared" si="13"/>
        <v>Deposit</v>
      </c>
      <c r="Q106">
        <f t="shared" si="14"/>
        <v>1035.31</v>
      </c>
      <c r="R106">
        <f t="shared" si="15"/>
        <v>-135.82000000000016</v>
      </c>
    </row>
    <row r="107" spans="1:18" x14ac:dyDescent="0.3">
      <c r="A107" t="s">
        <v>115</v>
      </c>
      <c r="B107" t="s">
        <v>856</v>
      </c>
      <c r="C107" s="4" t="s">
        <v>1014</v>
      </c>
      <c r="D107" t="s">
        <v>1291</v>
      </c>
      <c r="E107" t="s">
        <v>1295</v>
      </c>
      <c r="F107" t="s">
        <v>1302</v>
      </c>
      <c r="G107">
        <v>293.99</v>
      </c>
      <c r="H107">
        <v>352.6</v>
      </c>
      <c r="I107">
        <v>-52.89</v>
      </c>
      <c r="J107">
        <v>328.61</v>
      </c>
      <c r="K107">
        <f t="shared" si="8"/>
        <v>352.6</v>
      </c>
      <c r="L107">
        <f t="shared" si="9"/>
        <v>405.49</v>
      </c>
      <c r="M107">
        <f t="shared" si="10"/>
        <v>-52.89</v>
      </c>
      <c r="N107" t="str">
        <f t="shared" si="11"/>
        <v>Supermart Marketplace</v>
      </c>
      <c r="O107" t="str">
        <f t="shared" si="12"/>
        <v>Groceries</v>
      </c>
      <c r="P107" t="str">
        <f t="shared" si="13"/>
        <v>Withdrawal</v>
      </c>
      <c r="Q107">
        <f t="shared" si="14"/>
        <v>293.99</v>
      </c>
      <c r="R107">
        <f t="shared" si="15"/>
        <v>-34.620000000000005</v>
      </c>
    </row>
    <row r="108" spans="1:18" x14ac:dyDescent="0.3">
      <c r="A108" t="s">
        <v>116</v>
      </c>
      <c r="B108" t="s">
        <v>857</v>
      </c>
      <c r="C108" s="4" t="s">
        <v>1027</v>
      </c>
      <c r="D108" t="s">
        <v>1291</v>
      </c>
      <c r="E108" t="s">
        <v>1293</v>
      </c>
      <c r="F108" t="s">
        <v>1320</v>
      </c>
      <c r="G108">
        <v>858.16</v>
      </c>
      <c r="H108">
        <v>1058.8599999999999</v>
      </c>
      <c r="I108">
        <v>-158.83000000000001</v>
      </c>
      <c r="J108">
        <v>1013.52</v>
      </c>
      <c r="K108">
        <f t="shared" si="8"/>
        <v>1058.8599999999999</v>
      </c>
      <c r="L108">
        <f t="shared" si="9"/>
        <v>1217.6899999999998</v>
      </c>
      <c r="M108">
        <f t="shared" si="10"/>
        <v>-158.83000000000001</v>
      </c>
      <c r="N108" t="str">
        <f t="shared" si="11"/>
        <v>City Power &amp; Gas Co</v>
      </c>
      <c r="O108" t="str">
        <f t="shared" si="12"/>
        <v>Utilities</v>
      </c>
      <c r="P108" t="str">
        <f t="shared" si="13"/>
        <v>Withdrawal</v>
      </c>
      <c r="Q108">
        <f t="shared" si="14"/>
        <v>858.16</v>
      </c>
      <c r="R108">
        <f t="shared" si="15"/>
        <v>-155.36000000000001</v>
      </c>
    </row>
    <row r="109" spans="1:18" x14ac:dyDescent="0.3">
      <c r="A109" t="s">
        <v>117</v>
      </c>
      <c r="B109" t="s">
        <v>810</v>
      </c>
      <c r="C109" s="4" t="s">
        <v>1015</v>
      </c>
      <c r="D109" t="s">
        <v>1292</v>
      </c>
      <c r="E109" t="s">
        <v>1295</v>
      </c>
      <c r="F109" t="s">
        <v>1313</v>
      </c>
      <c r="G109">
        <v>42.92</v>
      </c>
      <c r="H109">
        <v>55.8</v>
      </c>
      <c r="I109">
        <v>12.88</v>
      </c>
      <c r="J109">
        <v>47.99</v>
      </c>
      <c r="K109">
        <f t="shared" si="8"/>
        <v>55.8</v>
      </c>
      <c r="L109">
        <f t="shared" si="9"/>
        <v>42.919999999999995</v>
      </c>
      <c r="M109">
        <f t="shared" si="10"/>
        <v>12.88</v>
      </c>
      <c r="N109" t="str">
        <f t="shared" si="11"/>
        <v>Fresh &amp; Fast Logistics</v>
      </c>
      <c r="O109" t="str">
        <f t="shared" si="12"/>
        <v>Groceries</v>
      </c>
      <c r="P109" t="str">
        <f t="shared" si="13"/>
        <v>Deposit</v>
      </c>
      <c r="Q109">
        <f t="shared" si="14"/>
        <v>42.92</v>
      </c>
      <c r="R109">
        <f t="shared" si="15"/>
        <v>-5.07</v>
      </c>
    </row>
    <row r="110" spans="1:18" x14ac:dyDescent="0.3">
      <c r="A110" t="s">
        <v>118</v>
      </c>
      <c r="B110" t="s">
        <v>791</v>
      </c>
      <c r="C110" s="4" t="s">
        <v>1028</v>
      </c>
      <c r="D110" t="s">
        <v>1291</v>
      </c>
      <c r="E110" t="s">
        <v>1298</v>
      </c>
      <c r="F110" t="s">
        <v>1317</v>
      </c>
      <c r="G110" s="9">
        <v>999.75</v>
      </c>
      <c r="I110">
        <v>-206.75</v>
      </c>
      <c r="J110">
        <v>1024.3</v>
      </c>
      <c r="K110">
        <f t="shared" si="8"/>
        <v>1420.2638235294123</v>
      </c>
      <c r="L110">
        <f t="shared" si="9"/>
        <v>1627.0138235294123</v>
      </c>
      <c r="M110">
        <f t="shared" si="10"/>
        <v>-206.75</v>
      </c>
      <c r="N110" t="str">
        <f t="shared" si="11"/>
        <v>External Wire Clearance</v>
      </c>
      <c r="O110" t="str">
        <f t="shared" si="12"/>
        <v>Transfer</v>
      </c>
      <c r="P110" t="str">
        <f t="shared" si="13"/>
        <v>Withdrawal</v>
      </c>
      <c r="Q110">
        <f t="shared" si="14"/>
        <v>999.75</v>
      </c>
      <c r="R110">
        <f t="shared" si="15"/>
        <v>-24.549999999999955</v>
      </c>
    </row>
    <row r="111" spans="1:18" x14ac:dyDescent="0.3">
      <c r="A111" t="s">
        <v>119</v>
      </c>
      <c r="B111" t="s">
        <v>858</v>
      </c>
      <c r="C111" s="4" t="s">
        <v>1029</v>
      </c>
      <c r="D111" t="s">
        <v>1291</v>
      </c>
      <c r="E111" t="s">
        <v>1296</v>
      </c>
      <c r="F111" t="s">
        <v>1303</v>
      </c>
      <c r="G111" s="9">
        <v>9276.6299999999992</v>
      </c>
      <c r="H111">
        <v>11020.52</v>
      </c>
      <c r="I111">
        <v>-1653.08</v>
      </c>
      <c r="J111">
        <v>10676.28</v>
      </c>
      <c r="K111">
        <f t="shared" si="8"/>
        <v>11020.52</v>
      </c>
      <c r="L111">
        <f t="shared" si="9"/>
        <v>12673.6</v>
      </c>
      <c r="M111">
        <f t="shared" si="10"/>
        <v>-1653.08</v>
      </c>
      <c r="N111" t="str">
        <f t="shared" si="11"/>
        <v>Global Industries Llc</v>
      </c>
      <c r="O111" t="str">
        <f t="shared" si="12"/>
        <v>Salary</v>
      </c>
      <c r="P111" t="str">
        <f t="shared" si="13"/>
        <v>Withdrawal</v>
      </c>
      <c r="Q111">
        <f t="shared" si="14"/>
        <v>9276.6299999999992</v>
      </c>
      <c r="R111">
        <f t="shared" si="15"/>
        <v>-1399.6500000000015</v>
      </c>
    </row>
    <row r="112" spans="1:18" x14ac:dyDescent="0.3">
      <c r="A112" t="s">
        <v>120</v>
      </c>
      <c r="B112" t="s">
        <v>830</v>
      </c>
      <c r="C112" s="4" t="s">
        <v>988</v>
      </c>
      <c r="D112" t="s">
        <v>1291</v>
      </c>
      <c r="E112" t="s">
        <v>1293</v>
      </c>
      <c r="F112" t="s">
        <v>1320</v>
      </c>
      <c r="G112" s="9">
        <v>18.36</v>
      </c>
      <c r="H112">
        <v>24.44</v>
      </c>
      <c r="I112">
        <v>-3.67</v>
      </c>
      <c r="J112">
        <v>20.38</v>
      </c>
      <c r="K112">
        <f t="shared" si="8"/>
        <v>24.44</v>
      </c>
      <c r="L112">
        <f t="shared" si="9"/>
        <v>28.11</v>
      </c>
      <c r="M112">
        <f t="shared" si="10"/>
        <v>-3.67</v>
      </c>
      <c r="N112" t="str">
        <f t="shared" si="11"/>
        <v>City Power &amp; Gas Co</v>
      </c>
      <c r="O112" t="str">
        <f t="shared" si="12"/>
        <v>Utilities</v>
      </c>
      <c r="P112" t="str">
        <f t="shared" si="13"/>
        <v>Withdrawal</v>
      </c>
      <c r="Q112">
        <f t="shared" si="14"/>
        <v>18.36</v>
      </c>
      <c r="R112">
        <f t="shared" si="15"/>
        <v>-2.0199999999999996</v>
      </c>
    </row>
    <row r="113" spans="1:18" x14ac:dyDescent="0.3">
      <c r="A113" t="s">
        <v>121</v>
      </c>
      <c r="B113" t="s">
        <v>796</v>
      </c>
      <c r="C113" s="4" t="s">
        <v>1030</v>
      </c>
      <c r="D113" t="s">
        <v>1291</v>
      </c>
      <c r="E113" t="s">
        <v>1295</v>
      </c>
      <c r="F113" t="s">
        <v>1302</v>
      </c>
      <c r="G113" s="9">
        <v>886.44</v>
      </c>
      <c r="H113">
        <v>1169.2</v>
      </c>
      <c r="I113">
        <v>-175.38</v>
      </c>
      <c r="J113">
        <v>824.26</v>
      </c>
      <c r="K113">
        <f t="shared" si="8"/>
        <v>1169.2</v>
      </c>
      <c r="L113">
        <f t="shared" si="9"/>
        <v>1344.58</v>
      </c>
      <c r="M113">
        <f t="shared" si="10"/>
        <v>-175.38</v>
      </c>
      <c r="N113" t="str">
        <f t="shared" si="11"/>
        <v>Supermart Marketplace</v>
      </c>
      <c r="O113" t="str">
        <f t="shared" si="12"/>
        <v>Groceries</v>
      </c>
      <c r="P113" t="str">
        <f t="shared" si="13"/>
        <v>Withdrawal</v>
      </c>
      <c r="Q113">
        <f t="shared" si="14"/>
        <v>886.44</v>
      </c>
      <c r="R113">
        <f t="shared" si="15"/>
        <v>62.180000000000064</v>
      </c>
    </row>
    <row r="114" spans="1:18" x14ac:dyDescent="0.3">
      <c r="A114" t="s">
        <v>122</v>
      </c>
      <c r="B114" t="s">
        <v>849</v>
      </c>
      <c r="C114" s="4" t="s">
        <v>1031</v>
      </c>
      <c r="D114" t="s">
        <v>1292</v>
      </c>
      <c r="E114" t="s">
        <v>1294</v>
      </c>
      <c r="F114" t="s">
        <v>1301</v>
      </c>
      <c r="G114" s="9">
        <v>1125.46</v>
      </c>
      <c r="H114">
        <v>1512.57</v>
      </c>
      <c r="I114">
        <v>387.11</v>
      </c>
      <c r="J114">
        <v>1137.97</v>
      </c>
      <c r="K114">
        <f t="shared" si="8"/>
        <v>1512.57</v>
      </c>
      <c r="L114">
        <f t="shared" si="9"/>
        <v>1125.46</v>
      </c>
      <c r="M114">
        <f t="shared" si="10"/>
        <v>387.11</v>
      </c>
      <c r="N114" t="str">
        <f t="shared" si="11"/>
        <v>Amazon Digital Supply</v>
      </c>
      <c r="O114" t="str">
        <f t="shared" si="12"/>
        <v>Online Shopping</v>
      </c>
      <c r="P114" t="str">
        <f t="shared" si="13"/>
        <v>Deposit</v>
      </c>
      <c r="Q114">
        <f t="shared" si="14"/>
        <v>1125.46</v>
      </c>
      <c r="R114">
        <f t="shared" si="15"/>
        <v>-12.509999999999991</v>
      </c>
    </row>
    <row r="115" spans="1:18" x14ac:dyDescent="0.3">
      <c r="A115" t="s">
        <v>123</v>
      </c>
      <c r="B115" t="s">
        <v>844</v>
      </c>
      <c r="C115" s="4" t="s">
        <v>1032</v>
      </c>
      <c r="D115" t="s">
        <v>1291</v>
      </c>
      <c r="E115" t="s">
        <v>1296</v>
      </c>
      <c r="F115" t="s">
        <v>1303</v>
      </c>
      <c r="G115" s="9">
        <v>7606.6</v>
      </c>
      <c r="H115">
        <v>9642.1</v>
      </c>
      <c r="I115">
        <v>-1446.32</v>
      </c>
      <c r="J115">
        <v>7397.25</v>
      </c>
      <c r="K115">
        <f t="shared" si="8"/>
        <v>9642.1</v>
      </c>
      <c r="L115">
        <f t="shared" si="9"/>
        <v>11088.42</v>
      </c>
      <c r="M115">
        <f t="shared" si="10"/>
        <v>-1446.32</v>
      </c>
      <c r="N115" t="str">
        <f t="shared" si="11"/>
        <v>Global Industries Llc</v>
      </c>
      <c r="O115" t="str">
        <f t="shared" si="12"/>
        <v>Salary</v>
      </c>
      <c r="P115" t="str">
        <f t="shared" si="13"/>
        <v>Withdrawal</v>
      </c>
      <c r="Q115">
        <f t="shared" si="14"/>
        <v>7606.6</v>
      </c>
      <c r="R115">
        <f t="shared" si="15"/>
        <v>209.35000000000036</v>
      </c>
    </row>
    <row r="116" spans="1:18" x14ac:dyDescent="0.3">
      <c r="A116" t="s">
        <v>124</v>
      </c>
      <c r="B116" t="s">
        <v>859</v>
      </c>
      <c r="C116" s="4" t="s">
        <v>967</v>
      </c>
      <c r="D116" t="s">
        <v>1292</v>
      </c>
      <c r="E116" t="s">
        <v>1297</v>
      </c>
      <c r="F116" t="s">
        <v>1305</v>
      </c>
      <c r="G116" s="9">
        <v>249.89</v>
      </c>
      <c r="H116">
        <v>313.18</v>
      </c>
      <c r="I116">
        <v>63.29</v>
      </c>
      <c r="J116">
        <v>266.27999999999997</v>
      </c>
      <c r="K116">
        <f t="shared" si="8"/>
        <v>313.18</v>
      </c>
      <c r="L116">
        <f t="shared" si="9"/>
        <v>249.89000000000001</v>
      </c>
      <c r="M116">
        <f t="shared" si="10"/>
        <v>63.29</v>
      </c>
      <c r="N116" t="str">
        <f t="shared" si="11"/>
        <v>Mcdonalds Corp Express</v>
      </c>
      <c r="O116" t="str">
        <f t="shared" si="12"/>
        <v>Dining Out</v>
      </c>
      <c r="P116" t="str">
        <f t="shared" si="13"/>
        <v>Deposit</v>
      </c>
      <c r="Q116">
        <f t="shared" si="14"/>
        <v>249.89</v>
      </c>
      <c r="R116">
        <f t="shared" si="15"/>
        <v>-16.389999999999986</v>
      </c>
    </row>
    <row r="117" spans="1:18" x14ac:dyDescent="0.3">
      <c r="A117" t="s">
        <v>125</v>
      </c>
      <c r="B117" t="s">
        <v>860</v>
      </c>
      <c r="C117" s="4" t="s">
        <v>1033</v>
      </c>
      <c r="D117" t="s">
        <v>1292</v>
      </c>
      <c r="E117" t="s">
        <v>1294</v>
      </c>
      <c r="F117" t="s">
        <v>1301</v>
      </c>
      <c r="G117" s="9">
        <v>289.27999999999997</v>
      </c>
      <c r="H117">
        <v>399.35</v>
      </c>
      <c r="I117">
        <v>110.07</v>
      </c>
      <c r="J117">
        <v>338.34</v>
      </c>
      <c r="K117">
        <f t="shared" si="8"/>
        <v>399.35</v>
      </c>
      <c r="L117">
        <f t="shared" si="9"/>
        <v>289.28000000000003</v>
      </c>
      <c r="M117">
        <f t="shared" si="10"/>
        <v>110.07</v>
      </c>
      <c r="N117" t="str">
        <f t="shared" si="11"/>
        <v>Amazon Digital Supply</v>
      </c>
      <c r="O117" t="str">
        <f t="shared" si="12"/>
        <v>Online Shopping</v>
      </c>
      <c r="P117" t="str">
        <f t="shared" si="13"/>
        <v>Deposit</v>
      </c>
      <c r="Q117">
        <f t="shared" si="14"/>
        <v>289.27999999999997</v>
      </c>
      <c r="R117">
        <f t="shared" si="15"/>
        <v>-49.06</v>
      </c>
    </row>
    <row r="118" spans="1:18" x14ac:dyDescent="0.3">
      <c r="A118" t="s">
        <v>126</v>
      </c>
      <c r="B118" t="s">
        <v>800</v>
      </c>
      <c r="C118" s="4" t="s">
        <v>971</v>
      </c>
      <c r="D118" t="s">
        <v>1292</v>
      </c>
      <c r="E118" t="s">
        <v>1293</v>
      </c>
      <c r="F118" t="s">
        <v>1320</v>
      </c>
      <c r="G118" s="9">
        <v>1043.3900000000001</v>
      </c>
      <c r="H118">
        <v>1270.08</v>
      </c>
      <c r="I118">
        <v>226.69</v>
      </c>
      <c r="J118">
        <v>1056.8</v>
      </c>
      <c r="K118">
        <f t="shared" si="8"/>
        <v>1270.08</v>
      </c>
      <c r="L118">
        <f t="shared" si="9"/>
        <v>1043.3899999999999</v>
      </c>
      <c r="M118">
        <f t="shared" si="10"/>
        <v>226.69</v>
      </c>
      <c r="N118" t="str">
        <f t="shared" si="11"/>
        <v>City Power &amp; Gas Co</v>
      </c>
      <c r="O118" t="str">
        <f t="shared" si="12"/>
        <v>Utilities</v>
      </c>
      <c r="P118" t="str">
        <f t="shared" si="13"/>
        <v>Deposit</v>
      </c>
      <c r="Q118">
        <f t="shared" si="14"/>
        <v>1043.3900000000001</v>
      </c>
      <c r="R118">
        <f t="shared" si="15"/>
        <v>-13.409999999999854</v>
      </c>
    </row>
    <row r="119" spans="1:18" x14ac:dyDescent="0.3">
      <c r="A119" t="s">
        <v>127</v>
      </c>
      <c r="B119" t="s">
        <v>787</v>
      </c>
      <c r="C119" s="4" t="s">
        <v>1034</v>
      </c>
      <c r="D119" t="s">
        <v>1291</v>
      </c>
      <c r="E119" t="s">
        <v>1294</v>
      </c>
      <c r="F119" t="s">
        <v>1301</v>
      </c>
      <c r="G119" s="9">
        <v>1024.26</v>
      </c>
      <c r="H119">
        <v>1293.48</v>
      </c>
      <c r="I119">
        <v>-194.02</v>
      </c>
      <c r="J119">
        <v>1184.25</v>
      </c>
      <c r="K119">
        <f t="shared" si="8"/>
        <v>1293.48</v>
      </c>
      <c r="L119">
        <f t="shared" si="9"/>
        <v>1487.5</v>
      </c>
      <c r="M119">
        <f t="shared" si="10"/>
        <v>-194.02</v>
      </c>
      <c r="N119" t="str">
        <f t="shared" si="11"/>
        <v>Amazon Digital Supply</v>
      </c>
      <c r="O119" t="str">
        <f t="shared" si="12"/>
        <v>Online Shopping</v>
      </c>
      <c r="P119" t="str">
        <f t="shared" si="13"/>
        <v>Withdrawal</v>
      </c>
      <c r="Q119">
        <f t="shared" si="14"/>
        <v>1024.26</v>
      </c>
      <c r="R119">
        <f t="shared" si="15"/>
        <v>-159.99</v>
      </c>
    </row>
    <row r="120" spans="1:18" x14ac:dyDescent="0.3">
      <c r="A120" t="s">
        <v>128</v>
      </c>
      <c r="B120" t="s">
        <v>789</v>
      </c>
      <c r="C120" s="4" t="s">
        <v>1035</v>
      </c>
      <c r="D120" t="s">
        <v>1292</v>
      </c>
      <c r="E120" t="s">
        <v>1298</v>
      </c>
      <c r="F120" t="s">
        <v>1310</v>
      </c>
      <c r="G120" s="9">
        <v>1059.55</v>
      </c>
      <c r="H120">
        <v>1481.94</v>
      </c>
      <c r="I120">
        <v>422.39</v>
      </c>
      <c r="J120">
        <v>1261.1199999999999</v>
      </c>
      <c r="K120">
        <f t="shared" si="8"/>
        <v>1481.94</v>
      </c>
      <c r="L120">
        <f t="shared" si="9"/>
        <v>1059.5500000000002</v>
      </c>
      <c r="M120">
        <f t="shared" si="10"/>
        <v>422.39</v>
      </c>
      <c r="N120" t="str">
        <f t="shared" si="11"/>
        <v>Zelle Payment Engine</v>
      </c>
      <c r="O120" t="str">
        <f t="shared" si="12"/>
        <v>Transfer</v>
      </c>
      <c r="P120" t="str">
        <f t="shared" si="13"/>
        <v>Deposit</v>
      </c>
      <c r="Q120">
        <f t="shared" si="14"/>
        <v>1059.55</v>
      </c>
      <c r="R120">
        <f t="shared" si="15"/>
        <v>-201.56999999999994</v>
      </c>
    </row>
    <row r="121" spans="1:18" x14ac:dyDescent="0.3">
      <c r="A121" t="s">
        <v>129</v>
      </c>
      <c r="B121" t="s">
        <v>849</v>
      </c>
      <c r="C121" s="4" t="s">
        <v>963</v>
      </c>
      <c r="D121" t="s">
        <v>1291</v>
      </c>
      <c r="E121" t="s">
        <v>1293</v>
      </c>
      <c r="F121" t="s">
        <v>1318</v>
      </c>
      <c r="G121" s="9">
        <v>122.32</v>
      </c>
      <c r="H121">
        <v>152.33000000000001</v>
      </c>
      <c r="I121">
        <v>-22.85</v>
      </c>
      <c r="J121">
        <v>122.1</v>
      </c>
      <c r="K121">
        <f t="shared" si="8"/>
        <v>152.33000000000001</v>
      </c>
      <c r="L121">
        <f t="shared" si="9"/>
        <v>175.18</v>
      </c>
      <c r="M121">
        <f t="shared" si="10"/>
        <v>-22.85</v>
      </c>
      <c r="N121" t="str">
        <f t="shared" si="11"/>
        <v>Metropolitan Water Sewer</v>
      </c>
      <c r="O121" t="str">
        <f t="shared" si="12"/>
        <v>Utilities</v>
      </c>
      <c r="P121" t="str">
        <f t="shared" si="13"/>
        <v>Withdrawal</v>
      </c>
      <c r="Q121">
        <f t="shared" si="14"/>
        <v>122.32</v>
      </c>
      <c r="R121">
        <f t="shared" si="15"/>
        <v>0.21999999999999886</v>
      </c>
    </row>
    <row r="122" spans="1:18" x14ac:dyDescent="0.3">
      <c r="A122" t="s">
        <v>130</v>
      </c>
      <c r="B122" t="s">
        <v>837</v>
      </c>
      <c r="C122" s="4" t="s">
        <v>1036</v>
      </c>
      <c r="D122" t="s">
        <v>1292</v>
      </c>
      <c r="E122" t="s">
        <v>1295</v>
      </c>
      <c r="F122" t="s">
        <v>1304</v>
      </c>
      <c r="G122" s="9">
        <v>726.16</v>
      </c>
      <c r="H122">
        <v>1011.53</v>
      </c>
      <c r="I122">
        <v>285.37</v>
      </c>
      <c r="J122">
        <v>808.53</v>
      </c>
      <c r="K122">
        <f t="shared" si="8"/>
        <v>1011.53</v>
      </c>
      <c r="L122">
        <f t="shared" si="9"/>
        <v>726.16</v>
      </c>
      <c r="M122">
        <f t="shared" si="10"/>
        <v>285.37</v>
      </c>
      <c r="N122" t="str">
        <f t="shared" si="11"/>
        <v>Whole Foods Store</v>
      </c>
      <c r="O122" t="str">
        <f t="shared" si="12"/>
        <v>Groceries</v>
      </c>
      <c r="P122" t="str">
        <f t="shared" si="13"/>
        <v>Deposit</v>
      </c>
      <c r="Q122">
        <f t="shared" si="14"/>
        <v>726.16</v>
      </c>
      <c r="R122">
        <f t="shared" si="15"/>
        <v>-82.37</v>
      </c>
    </row>
    <row r="123" spans="1:18" x14ac:dyDescent="0.3">
      <c r="A123" t="s">
        <v>131</v>
      </c>
      <c r="B123" t="s">
        <v>835</v>
      </c>
      <c r="C123" s="4" t="s">
        <v>982</v>
      </c>
      <c r="D123" t="s">
        <v>1291</v>
      </c>
      <c r="E123" t="s">
        <v>1294</v>
      </c>
      <c r="F123" t="s">
        <v>1301</v>
      </c>
      <c r="G123" s="9">
        <v>39.29</v>
      </c>
      <c r="H123">
        <v>47.57</v>
      </c>
      <c r="I123">
        <v>-7.14</v>
      </c>
      <c r="J123">
        <v>46.59</v>
      </c>
      <c r="K123">
        <f t="shared" si="8"/>
        <v>47.57</v>
      </c>
      <c r="L123">
        <f t="shared" si="9"/>
        <v>54.71</v>
      </c>
      <c r="M123">
        <f t="shared" si="10"/>
        <v>-7.14</v>
      </c>
      <c r="N123" t="str">
        <f t="shared" si="11"/>
        <v>Amazon Digital Supply</v>
      </c>
      <c r="O123" t="str">
        <f t="shared" si="12"/>
        <v>Online Shopping</v>
      </c>
      <c r="P123" t="str">
        <f t="shared" si="13"/>
        <v>Withdrawal</v>
      </c>
      <c r="Q123">
        <f t="shared" si="14"/>
        <v>39.29</v>
      </c>
      <c r="R123">
        <f t="shared" si="15"/>
        <v>-7.3000000000000043</v>
      </c>
    </row>
    <row r="124" spans="1:18" x14ac:dyDescent="0.3">
      <c r="A124" t="s">
        <v>132</v>
      </c>
      <c r="B124" t="s">
        <v>861</v>
      </c>
      <c r="C124" s="4" t="s">
        <v>1037</v>
      </c>
      <c r="D124" t="s">
        <v>1291</v>
      </c>
      <c r="E124" t="s">
        <v>1294</v>
      </c>
      <c r="F124" t="s">
        <v>1314</v>
      </c>
      <c r="G124" s="9">
        <v>401</v>
      </c>
      <c r="H124">
        <v>555.24</v>
      </c>
      <c r="I124">
        <v>-83.29</v>
      </c>
      <c r="J124">
        <v>438</v>
      </c>
      <c r="K124">
        <f t="shared" si="8"/>
        <v>555.24</v>
      </c>
      <c r="L124">
        <f t="shared" si="9"/>
        <v>638.53</v>
      </c>
      <c r="M124">
        <f t="shared" si="10"/>
        <v>-83.29</v>
      </c>
      <c r="N124" t="str">
        <f t="shared" si="11"/>
        <v>Target Direct Online</v>
      </c>
      <c r="O124" t="str">
        <f t="shared" si="12"/>
        <v>Online Shopping</v>
      </c>
      <c r="P124" t="str">
        <f t="shared" si="13"/>
        <v>Withdrawal</v>
      </c>
      <c r="Q124">
        <f t="shared" si="14"/>
        <v>401</v>
      </c>
      <c r="R124">
        <f t="shared" si="15"/>
        <v>-37</v>
      </c>
    </row>
    <row r="125" spans="1:18" x14ac:dyDescent="0.3">
      <c r="A125" t="s">
        <v>133</v>
      </c>
      <c r="B125" t="s">
        <v>862</v>
      </c>
      <c r="C125" s="4" t="s">
        <v>1038</v>
      </c>
      <c r="D125" t="s">
        <v>1292</v>
      </c>
      <c r="E125" t="s">
        <v>1297</v>
      </c>
      <c r="F125" t="s">
        <v>1309</v>
      </c>
      <c r="G125" s="9">
        <v>1102.43</v>
      </c>
      <c r="H125">
        <v>1445.07</v>
      </c>
      <c r="I125">
        <v>342.64</v>
      </c>
      <c r="J125">
        <v>1003.95</v>
      </c>
      <c r="K125">
        <f t="shared" si="8"/>
        <v>1445.07</v>
      </c>
      <c r="L125">
        <f t="shared" si="9"/>
        <v>1102.4299999999998</v>
      </c>
      <c r="M125">
        <f t="shared" si="10"/>
        <v>342.64</v>
      </c>
      <c r="N125" t="str">
        <f t="shared" si="11"/>
        <v>Olive Garden Gourmet</v>
      </c>
      <c r="O125" t="str">
        <f t="shared" si="12"/>
        <v>Dining Out</v>
      </c>
      <c r="P125" t="str">
        <f t="shared" si="13"/>
        <v>Deposit</v>
      </c>
      <c r="Q125">
        <f t="shared" si="14"/>
        <v>1102.43</v>
      </c>
      <c r="R125">
        <f t="shared" si="15"/>
        <v>98.480000000000018</v>
      </c>
    </row>
    <row r="126" spans="1:18" x14ac:dyDescent="0.3">
      <c r="A126" t="s">
        <v>134</v>
      </c>
      <c r="B126" t="s">
        <v>863</v>
      </c>
      <c r="C126" s="4" t="s">
        <v>1004</v>
      </c>
      <c r="D126" t="s">
        <v>1292</v>
      </c>
      <c r="E126" t="s">
        <v>1296</v>
      </c>
      <c r="F126" t="s">
        <v>1307</v>
      </c>
      <c r="G126" s="9">
        <v>4997.32</v>
      </c>
      <c r="H126">
        <v>6604.31</v>
      </c>
      <c r="I126">
        <v>1606.99</v>
      </c>
      <c r="J126">
        <v>4853.5600000000004</v>
      </c>
      <c r="K126">
        <f t="shared" si="8"/>
        <v>6604.31</v>
      </c>
      <c r="L126">
        <f t="shared" si="9"/>
        <v>4997.3200000000006</v>
      </c>
      <c r="M126">
        <f t="shared" si="10"/>
        <v>1606.99</v>
      </c>
      <c r="N126" t="str">
        <f t="shared" si="11"/>
        <v>Techcorp Payroll Inc</v>
      </c>
      <c r="O126" t="str">
        <f t="shared" si="12"/>
        <v>Salary</v>
      </c>
      <c r="P126" t="str">
        <f t="shared" si="13"/>
        <v>Deposit</v>
      </c>
      <c r="Q126">
        <f t="shared" si="14"/>
        <v>4997.32</v>
      </c>
      <c r="R126">
        <f t="shared" si="15"/>
        <v>143.75999999999931</v>
      </c>
    </row>
    <row r="127" spans="1:18" x14ac:dyDescent="0.3">
      <c r="A127" t="s">
        <v>135</v>
      </c>
      <c r="B127" t="s">
        <v>803</v>
      </c>
      <c r="C127" s="4" t="s">
        <v>1039</v>
      </c>
      <c r="D127" t="s">
        <v>1292</v>
      </c>
      <c r="E127" t="s">
        <v>1297</v>
      </c>
      <c r="F127" t="s">
        <v>1309</v>
      </c>
      <c r="G127" s="9">
        <v>1132.31</v>
      </c>
      <c r="H127">
        <v>1484.58</v>
      </c>
      <c r="I127">
        <v>352.27</v>
      </c>
      <c r="J127">
        <v>1035.1199999999999</v>
      </c>
      <c r="K127">
        <f t="shared" si="8"/>
        <v>1484.58</v>
      </c>
      <c r="L127">
        <f t="shared" si="9"/>
        <v>1132.31</v>
      </c>
      <c r="M127">
        <f t="shared" si="10"/>
        <v>352.27</v>
      </c>
      <c r="N127" t="str">
        <f t="shared" si="11"/>
        <v>Olive Garden Gourmet</v>
      </c>
      <c r="O127" t="str">
        <f t="shared" si="12"/>
        <v>Dining Out</v>
      </c>
      <c r="P127" t="str">
        <f t="shared" si="13"/>
        <v>Deposit</v>
      </c>
      <c r="Q127">
        <f t="shared" si="14"/>
        <v>1132.31</v>
      </c>
      <c r="R127">
        <f t="shared" si="15"/>
        <v>97.190000000000055</v>
      </c>
    </row>
    <row r="128" spans="1:18" x14ac:dyDescent="0.3">
      <c r="A128" t="s">
        <v>136</v>
      </c>
      <c r="B128" t="s">
        <v>827</v>
      </c>
      <c r="C128" s="4" t="s">
        <v>1040</v>
      </c>
      <c r="D128" t="s">
        <v>1292</v>
      </c>
      <c r="E128" t="s">
        <v>1293</v>
      </c>
      <c r="F128" t="s">
        <v>1300</v>
      </c>
      <c r="G128" s="9">
        <v>238.51</v>
      </c>
      <c r="H128">
        <v>323.99</v>
      </c>
      <c r="J128">
        <v>265.52999999999997</v>
      </c>
      <c r="K128">
        <f t="shared" si="8"/>
        <v>323.99</v>
      </c>
      <c r="L128">
        <f t="shared" si="9"/>
        <v>368.17298507462687</v>
      </c>
      <c r="M128">
        <f t="shared" si="10"/>
        <v>-44.182985074626863</v>
      </c>
      <c r="N128" t="str">
        <f t="shared" si="11"/>
        <v>State Hydro Grid</v>
      </c>
      <c r="O128" t="str">
        <f t="shared" si="12"/>
        <v>Utilities</v>
      </c>
      <c r="P128" t="str">
        <f t="shared" si="13"/>
        <v>Deposit</v>
      </c>
      <c r="Q128">
        <f t="shared" si="14"/>
        <v>238.51</v>
      </c>
      <c r="R128">
        <f t="shared" si="15"/>
        <v>-27.019999999999982</v>
      </c>
    </row>
    <row r="129" spans="1:18" x14ac:dyDescent="0.3">
      <c r="A129" t="s">
        <v>137</v>
      </c>
      <c r="B129" t="s">
        <v>834</v>
      </c>
      <c r="C129" s="4" t="s">
        <v>1041</v>
      </c>
      <c r="D129" t="s">
        <v>1291</v>
      </c>
      <c r="E129" t="s">
        <v>1295</v>
      </c>
      <c r="F129" t="s">
        <v>1304</v>
      </c>
      <c r="G129" s="9">
        <v>188.53</v>
      </c>
      <c r="H129">
        <v>245.73</v>
      </c>
      <c r="I129">
        <v>-36.86</v>
      </c>
      <c r="J129">
        <v>195.02</v>
      </c>
      <c r="K129">
        <f t="shared" si="8"/>
        <v>245.73</v>
      </c>
      <c r="L129">
        <f t="shared" si="9"/>
        <v>282.58999999999997</v>
      </c>
      <c r="M129">
        <f t="shared" si="10"/>
        <v>-36.86</v>
      </c>
      <c r="N129" t="str">
        <f t="shared" si="11"/>
        <v>Whole Foods Store</v>
      </c>
      <c r="O129" t="str">
        <f t="shared" si="12"/>
        <v>Groceries</v>
      </c>
      <c r="P129" t="str">
        <f t="shared" si="13"/>
        <v>Withdrawal</v>
      </c>
      <c r="Q129">
        <f t="shared" si="14"/>
        <v>188.53</v>
      </c>
      <c r="R129">
        <f t="shared" si="15"/>
        <v>-6.4900000000000091</v>
      </c>
    </row>
    <row r="130" spans="1:18" x14ac:dyDescent="0.3">
      <c r="A130" t="s">
        <v>138</v>
      </c>
      <c r="B130" t="s">
        <v>801</v>
      </c>
      <c r="C130" s="4" t="s">
        <v>1029</v>
      </c>
      <c r="D130" t="s">
        <v>1291</v>
      </c>
      <c r="E130" t="s">
        <v>1299</v>
      </c>
      <c r="F130" t="s">
        <v>1311</v>
      </c>
      <c r="G130" s="9">
        <v>479.3</v>
      </c>
      <c r="H130">
        <v>634.08000000000004</v>
      </c>
      <c r="I130">
        <v>-95.11</v>
      </c>
      <c r="J130">
        <v>467.15</v>
      </c>
      <c r="K130">
        <f t="shared" si="8"/>
        <v>634.08000000000004</v>
      </c>
      <c r="L130">
        <f t="shared" si="9"/>
        <v>729.19</v>
      </c>
      <c r="M130">
        <f t="shared" si="10"/>
        <v>-95.11</v>
      </c>
      <c r="N130" t="str">
        <f t="shared" si="11"/>
        <v>Spotify Music Hub</v>
      </c>
      <c r="O130" t="str">
        <f t="shared" si="12"/>
        <v>Entertainment</v>
      </c>
      <c r="P130" t="str">
        <f t="shared" si="13"/>
        <v>Withdrawal</v>
      </c>
      <c r="Q130">
        <f t="shared" si="14"/>
        <v>479.3</v>
      </c>
      <c r="R130">
        <f t="shared" si="15"/>
        <v>12.150000000000034</v>
      </c>
    </row>
    <row r="131" spans="1:18" x14ac:dyDescent="0.3">
      <c r="A131" t="s">
        <v>139</v>
      </c>
      <c r="B131" t="s">
        <v>855</v>
      </c>
      <c r="C131" s="4" t="s">
        <v>958</v>
      </c>
      <c r="D131" t="s">
        <v>1292</v>
      </c>
      <c r="E131" t="s">
        <v>1295</v>
      </c>
      <c r="F131" t="s">
        <v>1304</v>
      </c>
      <c r="G131" s="9">
        <v>597.04</v>
      </c>
      <c r="H131">
        <v>751.81</v>
      </c>
      <c r="I131">
        <v>154.77000000000001</v>
      </c>
      <c r="J131">
        <v>585.95000000000005</v>
      </c>
      <c r="K131">
        <f t="shared" ref="K131:K194" si="16">IF(H131,H131,AVERAGE($H$2:$H$35))</f>
        <v>751.81</v>
      </c>
      <c r="L131">
        <f t="shared" ref="L131:L194" si="17">K131-M131</f>
        <v>597.04</v>
      </c>
      <c r="M131">
        <f t="shared" ref="M131:M194" si="18">IF(I131,I131,AVERAGE($I$2:$I$68))</f>
        <v>154.77000000000001</v>
      </c>
      <c r="N131" t="str">
        <f t="shared" ref="N131:N194" si="19">PROPER(F131)</f>
        <v>Whole Foods Store</v>
      </c>
      <c r="O131" t="str">
        <f t="shared" ref="O131:O194" si="20">PROPER(E131)</f>
        <v>Groceries</v>
      </c>
      <c r="P131" t="str">
        <f t="shared" ref="P131:P194" si="21">PROPER(D131)</f>
        <v>Deposit</v>
      </c>
      <c r="Q131">
        <f t="shared" ref="Q131:Q194" si="22">IF(G131,G131,AVERAGE($G$2:$G$31))</f>
        <v>597.04</v>
      </c>
      <c r="R131">
        <f t="shared" ref="R131:R194" si="23">Q131-J131</f>
        <v>11.089999999999918</v>
      </c>
    </row>
    <row r="132" spans="1:18" x14ac:dyDescent="0.3">
      <c r="A132" t="s">
        <v>140</v>
      </c>
      <c r="B132" t="s">
        <v>794</v>
      </c>
      <c r="C132" s="4" t="s">
        <v>1042</v>
      </c>
      <c r="D132" t="s">
        <v>1291</v>
      </c>
      <c r="E132" t="s">
        <v>1293</v>
      </c>
      <c r="F132" t="s">
        <v>1300</v>
      </c>
      <c r="G132" s="9">
        <v>1163.19</v>
      </c>
      <c r="H132">
        <v>1592.42</v>
      </c>
      <c r="I132">
        <v>-238.86</v>
      </c>
      <c r="J132">
        <v>1310.07</v>
      </c>
      <c r="K132">
        <f t="shared" si="16"/>
        <v>1592.42</v>
      </c>
      <c r="L132">
        <f t="shared" si="17"/>
        <v>1831.2800000000002</v>
      </c>
      <c r="M132">
        <f t="shared" si="18"/>
        <v>-238.86</v>
      </c>
      <c r="N132" t="str">
        <f t="shared" si="19"/>
        <v>State Hydro Grid</v>
      </c>
      <c r="O132" t="str">
        <f t="shared" si="20"/>
        <v>Utilities</v>
      </c>
      <c r="P132" t="str">
        <f t="shared" si="21"/>
        <v>Withdrawal</v>
      </c>
      <c r="Q132">
        <f t="shared" si="22"/>
        <v>1163.19</v>
      </c>
      <c r="R132">
        <f t="shared" si="23"/>
        <v>-146.87999999999988</v>
      </c>
    </row>
    <row r="133" spans="1:18" x14ac:dyDescent="0.3">
      <c r="A133" t="s">
        <v>141</v>
      </c>
      <c r="B133" t="s">
        <v>852</v>
      </c>
      <c r="C133" s="4" t="s">
        <v>945</v>
      </c>
      <c r="D133" t="s">
        <v>1292</v>
      </c>
      <c r="E133" t="s">
        <v>1299</v>
      </c>
      <c r="F133" t="s">
        <v>1312</v>
      </c>
      <c r="H133">
        <v>117.79</v>
      </c>
      <c r="I133">
        <v>17.79</v>
      </c>
      <c r="J133">
        <v>109.43</v>
      </c>
      <c r="K133">
        <f t="shared" si="16"/>
        <v>117.79</v>
      </c>
      <c r="L133">
        <f t="shared" si="17"/>
        <v>100</v>
      </c>
      <c r="M133">
        <f t="shared" si="18"/>
        <v>17.79</v>
      </c>
      <c r="N133" t="str">
        <f t="shared" si="19"/>
        <v>Netflix Streaming Premium</v>
      </c>
      <c r="O133" t="str">
        <f t="shared" si="20"/>
        <v>Entertainment</v>
      </c>
      <c r="P133" t="str">
        <f t="shared" si="21"/>
        <v>Deposit</v>
      </c>
      <c r="Q133">
        <f t="shared" si="22"/>
        <v>1219.4163333333336</v>
      </c>
      <c r="R133">
        <f t="shared" si="23"/>
        <v>1109.9863333333335</v>
      </c>
    </row>
    <row r="134" spans="1:18" x14ac:dyDescent="0.3">
      <c r="A134" t="s">
        <v>142</v>
      </c>
      <c r="B134" t="s">
        <v>844</v>
      </c>
      <c r="C134" s="4" t="s">
        <v>1043</v>
      </c>
      <c r="D134" t="s">
        <v>1292</v>
      </c>
      <c r="E134" t="s">
        <v>1294</v>
      </c>
      <c r="F134" t="s">
        <v>1301</v>
      </c>
      <c r="G134" s="9">
        <v>893.54</v>
      </c>
      <c r="H134">
        <v>1081.1300000000001</v>
      </c>
      <c r="I134">
        <v>187.59</v>
      </c>
      <c r="J134">
        <v>808.36</v>
      </c>
      <c r="K134">
        <f t="shared" si="16"/>
        <v>1081.1300000000001</v>
      </c>
      <c r="L134">
        <f t="shared" si="17"/>
        <v>893.54000000000008</v>
      </c>
      <c r="M134">
        <f t="shared" si="18"/>
        <v>187.59</v>
      </c>
      <c r="N134" t="str">
        <f t="shared" si="19"/>
        <v>Amazon Digital Supply</v>
      </c>
      <c r="O134" t="str">
        <f t="shared" si="20"/>
        <v>Online Shopping</v>
      </c>
      <c r="P134" t="str">
        <f t="shared" si="21"/>
        <v>Deposit</v>
      </c>
      <c r="Q134">
        <f t="shared" si="22"/>
        <v>893.54</v>
      </c>
      <c r="R134">
        <f t="shared" si="23"/>
        <v>85.17999999999995</v>
      </c>
    </row>
    <row r="135" spans="1:18" x14ac:dyDescent="0.3">
      <c r="A135" t="s">
        <v>143</v>
      </c>
      <c r="B135" t="s">
        <v>846</v>
      </c>
      <c r="C135" s="4" t="s">
        <v>1004</v>
      </c>
      <c r="D135" t="s">
        <v>1292</v>
      </c>
      <c r="E135" t="s">
        <v>1293</v>
      </c>
      <c r="F135" t="s">
        <v>1300</v>
      </c>
      <c r="G135" s="9">
        <v>493.89</v>
      </c>
      <c r="H135">
        <v>576.94000000000005</v>
      </c>
      <c r="I135">
        <v>83.05</v>
      </c>
      <c r="J135">
        <v>478.6</v>
      </c>
      <c r="K135">
        <f t="shared" si="16"/>
        <v>576.94000000000005</v>
      </c>
      <c r="L135">
        <f t="shared" si="17"/>
        <v>493.89000000000004</v>
      </c>
      <c r="M135">
        <f t="shared" si="18"/>
        <v>83.05</v>
      </c>
      <c r="N135" t="str">
        <f t="shared" si="19"/>
        <v>State Hydro Grid</v>
      </c>
      <c r="O135" t="str">
        <f t="shared" si="20"/>
        <v>Utilities</v>
      </c>
      <c r="P135" t="str">
        <f t="shared" si="21"/>
        <v>Deposit</v>
      </c>
      <c r="Q135">
        <f t="shared" si="22"/>
        <v>493.89</v>
      </c>
      <c r="R135">
        <f t="shared" si="23"/>
        <v>15.289999999999964</v>
      </c>
    </row>
    <row r="136" spans="1:18" x14ac:dyDescent="0.3">
      <c r="A136" t="s">
        <v>144</v>
      </c>
      <c r="B136" t="s">
        <v>864</v>
      </c>
      <c r="C136" s="4" t="s">
        <v>1044</v>
      </c>
      <c r="D136" t="s">
        <v>1292</v>
      </c>
      <c r="E136" t="s">
        <v>1299</v>
      </c>
      <c r="F136" t="s">
        <v>1316</v>
      </c>
      <c r="G136" s="9">
        <v>57.51</v>
      </c>
      <c r="H136">
        <v>74.39</v>
      </c>
      <c r="I136">
        <v>16.88</v>
      </c>
      <c r="J136">
        <v>68.72</v>
      </c>
      <c r="K136">
        <f t="shared" si="16"/>
        <v>74.39</v>
      </c>
      <c r="L136">
        <f t="shared" si="17"/>
        <v>57.510000000000005</v>
      </c>
      <c r="M136">
        <f t="shared" si="18"/>
        <v>16.88</v>
      </c>
      <c r="N136" t="str">
        <f t="shared" si="19"/>
        <v>Amc Cinema Network</v>
      </c>
      <c r="O136" t="str">
        <f t="shared" si="20"/>
        <v>Entertainment</v>
      </c>
      <c r="P136" t="str">
        <f t="shared" si="21"/>
        <v>Deposit</v>
      </c>
      <c r="Q136">
        <f t="shared" si="22"/>
        <v>57.51</v>
      </c>
      <c r="R136">
        <f t="shared" si="23"/>
        <v>-11.21</v>
      </c>
    </row>
    <row r="137" spans="1:18" x14ac:dyDescent="0.3">
      <c r="A137" t="s">
        <v>145</v>
      </c>
      <c r="B137" t="s">
        <v>865</v>
      </c>
      <c r="C137" s="4" t="s">
        <v>988</v>
      </c>
      <c r="D137" t="s">
        <v>1292</v>
      </c>
      <c r="E137" t="s">
        <v>1295</v>
      </c>
      <c r="F137" t="s">
        <v>1313</v>
      </c>
      <c r="G137" s="9">
        <v>587.71</v>
      </c>
      <c r="H137">
        <v>708.89</v>
      </c>
      <c r="I137">
        <v>121.18</v>
      </c>
      <c r="J137">
        <v>535.13</v>
      </c>
      <c r="K137">
        <f t="shared" si="16"/>
        <v>708.89</v>
      </c>
      <c r="L137">
        <f t="shared" si="17"/>
        <v>587.71</v>
      </c>
      <c r="M137">
        <f t="shared" si="18"/>
        <v>121.18</v>
      </c>
      <c r="N137" t="str">
        <f t="shared" si="19"/>
        <v>Fresh &amp; Fast Logistics</v>
      </c>
      <c r="O137" t="str">
        <f t="shared" si="20"/>
        <v>Groceries</v>
      </c>
      <c r="P137" t="str">
        <f t="shared" si="21"/>
        <v>Deposit</v>
      </c>
      <c r="Q137">
        <f t="shared" si="22"/>
        <v>587.71</v>
      </c>
      <c r="R137">
        <f t="shared" si="23"/>
        <v>52.580000000000041</v>
      </c>
    </row>
    <row r="138" spans="1:18" x14ac:dyDescent="0.3">
      <c r="A138" t="s">
        <v>146</v>
      </c>
      <c r="B138" t="s">
        <v>866</v>
      </c>
      <c r="C138" s="4" t="s">
        <v>1045</v>
      </c>
      <c r="D138" t="s">
        <v>1291</v>
      </c>
      <c r="E138" t="s">
        <v>1293</v>
      </c>
      <c r="F138" t="s">
        <v>1318</v>
      </c>
      <c r="G138" s="9">
        <v>1034.3800000000001</v>
      </c>
      <c r="H138">
        <v>1249.32</v>
      </c>
      <c r="I138">
        <v>-187.4</v>
      </c>
      <c r="J138">
        <v>1167.69</v>
      </c>
      <c r="K138">
        <f t="shared" si="16"/>
        <v>1249.32</v>
      </c>
      <c r="L138">
        <f t="shared" si="17"/>
        <v>1436.72</v>
      </c>
      <c r="M138">
        <f t="shared" si="18"/>
        <v>-187.4</v>
      </c>
      <c r="N138" t="str">
        <f t="shared" si="19"/>
        <v>Metropolitan Water Sewer</v>
      </c>
      <c r="O138" t="str">
        <f t="shared" si="20"/>
        <v>Utilities</v>
      </c>
      <c r="P138" t="str">
        <f t="shared" si="21"/>
        <v>Withdrawal</v>
      </c>
      <c r="Q138">
        <f t="shared" si="22"/>
        <v>1034.3800000000001</v>
      </c>
      <c r="R138">
        <f t="shared" si="23"/>
        <v>-133.30999999999995</v>
      </c>
    </row>
    <row r="139" spans="1:18" x14ac:dyDescent="0.3">
      <c r="A139" t="s">
        <v>147</v>
      </c>
      <c r="B139" t="s">
        <v>828</v>
      </c>
      <c r="C139" s="4" t="s">
        <v>1046</v>
      </c>
      <c r="D139" t="s">
        <v>1292</v>
      </c>
      <c r="E139" t="s">
        <v>1294</v>
      </c>
      <c r="F139" t="s">
        <v>1315</v>
      </c>
      <c r="G139" s="9">
        <v>970.84</v>
      </c>
      <c r="H139">
        <v>1223.2</v>
      </c>
      <c r="I139">
        <v>252.36</v>
      </c>
      <c r="J139">
        <v>915.16</v>
      </c>
      <c r="K139">
        <f t="shared" si="16"/>
        <v>1223.2</v>
      </c>
      <c r="L139">
        <f t="shared" si="17"/>
        <v>970.84</v>
      </c>
      <c r="M139">
        <f t="shared" si="18"/>
        <v>252.36</v>
      </c>
      <c r="N139" t="str">
        <f t="shared" si="19"/>
        <v>Ebay International</v>
      </c>
      <c r="O139" t="str">
        <f t="shared" si="20"/>
        <v>Online Shopping</v>
      </c>
      <c r="P139" t="str">
        <f t="shared" si="21"/>
        <v>Deposit</v>
      </c>
      <c r="Q139">
        <f t="shared" si="22"/>
        <v>970.84</v>
      </c>
      <c r="R139">
        <f t="shared" si="23"/>
        <v>55.680000000000064</v>
      </c>
    </row>
    <row r="140" spans="1:18" x14ac:dyDescent="0.3">
      <c r="A140" t="s">
        <v>148</v>
      </c>
      <c r="B140" t="s">
        <v>823</v>
      </c>
      <c r="C140" s="4" t="s">
        <v>1047</v>
      </c>
      <c r="D140" t="s">
        <v>1292</v>
      </c>
      <c r="E140" t="s">
        <v>1295</v>
      </c>
      <c r="F140" t="s">
        <v>1304</v>
      </c>
      <c r="G140" s="9">
        <v>190.79</v>
      </c>
      <c r="H140">
        <v>238.65</v>
      </c>
      <c r="I140">
        <v>47.86</v>
      </c>
      <c r="J140">
        <v>179.24</v>
      </c>
      <c r="K140">
        <f t="shared" si="16"/>
        <v>238.65</v>
      </c>
      <c r="L140">
        <f t="shared" si="17"/>
        <v>190.79000000000002</v>
      </c>
      <c r="M140">
        <f t="shared" si="18"/>
        <v>47.86</v>
      </c>
      <c r="N140" t="str">
        <f t="shared" si="19"/>
        <v>Whole Foods Store</v>
      </c>
      <c r="O140" t="str">
        <f t="shared" si="20"/>
        <v>Groceries</v>
      </c>
      <c r="P140" t="str">
        <f t="shared" si="21"/>
        <v>Deposit</v>
      </c>
      <c r="Q140">
        <f t="shared" si="22"/>
        <v>190.79</v>
      </c>
      <c r="R140">
        <f t="shared" si="23"/>
        <v>11.549999999999983</v>
      </c>
    </row>
    <row r="141" spans="1:18" x14ac:dyDescent="0.3">
      <c r="A141" t="s">
        <v>149</v>
      </c>
      <c r="B141" t="s">
        <v>863</v>
      </c>
      <c r="C141" s="4" t="s">
        <v>1048</v>
      </c>
      <c r="D141" t="s">
        <v>1292</v>
      </c>
      <c r="E141" t="s">
        <v>1293</v>
      </c>
      <c r="F141" t="s">
        <v>1300</v>
      </c>
      <c r="G141" s="9">
        <v>439.85</v>
      </c>
      <c r="H141">
        <v>562.89</v>
      </c>
      <c r="I141">
        <v>123.04</v>
      </c>
      <c r="J141">
        <v>459.56</v>
      </c>
      <c r="K141">
        <f t="shared" si="16"/>
        <v>562.89</v>
      </c>
      <c r="L141">
        <f t="shared" si="17"/>
        <v>439.84999999999997</v>
      </c>
      <c r="M141">
        <f t="shared" si="18"/>
        <v>123.04</v>
      </c>
      <c r="N141" t="str">
        <f t="shared" si="19"/>
        <v>State Hydro Grid</v>
      </c>
      <c r="O141" t="str">
        <f t="shared" si="20"/>
        <v>Utilities</v>
      </c>
      <c r="P141" t="str">
        <f t="shared" si="21"/>
        <v>Deposit</v>
      </c>
      <c r="Q141">
        <f t="shared" si="22"/>
        <v>439.85</v>
      </c>
      <c r="R141">
        <f t="shared" si="23"/>
        <v>-19.70999999999998</v>
      </c>
    </row>
    <row r="142" spans="1:18" x14ac:dyDescent="0.3">
      <c r="A142" t="s">
        <v>150</v>
      </c>
      <c r="B142" t="s">
        <v>867</v>
      </c>
      <c r="C142" s="4" t="s">
        <v>1025</v>
      </c>
      <c r="D142" t="s">
        <v>1292</v>
      </c>
      <c r="E142" t="s">
        <v>1298</v>
      </c>
      <c r="F142" t="s">
        <v>1306</v>
      </c>
      <c r="G142" s="9">
        <v>36.11</v>
      </c>
      <c r="H142">
        <v>48.88</v>
      </c>
      <c r="I142">
        <v>12.77</v>
      </c>
      <c r="J142">
        <v>38.409999999999997</v>
      </c>
      <c r="K142">
        <f t="shared" si="16"/>
        <v>48.88</v>
      </c>
      <c r="L142">
        <f t="shared" si="17"/>
        <v>36.11</v>
      </c>
      <c r="M142">
        <f t="shared" si="18"/>
        <v>12.77</v>
      </c>
      <c r="N142" t="str">
        <f t="shared" si="19"/>
        <v>Internal P2P Route</v>
      </c>
      <c r="O142" t="str">
        <f t="shared" si="20"/>
        <v>Transfer</v>
      </c>
      <c r="P142" t="str">
        <f t="shared" si="21"/>
        <v>Deposit</v>
      </c>
      <c r="Q142">
        <f t="shared" si="22"/>
        <v>36.11</v>
      </c>
      <c r="R142">
        <f t="shared" si="23"/>
        <v>-2.2999999999999972</v>
      </c>
    </row>
    <row r="143" spans="1:18" x14ac:dyDescent="0.3">
      <c r="A143" t="s">
        <v>151</v>
      </c>
      <c r="B143" t="s">
        <v>868</v>
      </c>
      <c r="C143" s="4" t="s">
        <v>1003</v>
      </c>
      <c r="D143" t="s">
        <v>1291</v>
      </c>
      <c r="E143" t="s">
        <v>1293</v>
      </c>
      <c r="F143" t="s">
        <v>1300</v>
      </c>
      <c r="G143" s="9">
        <v>1004.23</v>
      </c>
      <c r="H143">
        <v>1319.49</v>
      </c>
      <c r="I143">
        <v>-197.92</v>
      </c>
      <c r="J143">
        <v>1201.54</v>
      </c>
      <c r="K143">
        <f t="shared" si="16"/>
        <v>1319.49</v>
      </c>
      <c r="L143">
        <f t="shared" si="17"/>
        <v>1517.41</v>
      </c>
      <c r="M143">
        <f t="shared" si="18"/>
        <v>-197.92</v>
      </c>
      <c r="N143" t="str">
        <f t="shared" si="19"/>
        <v>State Hydro Grid</v>
      </c>
      <c r="O143" t="str">
        <f t="shared" si="20"/>
        <v>Utilities</v>
      </c>
      <c r="P143" t="str">
        <f t="shared" si="21"/>
        <v>Withdrawal</v>
      </c>
      <c r="Q143">
        <f t="shared" si="22"/>
        <v>1004.23</v>
      </c>
      <c r="R143">
        <f t="shared" si="23"/>
        <v>-197.30999999999995</v>
      </c>
    </row>
    <row r="144" spans="1:18" x14ac:dyDescent="0.3">
      <c r="A144" t="s">
        <v>152</v>
      </c>
      <c r="B144" t="s">
        <v>841</v>
      </c>
      <c r="C144" s="4" t="s">
        <v>1049</v>
      </c>
      <c r="D144" t="s">
        <v>1291</v>
      </c>
      <c r="E144" t="s">
        <v>1294</v>
      </c>
      <c r="F144" t="s">
        <v>1314</v>
      </c>
      <c r="G144" s="9">
        <v>868.23</v>
      </c>
      <c r="H144">
        <v>1201.97</v>
      </c>
      <c r="I144">
        <v>-180.3</v>
      </c>
      <c r="J144">
        <v>923.48</v>
      </c>
      <c r="K144">
        <f t="shared" si="16"/>
        <v>1201.97</v>
      </c>
      <c r="L144">
        <f t="shared" si="17"/>
        <v>1382.27</v>
      </c>
      <c r="M144">
        <f t="shared" si="18"/>
        <v>-180.3</v>
      </c>
      <c r="N144" t="str">
        <f t="shared" si="19"/>
        <v>Target Direct Online</v>
      </c>
      <c r="O144" t="str">
        <f t="shared" si="20"/>
        <v>Online Shopping</v>
      </c>
      <c r="P144" t="str">
        <f t="shared" si="21"/>
        <v>Withdrawal</v>
      </c>
      <c r="Q144">
        <f t="shared" si="22"/>
        <v>868.23</v>
      </c>
      <c r="R144">
        <f t="shared" si="23"/>
        <v>-55.25</v>
      </c>
    </row>
    <row r="145" spans="1:18" x14ac:dyDescent="0.3">
      <c r="A145" t="s">
        <v>153</v>
      </c>
      <c r="B145" t="s">
        <v>869</v>
      </c>
      <c r="C145" s="4" t="s">
        <v>1050</v>
      </c>
      <c r="D145" t="s">
        <v>1291</v>
      </c>
      <c r="E145" t="s">
        <v>1299</v>
      </c>
      <c r="F145" t="s">
        <v>1312</v>
      </c>
      <c r="H145">
        <v>131.96</v>
      </c>
      <c r="I145">
        <v>-19.79</v>
      </c>
      <c r="J145">
        <v>105.12</v>
      </c>
      <c r="K145">
        <f t="shared" si="16"/>
        <v>131.96</v>
      </c>
      <c r="L145">
        <f t="shared" si="17"/>
        <v>151.75</v>
      </c>
      <c r="M145">
        <f t="shared" si="18"/>
        <v>-19.79</v>
      </c>
      <c r="N145" t="str">
        <f t="shared" si="19"/>
        <v>Netflix Streaming Premium</v>
      </c>
      <c r="O145" t="str">
        <f t="shared" si="20"/>
        <v>Entertainment</v>
      </c>
      <c r="P145" t="str">
        <f t="shared" si="21"/>
        <v>Withdrawal</v>
      </c>
      <c r="Q145">
        <f t="shared" si="22"/>
        <v>1219.4163333333336</v>
      </c>
      <c r="R145">
        <f t="shared" si="23"/>
        <v>1114.2963333333337</v>
      </c>
    </row>
    <row r="146" spans="1:18" x14ac:dyDescent="0.3">
      <c r="A146" t="s">
        <v>154</v>
      </c>
      <c r="B146" t="s">
        <v>866</v>
      </c>
      <c r="C146" s="4" t="s">
        <v>1051</v>
      </c>
      <c r="D146" t="s">
        <v>1292</v>
      </c>
      <c r="E146" t="s">
        <v>1298</v>
      </c>
      <c r="F146" t="s">
        <v>1306</v>
      </c>
      <c r="G146" s="9">
        <v>596.29999999999995</v>
      </c>
      <c r="H146">
        <v>738.5</v>
      </c>
      <c r="I146">
        <v>142.19999999999999</v>
      </c>
      <c r="J146">
        <v>699.83</v>
      </c>
      <c r="K146">
        <f t="shared" si="16"/>
        <v>738.5</v>
      </c>
      <c r="L146">
        <f t="shared" si="17"/>
        <v>596.29999999999995</v>
      </c>
      <c r="M146">
        <f t="shared" si="18"/>
        <v>142.19999999999999</v>
      </c>
      <c r="N146" t="str">
        <f t="shared" si="19"/>
        <v>Internal P2P Route</v>
      </c>
      <c r="O146" t="str">
        <f t="shared" si="20"/>
        <v>Transfer</v>
      </c>
      <c r="P146" t="str">
        <f t="shared" si="21"/>
        <v>Deposit</v>
      </c>
      <c r="Q146">
        <f t="shared" si="22"/>
        <v>596.29999999999995</v>
      </c>
      <c r="R146">
        <f t="shared" si="23"/>
        <v>-103.53000000000009</v>
      </c>
    </row>
    <row r="147" spans="1:18" x14ac:dyDescent="0.3">
      <c r="A147" t="s">
        <v>155</v>
      </c>
      <c r="B147" t="s">
        <v>870</v>
      </c>
      <c r="C147" s="4" t="s">
        <v>1052</v>
      </c>
      <c r="D147" t="s">
        <v>1291</v>
      </c>
      <c r="E147" t="s">
        <v>1299</v>
      </c>
      <c r="F147" t="s">
        <v>1311</v>
      </c>
      <c r="G147" s="9">
        <v>769.13</v>
      </c>
      <c r="H147">
        <v>1016.94</v>
      </c>
      <c r="I147">
        <v>-152.54</v>
      </c>
      <c r="J147">
        <v>817.78</v>
      </c>
      <c r="K147">
        <f t="shared" si="16"/>
        <v>1016.94</v>
      </c>
      <c r="L147">
        <f t="shared" si="17"/>
        <v>1169.48</v>
      </c>
      <c r="M147">
        <f t="shared" si="18"/>
        <v>-152.54</v>
      </c>
      <c r="N147" t="str">
        <f t="shared" si="19"/>
        <v>Spotify Music Hub</v>
      </c>
      <c r="O147" t="str">
        <f t="shared" si="20"/>
        <v>Entertainment</v>
      </c>
      <c r="P147" t="str">
        <f t="shared" si="21"/>
        <v>Withdrawal</v>
      </c>
      <c r="Q147">
        <f t="shared" si="22"/>
        <v>769.13</v>
      </c>
      <c r="R147">
        <f t="shared" si="23"/>
        <v>-48.649999999999977</v>
      </c>
    </row>
    <row r="148" spans="1:18" x14ac:dyDescent="0.3">
      <c r="A148" t="s">
        <v>156</v>
      </c>
      <c r="B148" t="s">
        <v>871</v>
      </c>
      <c r="C148" s="4" t="s">
        <v>1053</v>
      </c>
      <c r="D148" t="s">
        <v>1291</v>
      </c>
      <c r="E148" t="s">
        <v>1294</v>
      </c>
      <c r="F148" t="s">
        <v>1314</v>
      </c>
      <c r="G148" s="9">
        <v>826.05</v>
      </c>
      <c r="H148">
        <v>1143.29</v>
      </c>
      <c r="I148">
        <v>-171.49</v>
      </c>
      <c r="J148">
        <v>958.49</v>
      </c>
      <c r="K148">
        <f t="shared" si="16"/>
        <v>1143.29</v>
      </c>
      <c r="L148">
        <f t="shared" si="17"/>
        <v>1314.78</v>
      </c>
      <c r="M148">
        <f t="shared" si="18"/>
        <v>-171.49</v>
      </c>
      <c r="N148" t="str">
        <f t="shared" si="19"/>
        <v>Target Direct Online</v>
      </c>
      <c r="O148" t="str">
        <f t="shared" si="20"/>
        <v>Online Shopping</v>
      </c>
      <c r="P148" t="str">
        <f t="shared" si="21"/>
        <v>Withdrawal</v>
      </c>
      <c r="Q148">
        <f t="shared" si="22"/>
        <v>826.05</v>
      </c>
      <c r="R148">
        <f t="shared" si="23"/>
        <v>-132.44000000000005</v>
      </c>
    </row>
    <row r="149" spans="1:18" x14ac:dyDescent="0.3">
      <c r="A149" t="s">
        <v>157</v>
      </c>
      <c r="B149" t="s">
        <v>872</v>
      </c>
      <c r="C149" s="4" t="s">
        <v>1054</v>
      </c>
      <c r="D149" t="s">
        <v>1291</v>
      </c>
      <c r="E149" t="s">
        <v>1298</v>
      </c>
      <c r="F149" t="s">
        <v>1317</v>
      </c>
      <c r="G149" s="9">
        <v>765.93</v>
      </c>
      <c r="H149">
        <v>998.17</v>
      </c>
      <c r="I149">
        <v>-149.72999999999999</v>
      </c>
      <c r="J149">
        <v>873.52</v>
      </c>
      <c r="K149">
        <f t="shared" si="16"/>
        <v>998.17</v>
      </c>
      <c r="L149">
        <f t="shared" si="17"/>
        <v>1147.8999999999999</v>
      </c>
      <c r="M149">
        <f t="shared" si="18"/>
        <v>-149.72999999999999</v>
      </c>
      <c r="N149" t="str">
        <f t="shared" si="19"/>
        <v>External Wire Clearance</v>
      </c>
      <c r="O149" t="str">
        <f t="shared" si="20"/>
        <v>Transfer</v>
      </c>
      <c r="P149" t="str">
        <f t="shared" si="21"/>
        <v>Withdrawal</v>
      </c>
      <c r="Q149">
        <f t="shared" si="22"/>
        <v>765.93</v>
      </c>
      <c r="R149">
        <f t="shared" si="23"/>
        <v>-107.59000000000003</v>
      </c>
    </row>
    <row r="150" spans="1:18" x14ac:dyDescent="0.3">
      <c r="A150" t="s">
        <v>158</v>
      </c>
      <c r="B150" t="s">
        <v>853</v>
      </c>
      <c r="C150" s="4" t="s">
        <v>940</v>
      </c>
      <c r="D150" t="s">
        <v>1292</v>
      </c>
      <c r="E150" t="s">
        <v>1298</v>
      </c>
      <c r="F150" t="s">
        <v>1306</v>
      </c>
      <c r="G150" s="9">
        <v>119.61</v>
      </c>
      <c r="H150">
        <v>166.21</v>
      </c>
      <c r="I150">
        <v>46.6</v>
      </c>
      <c r="J150">
        <v>113.76</v>
      </c>
      <c r="K150">
        <f t="shared" si="16"/>
        <v>166.21</v>
      </c>
      <c r="L150">
        <f t="shared" si="17"/>
        <v>119.61000000000001</v>
      </c>
      <c r="M150">
        <f t="shared" si="18"/>
        <v>46.6</v>
      </c>
      <c r="N150" t="str">
        <f t="shared" si="19"/>
        <v>Internal P2P Route</v>
      </c>
      <c r="O150" t="str">
        <f t="shared" si="20"/>
        <v>Transfer</v>
      </c>
      <c r="P150" t="str">
        <f t="shared" si="21"/>
        <v>Deposit</v>
      </c>
      <c r="Q150">
        <f t="shared" si="22"/>
        <v>119.61</v>
      </c>
      <c r="R150">
        <f t="shared" si="23"/>
        <v>5.8499999999999943</v>
      </c>
    </row>
    <row r="151" spans="1:18" x14ac:dyDescent="0.3">
      <c r="A151" t="s">
        <v>159</v>
      </c>
      <c r="B151" t="s">
        <v>873</v>
      </c>
      <c r="C151" s="4" t="s">
        <v>1055</v>
      </c>
      <c r="D151" t="s">
        <v>1292</v>
      </c>
      <c r="E151" t="s">
        <v>1298</v>
      </c>
      <c r="F151" t="s">
        <v>1310</v>
      </c>
      <c r="G151" s="9">
        <v>980.55</v>
      </c>
      <c r="H151">
        <v>1131.6600000000001</v>
      </c>
      <c r="I151">
        <v>151.11000000000001</v>
      </c>
      <c r="J151">
        <v>912.68</v>
      </c>
      <c r="K151">
        <f t="shared" si="16"/>
        <v>1131.6600000000001</v>
      </c>
      <c r="L151">
        <f t="shared" si="17"/>
        <v>980.55000000000007</v>
      </c>
      <c r="M151">
        <f t="shared" si="18"/>
        <v>151.11000000000001</v>
      </c>
      <c r="N151" t="str">
        <f t="shared" si="19"/>
        <v>Zelle Payment Engine</v>
      </c>
      <c r="O151" t="str">
        <f t="shared" si="20"/>
        <v>Transfer</v>
      </c>
      <c r="P151" t="str">
        <f t="shared" si="21"/>
        <v>Deposit</v>
      </c>
      <c r="Q151">
        <f t="shared" si="22"/>
        <v>980.55</v>
      </c>
      <c r="R151">
        <f t="shared" si="23"/>
        <v>67.87</v>
      </c>
    </row>
    <row r="152" spans="1:18" x14ac:dyDescent="0.3">
      <c r="A152" t="s">
        <v>160</v>
      </c>
      <c r="B152" t="s">
        <v>793</v>
      </c>
      <c r="C152" s="4" t="s">
        <v>1056</v>
      </c>
      <c r="D152" t="s">
        <v>1291</v>
      </c>
      <c r="E152" t="s">
        <v>1295</v>
      </c>
      <c r="F152" t="s">
        <v>1302</v>
      </c>
      <c r="G152" s="9">
        <v>861.39</v>
      </c>
      <c r="H152">
        <v>1007.39</v>
      </c>
      <c r="I152">
        <v>-151.11000000000001</v>
      </c>
      <c r="J152">
        <v>975.26</v>
      </c>
      <c r="K152">
        <f t="shared" si="16"/>
        <v>1007.39</v>
      </c>
      <c r="L152">
        <f t="shared" si="17"/>
        <v>1158.5</v>
      </c>
      <c r="M152">
        <f t="shared" si="18"/>
        <v>-151.11000000000001</v>
      </c>
      <c r="N152" t="str">
        <f t="shared" si="19"/>
        <v>Supermart Marketplace</v>
      </c>
      <c r="O152" t="str">
        <f t="shared" si="20"/>
        <v>Groceries</v>
      </c>
      <c r="P152" t="str">
        <f t="shared" si="21"/>
        <v>Withdrawal</v>
      </c>
      <c r="Q152">
        <f t="shared" si="22"/>
        <v>861.39</v>
      </c>
      <c r="R152">
        <f t="shared" si="23"/>
        <v>-113.87</v>
      </c>
    </row>
    <row r="153" spans="1:18" x14ac:dyDescent="0.3">
      <c r="A153" t="s">
        <v>161</v>
      </c>
      <c r="B153" t="s">
        <v>847</v>
      </c>
      <c r="C153" s="4" t="s">
        <v>974</v>
      </c>
      <c r="D153" t="s">
        <v>1292</v>
      </c>
      <c r="E153" t="s">
        <v>1295</v>
      </c>
      <c r="F153" t="s">
        <v>1304</v>
      </c>
      <c r="G153" s="9">
        <v>789.9</v>
      </c>
      <c r="H153">
        <v>913.32</v>
      </c>
      <c r="I153">
        <v>123.42</v>
      </c>
      <c r="J153">
        <v>942.7</v>
      </c>
      <c r="K153">
        <f t="shared" si="16"/>
        <v>913.32</v>
      </c>
      <c r="L153">
        <f t="shared" si="17"/>
        <v>789.90000000000009</v>
      </c>
      <c r="M153">
        <f t="shared" si="18"/>
        <v>123.42</v>
      </c>
      <c r="N153" t="str">
        <f t="shared" si="19"/>
        <v>Whole Foods Store</v>
      </c>
      <c r="O153" t="str">
        <f t="shared" si="20"/>
        <v>Groceries</v>
      </c>
      <c r="P153" t="str">
        <f t="shared" si="21"/>
        <v>Deposit</v>
      </c>
      <c r="Q153">
        <f t="shared" si="22"/>
        <v>789.9</v>
      </c>
      <c r="R153">
        <f t="shared" si="23"/>
        <v>-152.80000000000007</v>
      </c>
    </row>
    <row r="154" spans="1:18" x14ac:dyDescent="0.3">
      <c r="A154" t="s">
        <v>162</v>
      </c>
      <c r="B154" t="s">
        <v>874</v>
      </c>
      <c r="C154" s="4" t="s">
        <v>1057</v>
      </c>
      <c r="D154" t="s">
        <v>1291</v>
      </c>
      <c r="E154" t="s">
        <v>1296</v>
      </c>
      <c r="F154" t="s">
        <v>1307</v>
      </c>
      <c r="G154" s="9">
        <v>6077.11</v>
      </c>
      <c r="H154">
        <v>8292.0499999999993</v>
      </c>
      <c r="I154">
        <v>-1243.81</v>
      </c>
      <c r="J154">
        <v>5786.53</v>
      </c>
      <c r="K154">
        <f t="shared" si="16"/>
        <v>8292.0499999999993</v>
      </c>
      <c r="L154">
        <f t="shared" si="17"/>
        <v>9535.8599999999988</v>
      </c>
      <c r="M154">
        <f t="shared" si="18"/>
        <v>-1243.81</v>
      </c>
      <c r="N154" t="str">
        <f t="shared" si="19"/>
        <v>Techcorp Payroll Inc</v>
      </c>
      <c r="O154" t="str">
        <f t="shared" si="20"/>
        <v>Salary</v>
      </c>
      <c r="P154" t="str">
        <f t="shared" si="21"/>
        <v>Withdrawal</v>
      </c>
      <c r="Q154">
        <f t="shared" si="22"/>
        <v>6077.11</v>
      </c>
      <c r="R154">
        <f t="shared" si="23"/>
        <v>290.57999999999993</v>
      </c>
    </row>
    <row r="155" spans="1:18" x14ac:dyDescent="0.3">
      <c r="A155" t="s">
        <v>163</v>
      </c>
      <c r="B155" t="s">
        <v>875</v>
      </c>
      <c r="C155" s="4" t="s">
        <v>1058</v>
      </c>
      <c r="D155" t="s">
        <v>1292</v>
      </c>
      <c r="E155" t="s">
        <v>1299</v>
      </c>
      <c r="F155" t="s">
        <v>1316</v>
      </c>
      <c r="G155" s="9">
        <v>978.98</v>
      </c>
      <c r="H155">
        <v>1210.06</v>
      </c>
      <c r="I155">
        <v>231.08</v>
      </c>
      <c r="J155">
        <v>1120.3</v>
      </c>
      <c r="K155">
        <f t="shared" si="16"/>
        <v>1210.06</v>
      </c>
      <c r="L155">
        <f t="shared" si="17"/>
        <v>978.9799999999999</v>
      </c>
      <c r="M155">
        <f t="shared" si="18"/>
        <v>231.08</v>
      </c>
      <c r="N155" t="str">
        <f t="shared" si="19"/>
        <v>Amc Cinema Network</v>
      </c>
      <c r="O155" t="str">
        <f t="shared" si="20"/>
        <v>Entertainment</v>
      </c>
      <c r="P155" t="str">
        <f t="shared" si="21"/>
        <v>Deposit</v>
      </c>
      <c r="Q155">
        <f t="shared" si="22"/>
        <v>978.98</v>
      </c>
      <c r="R155">
        <f t="shared" si="23"/>
        <v>-141.31999999999994</v>
      </c>
    </row>
    <row r="156" spans="1:18" x14ac:dyDescent="0.3">
      <c r="A156" t="s">
        <v>164</v>
      </c>
      <c r="B156" t="s">
        <v>832</v>
      </c>
      <c r="C156" s="4" t="s">
        <v>1059</v>
      </c>
      <c r="D156" t="s">
        <v>1292</v>
      </c>
      <c r="E156" t="s">
        <v>1293</v>
      </c>
      <c r="F156" t="s">
        <v>1318</v>
      </c>
      <c r="G156" s="9">
        <v>405.49</v>
      </c>
      <c r="I156">
        <v>85.9</v>
      </c>
      <c r="J156">
        <v>469.05</v>
      </c>
      <c r="K156">
        <f t="shared" si="16"/>
        <v>1420.2638235294123</v>
      </c>
      <c r="L156">
        <f t="shared" si="17"/>
        <v>1334.3638235294122</v>
      </c>
      <c r="M156">
        <f t="shared" si="18"/>
        <v>85.9</v>
      </c>
      <c r="N156" t="str">
        <f t="shared" si="19"/>
        <v>Metropolitan Water Sewer</v>
      </c>
      <c r="O156" t="str">
        <f t="shared" si="20"/>
        <v>Utilities</v>
      </c>
      <c r="P156" t="str">
        <f t="shared" si="21"/>
        <v>Deposit</v>
      </c>
      <c r="Q156">
        <f t="shared" si="22"/>
        <v>405.49</v>
      </c>
      <c r="R156">
        <f t="shared" si="23"/>
        <v>-63.56</v>
      </c>
    </row>
    <row r="157" spans="1:18" x14ac:dyDescent="0.3">
      <c r="A157" t="s">
        <v>165</v>
      </c>
      <c r="B157" t="s">
        <v>786</v>
      </c>
      <c r="C157" s="4" t="s">
        <v>1060</v>
      </c>
      <c r="D157" t="s">
        <v>1292</v>
      </c>
      <c r="E157" t="s">
        <v>1297</v>
      </c>
      <c r="F157" t="s">
        <v>1309</v>
      </c>
      <c r="G157" s="9">
        <v>1062.83</v>
      </c>
      <c r="H157">
        <v>1468.18</v>
      </c>
      <c r="I157">
        <v>405.35</v>
      </c>
      <c r="J157">
        <v>1180.93</v>
      </c>
      <c r="K157">
        <f t="shared" si="16"/>
        <v>1468.18</v>
      </c>
      <c r="L157">
        <f t="shared" si="17"/>
        <v>1062.83</v>
      </c>
      <c r="M157">
        <f t="shared" si="18"/>
        <v>405.35</v>
      </c>
      <c r="N157" t="str">
        <f t="shared" si="19"/>
        <v>Olive Garden Gourmet</v>
      </c>
      <c r="O157" t="str">
        <f t="shared" si="20"/>
        <v>Dining Out</v>
      </c>
      <c r="P157" t="str">
        <f t="shared" si="21"/>
        <v>Deposit</v>
      </c>
      <c r="Q157">
        <f t="shared" si="22"/>
        <v>1062.83</v>
      </c>
      <c r="R157">
        <f t="shared" si="23"/>
        <v>-118.10000000000014</v>
      </c>
    </row>
    <row r="158" spans="1:18" x14ac:dyDescent="0.3">
      <c r="A158" t="s">
        <v>166</v>
      </c>
      <c r="B158" t="s">
        <v>876</v>
      </c>
      <c r="C158" s="4" t="s">
        <v>1061</v>
      </c>
      <c r="D158" t="s">
        <v>1292</v>
      </c>
      <c r="E158" t="s">
        <v>1298</v>
      </c>
      <c r="F158" t="s">
        <v>1306</v>
      </c>
      <c r="H158">
        <v>131.19</v>
      </c>
      <c r="I158">
        <v>31.19</v>
      </c>
      <c r="J158">
        <v>93.17</v>
      </c>
      <c r="K158">
        <f t="shared" si="16"/>
        <v>131.19</v>
      </c>
      <c r="L158">
        <f t="shared" si="17"/>
        <v>100</v>
      </c>
      <c r="M158">
        <f t="shared" si="18"/>
        <v>31.19</v>
      </c>
      <c r="N158" t="str">
        <f t="shared" si="19"/>
        <v>Internal P2P Route</v>
      </c>
      <c r="O158" t="str">
        <f t="shared" si="20"/>
        <v>Transfer</v>
      </c>
      <c r="P158" t="str">
        <f t="shared" si="21"/>
        <v>Deposit</v>
      </c>
      <c r="Q158">
        <f t="shared" si="22"/>
        <v>1219.4163333333336</v>
      </c>
      <c r="R158">
        <f t="shared" si="23"/>
        <v>1126.2463333333335</v>
      </c>
    </row>
    <row r="159" spans="1:18" x14ac:dyDescent="0.3">
      <c r="A159" t="s">
        <v>167</v>
      </c>
      <c r="B159" t="s">
        <v>810</v>
      </c>
      <c r="C159" s="4" t="s">
        <v>1062</v>
      </c>
      <c r="D159" t="s">
        <v>1291</v>
      </c>
      <c r="E159" t="s">
        <v>1298</v>
      </c>
      <c r="F159" t="s">
        <v>1306</v>
      </c>
      <c r="G159" s="9">
        <v>947.27</v>
      </c>
      <c r="H159">
        <v>1281.8499999999999</v>
      </c>
      <c r="I159">
        <v>-192.28</v>
      </c>
      <c r="J159">
        <v>860.21</v>
      </c>
      <c r="K159">
        <f t="shared" si="16"/>
        <v>1281.8499999999999</v>
      </c>
      <c r="L159">
        <f t="shared" si="17"/>
        <v>1474.1299999999999</v>
      </c>
      <c r="M159">
        <f t="shared" si="18"/>
        <v>-192.28</v>
      </c>
      <c r="N159" t="str">
        <f t="shared" si="19"/>
        <v>Internal P2P Route</v>
      </c>
      <c r="O159" t="str">
        <f t="shared" si="20"/>
        <v>Transfer</v>
      </c>
      <c r="P159" t="str">
        <f t="shared" si="21"/>
        <v>Withdrawal</v>
      </c>
      <c r="Q159">
        <f t="shared" si="22"/>
        <v>947.27</v>
      </c>
      <c r="R159">
        <f t="shared" si="23"/>
        <v>87.059999999999945</v>
      </c>
    </row>
    <row r="160" spans="1:18" x14ac:dyDescent="0.3">
      <c r="A160" t="s">
        <v>168</v>
      </c>
      <c r="B160" t="s">
        <v>817</v>
      </c>
      <c r="C160" s="4" t="s">
        <v>1063</v>
      </c>
      <c r="D160" t="s">
        <v>1292</v>
      </c>
      <c r="E160" t="s">
        <v>1293</v>
      </c>
      <c r="F160" t="s">
        <v>1320</v>
      </c>
      <c r="G160" s="9">
        <v>351.59</v>
      </c>
      <c r="H160">
        <v>460.86</v>
      </c>
      <c r="I160">
        <v>109.27</v>
      </c>
      <c r="J160">
        <v>402.77</v>
      </c>
      <c r="K160">
        <f t="shared" si="16"/>
        <v>460.86</v>
      </c>
      <c r="L160">
        <f t="shared" si="17"/>
        <v>351.59000000000003</v>
      </c>
      <c r="M160">
        <f t="shared" si="18"/>
        <v>109.27</v>
      </c>
      <c r="N160" t="str">
        <f t="shared" si="19"/>
        <v>City Power &amp; Gas Co</v>
      </c>
      <c r="O160" t="str">
        <f t="shared" si="20"/>
        <v>Utilities</v>
      </c>
      <c r="P160" t="str">
        <f t="shared" si="21"/>
        <v>Deposit</v>
      </c>
      <c r="Q160">
        <f t="shared" si="22"/>
        <v>351.59</v>
      </c>
      <c r="R160">
        <f t="shared" si="23"/>
        <v>-51.180000000000007</v>
      </c>
    </row>
    <row r="161" spans="1:18" x14ac:dyDescent="0.3">
      <c r="A161" t="s">
        <v>169</v>
      </c>
      <c r="B161" t="s">
        <v>875</v>
      </c>
      <c r="C161" s="4" t="s">
        <v>1033</v>
      </c>
      <c r="D161" t="s">
        <v>1292</v>
      </c>
      <c r="E161" t="s">
        <v>1296</v>
      </c>
      <c r="F161" t="s">
        <v>1303</v>
      </c>
      <c r="G161" s="9">
        <v>5599.86</v>
      </c>
      <c r="H161">
        <v>7474.06</v>
      </c>
      <c r="I161">
        <v>1874.2</v>
      </c>
      <c r="J161">
        <v>5671.02</v>
      </c>
      <c r="K161">
        <f t="shared" si="16"/>
        <v>7474.06</v>
      </c>
      <c r="L161">
        <f t="shared" si="17"/>
        <v>5599.8600000000006</v>
      </c>
      <c r="M161">
        <f t="shared" si="18"/>
        <v>1874.2</v>
      </c>
      <c r="N161" t="str">
        <f t="shared" si="19"/>
        <v>Global Industries Llc</v>
      </c>
      <c r="O161" t="str">
        <f t="shared" si="20"/>
        <v>Salary</v>
      </c>
      <c r="P161" t="str">
        <f t="shared" si="21"/>
        <v>Deposit</v>
      </c>
      <c r="Q161">
        <f t="shared" si="22"/>
        <v>5599.86</v>
      </c>
      <c r="R161">
        <f t="shared" si="23"/>
        <v>-71.160000000000764</v>
      </c>
    </row>
    <row r="162" spans="1:18" x14ac:dyDescent="0.3">
      <c r="A162" t="s">
        <v>170</v>
      </c>
      <c r="B162" t="s">
        <v>877</v>
      </c>
      <c r="C162" s="4" t="s">
        <v>1064</v>
      </c>
      <c r="D162" t="s">
        <v>1291</v>
      </c>
      <c r="E162" t="s">
        <v>1295</v>
      </c>
      <c r="F162" t="s">
        <v>1313</v>
      </c>
      <c r="G162" s="9">
        <v>1173.76</v>
      </c>
      <c r="H162">
        <v>1585.82</v>
      </c>
      <c r="I162">
        <v>-237.87</v>
      </c>
      <c r="J162">
        <v>1383.86</v>
      </c>
      <c r="K162">
        <f t="shared" si="16"/>
        <v>1585.82</v>
      </c>
      <c r="L162">
        <f t="shared" si="17"/>
        <v>1823.69</v>
      </c>
      <c r="M162">
        <f t="shared" si="18"/>
        <v>-237.87</v>
      </c>
      <c r="N162" t="str">
        <f t="shared" si="19"/>
        <v>Fresh &amp; Fast Logistics</v>
      </c>
      <c r="O162" t="str">
        <f t="shared" si="20"/>
        <v>Groceries</v>
      </c>
      <c r="P162" t="str">
        <f t="shared" si="21"/>
        <v>Withdrawal</v>
      </c>
      <c r="Q162">
        <f t="shared" si="22"/>
        <v>1173.76</v>
      </c>
      <c r="R162">
        <f t="shared" si="23"/>
        <v>-210.09999999999991</v>
      </c>
    </row>
    <row r="163" spans="1:18" x14ac:dyDescent="0.3">
      <c r="A163" t="s">
        <v>171</v>
      </c>
      <c r="B163" t="s">
        <v>818</v>
      </c>
      <c r="C163" s="4" t="s">
        <v>1065</v>
      </c>
      <c r="D163" t="s">
        <v>1292</v>
      </c>
      <c r="E163" t="s">
        <v>1297</v>
      </c>
      <c r="F163" t="s">
        <v>1319</v>
      </c>
      <c r="G163" s="9">
        <v>231.17</v>
      </c>
      <c r="H163">
        <v>292.83999999999997</v>
      </c>
      <c r="I163">
        <v>61.67</v>
      </c>
      <c r="J163">
        <v>263.49</v>
      </c>
      <c r="K163">
        <f t="shared" si="16"/>
        <v>292.83999999999997</v>
      </c>
      <c r="L163">
        <f t="shared" si="17"/>
        <v>231.16999999999996</v>
      </c>
      <c r="M163">
        <f t="shared" si="18"/>
        <v>61.67</v>
      </c>
      <c r="N163" t="str">
        <f t="shared" si="19"/>
        <v>Starbucks Hub Cafe</v>
      </c>
      <c r="O163" t="str">
        <f t="shared" si="20"/>
        <v>Dining Out</v>
      </c>
      <c r="P163" t="str">
        <f t="shared" si="21"/>
        <v>Deposit</v>
      </c>
      <c r="Q163">
        <f t="shared" si="22"/>
        <v>231.17</v>
      </c>
      <c r="R163">
        <f t="shared" si="23"/>
        <v>-32.320000000000022</v>
      </c>
    </row>
    <row r="164" spans="1:18" x14ac:dyDescent="0.3">
      <c r="A164" t="s">
        <v>172</v>
      </c>
      <c r="B164" t="s">
        <v>834</v>
      </c>
      <c r="C164" s="4" t="s">
        <v>969</v>
      </c>
      <c r="D164" t="s">
        <v>1292</v>
      </c>
      <c r="E164" t="s">
        <v>1294</v>
      </c>
      <c r="F164" t="s">
        <v>1301</v>
      </c>
      <c r="G164" s="9">
        <v>1034.32</v>
      </c>
      <c r="H164">
        <v>1290.45</v>
      </c>
      <c r="I164">
        <v>256.13</v>
      </c>
      <c r="J164">
        <v>1063.8</v>
      </c>
      <c r="K164">
        <f t="shared" si="16"/>
        <v>1290.45</v>
      </c>
      <c r="L164">
        <f t="shared" si="17"/>
        <v>1034.3200000000002</v>
      </c>
      <c r="M164">
        <f t="shared" si="18"/>
        <v>256.13</v>
      </c>
      <c r="N164" t="str">
        <f t="shared" si="19"/>
        <v>Amazon Digital Supply</v>
      </c>
      <c r="O164" t="str">
        <f t="shared" si="20"/>
        <v>Online Shopping</v>
      </c>
      <c r="P164" t="str">
        <f t="shared" si="21"/>
        <v>Deposit</v>
      </c>
      <c r="Q164">
        <f t="shared" si="22"/>
        <v>1034.32</v>
      </c>
      <c r="R164">
        <f t="shared" si="23"/>
        <v>-29.480000000000018</v>
      </c>
    </row>
    <row r="165" spans="1:18" x14ac:dyDescent="0.3">
      <c r="A165" t="s">
        <v>173</v>
      </c>
      <c r="B165" t="s">
        <v>878</v>
      </c>
      <c r="C165" s="4" t="s">
        <v>1066</v>
      </c>
      <c r="D165" t="s">
        <v>1292</v>
      </c>
      <c r="E165" t="s">
        <v>1297</v>
      </c>
      <c r="F165" t="s">
        <v>1305</v>
      </c>
      <c r="G165" s="9">
        <v>39.06</v>
      </c>
      <c r="H165">
        <v>51.41</v>
      </c>
      <c r="I165">
        <v>12.35</v>
      </c>
      <c r="J165">
        <v>39.07</v>
      </c>
      <c r="K165">
        <f t="shared" si="16"/>
        <v>51.41</v>
      </c>
      <c r="L165">
        <f t="shared" si="17"/>
        <v>39.059999999999995</v>
      </c>
      <c r="M165">
        <f t="shared" si="18"/>
        <v>12.35</v>
      </c>
      <c r="N165" t="str">
        <f t="shared" si="19"/>
        <v>Mcdonalds Corp Express</v>
      </c>
      <c r="O165" t="str">
        <f t="shared" si="20"/>
        <v>Dining Out</v>
      </c>
      <c r="P165" t="str">
        <f t="shared" si="21"/>
        <v>Deposit</v>
      </c>
      <c r="Q165">
        <f t="shared" si="22"/>
        <v>39.06</v>
      </c>
      <c r="R165">
        <f t="shared" si="23"/>
        <v>-9.9999999999980105E-3</v>
      </c>
    </row>
    <row r="166" spans="1:18" x14ac:dyDescent="0.3">
      <c r="A166" t="s">
        <v>174</v>
      </c>
      <c r="B166" t="s">
        <v>788</v>
      </c>
      <c r="C166" s="4" t="s">
        <v>1003</v>
      </c>
      <c r="D166" t="s">
        <v>1291</v>
      </c>
      <c r="E166" t="s">
        <v>1295</v>
      </c>
      <c r="F166" t="s">
        <v>1304</v>
      </c>
      <c r="G166" s="9">
        <v>331.11</v>
      </c>
      <c r="H166">
        <v>444.87</v>
      </c>
      <c r="I166">
        <v>-66.73</v>
      </c>
      <c r="J166">
        <v>370.96</v>
      </c>
      <c r="K166">
        <f t="shared" si="16"/>
        <v>444.87</v>
      </c>
      <c r="L166">
        <f t="shared" si="17"/>
        <v>511.6</v>
      </c>
      <c r="M166">
        <f t="shared" si="18"/>
        <v>-66.73</v>
      </c>
      <c r="N166" t="str">
        <f t="shared" si="19"/>
        <v>Whole Foods Store</v>
      </c>
      <c r="O166" t="str">
        <f t="shared" si="20"/>
        <v>Groceries</v>
      </c>
      <c r="P166" t="str">
        <f t="shared" si="21"/>
        <v>Withdrawal</v>
      </c>
      <c r="Q166">
        <f t="shared" si="22"/>
        <v>331.11</v>
      </c>
      <c r="R166">
        <f t="shared" si="23"/>
        <v>-39.849999999999966</v>
      </c>
    </row>
    <row r="167" spans="1:18" x14ac:dyDescent="0.3">
      <c r="A167" t="s">
        <v>175</v>
      </c>
      <c r="B167" t="s">
        <v>879</v>
      </c>
      <c r="C167" s="4" t="s">
        <v>936</v>
      </c>
      <c r="D167" t="s">
        <v>1291</v>
      </c>
      <c r="E167" t="s">
        <v>1299</v>
      </c>
      <c r="F167" t="s">
        <v>1311</v>
      </c>
      <c r="G167" s="9">
        <v>565.25</v>
      </c>
      <c r="H167">
        <v>729.35</v>
      </c>
      <c r="I167">
        <v>-109.4</v>
      </c>
      <c r="J167">
        <v>662.93</v>
      </c>
      <c r="K167">
        <f t="shared" si="16"/>
        <v>729.35</v>
      </c>
      <c r="L167">
        <f t="shared" si="17"/>
        <v>838.75</v>
      </c>
      <c r="M167">
        <f t="shared" si="18"/>
        <v>-109.4</v>
      </c>
      <c r="N167" t="str">
        <f t="shared" si="19"/>
        <v>Spotify Music Hub</v>
      </c>
      <c r="O167" t="str">
        <f t="shared" si="20"/>
        <v>Entertainment</v>
      </c>
      <c r="P167" t="str">
        <f t="shared" si="21"/>
        <v>Withdrawal</v>
      </c>
      <c r="Q167">
        <f t="shared" si="22"/>
        <v>565.25</v>
      </c>
      <c r="R167">
        <f t="shared" si="23"/>
        <v>-97.67999999999995</v>
      </c>
    </row>
    <row r="168" spans="1:18" x14ac:dyDescent="0.3">
      <c r="A168" t="s">
        <v>176</v>
      </c>
      <c r="B168" t="s">
        <v>806</v>
      </c>
      <c r="C168" s="4" t="s">
        <v>1067</v>
      </c>
      <c r="D168" t="s">
        <v>1291</v>
      </c>
      <c r="E168" t="s">
        <v>1296</v>
      </c>
      <c r="F168" t="s">
        <v>1307</v>
      </c>
      <c r="G168" s="9">
        <v>4418.42</v>
      </c>
      <c r="H168">
        <v>5275.29</v>
      </c>
      <c r="I168">
        <v>-791.29</v>
      </c>
      <c r="J168">
        <v>5027.8599999999997</v>
      </c>
      <c r="K168">
        <f t="shared" si="16"/>
        <v>5275.29</v>
      </c>
      <c r="L168">
        <f t="shared" si="17"/>
        <v>6066.58</v>
      </c>
      <c r="M168">
        <f t="shared" si="18"/>
        <v>-791.29</v>
      </c>
      <c r="N168" t="str">
        <f t="shared" si="19"/>
        <v>Techcorp Payroll Inc</v>
      </c>
      <c r="O168" t="str">
        <f t="shared" si="20"/>
        <v>Salary</v>
      </c>
      <c r="P168" t="str">
        <f t="shared" si="21"/>
        <v>Withdrawal</v>
      </c>
      <c r="Q168">
        <f t="shared" si="22"/>
        <v>4418.42</v>
      </c>
      <c r="R168">
        <f t="shared" si="23"/>
        <v>-609.4399999999996</v>
      </c>
    </row>
    <row r="169" spans="1:18" x14ac:dyDescent="0.3">
      <c r="A169" t="s">
        <v>177</v>
      </c>
      <c r="B169" t="s">
        <v>880</v>
      </c>
      <c r="C169" s="4" t="s">
        <v>1068</v>
      </c>
      <c r="D169" t="s">
        <v>1291</v>
      </c>
      <c r="E169" t="s">
        <v>1293</v>
      </c>
      <c r="F169" t="s">
        <v>1318</v>
      </c>
      <c r="G169" s="9">
        <v>958.16</v>
      </c>
      <c r="H169">
        <v>1197.48</v>
      </c>
      <c r="I169">
        <v>-179.62</v>
      </c>
      <c r="J169">
        <v>1020.63</v>
      </c>
      <c r="K169">
        <f t="shared" si="16"/>
        <v>1197.48</v>
      </c>
      <c r="L169">
        <f t="shared" si="17"/>
        <v>1377.1</v>
      </c>
      <c r="M169">
        <f t="shared" si="18"/>
        <v>-179.62</v>
      </c>
      <c r="N169" t="str">
        <f t="shared" si="19"/>
        <v>Metropolitan Water Sewer</v>
      </c>
      <c r="O169" t="str">
        <f t="shared" si="20"/>
        <v>Utilities</v>
      </c>
      <c r="P169" t="str">
        <f t="shared" si="21"/>
        <v>Withdrawal</v>
      </c>
      <c r="Q169">
        <f t="shared" si="22"/>
        <v>958.16</v>
      </c>
      <c r="R169">
        <f t="shared" si="23"/>
        <v>-62.470000000000027</v>
      </c>
    </row>
    <row r="170" spans="1:18" x14ac:dyDescent="0.3">
      <c r="A170" t="s">
        <v>178</v>
      </c>
      <c r="B170" t="s">
        <v>881</v>
      </c>
      <c r="C170" s="4" t="s">
        <v>1069</v>
      </c>
      <c r="D170" t="s">
        <v>1292</v>
      </c>
      <c r="E170" t="s">
        <v>1299</v>
      </c>
      <c r="F170" t="s">
        <v>1316</v>
      </c>
      <c r="G170" s="9">
        <v>882.09</v>
      </c>
      <c r="H170">
        <v>1074.31</v>
      </c>
      <c r="I170">
        <v>192.22</v>
      </c>
      <c r="J170">
        <v>989.33</v>
      </c>
      <c r="K170">
        <f t="shared" si="16"/>
        <v>1074.31</v>
      </c>
      <c r="L170">
        <f t="shared" si="17"/>
        <v>882.08999999999992</v>
      </c>
      <c r="M170">
        <f t="shared" si="18"/>
        <v>192.22</v>
      </c>
      <c r="N170" t="str">
        <f t="shared" si="19"/>
        <v>Amc Cinema Network</v>
      </c>
      <c r="O170" t="str">
        <f t="shared" si="20"/>
        <v>Entertainment</v>
      </c>
      <c r="P170" t="str">
        <f t="shared" si="21"/>
        <v>Deposit</v>
      </c>
      <c r="Q170">
        <f t="shared" si="22"/>
        <v>882.09</v>
      </c>
      <c r="R170">
        <f t="shared" si="23"/>
        <v>-107.24000000000001</v>
      </c>
    </row>
    <row r="171" spans="1:18" x14ac:dyDescent="0.3">
      <c r="A171" t="s">
        <v>179</v>
      </c>
      <c r="B171" t="s">
        <v>878</v>
      </c>
      <c r="C171" s="4" t="s">
        <v>1070</v>
      </c>
      <c r="D171" t="s">
        <v>1291</v>
      </c>
      <c r="E171" t="s">
        <v>1293</v>
      </c>
      <c r="F171" t="s">
        <v>1320</v>
      </c>
      <c r="G171" s="9">
        <v>694</v>
      </c>
      <c r="H171">
        <v>917.19</v>
      </c>
      <c r="I171">
        <v>-137.58000000000001</v>
      </c>
      <c r="J171">
        <v>672.08</v>
      </c>
      <c r="K171">
        <f t="shared" si="16"/>
        <v>917.19</v>
      </c>
      <c r="L171">
        <f t="shared" si="17"/>
        <v>1054.77</v>
      </c>
      <c r="M171">
        <f t="shared" si="18"/>
        <v>-137.58000000000001</v>
      </c>
      <c r="N171" t="str">
        <f t="shared" si="19"/>
        <v>City Power &amp; Gas Co</v>
      </c>
      <c r="O171" t="str">
        <f t="shared" si="20"/>
        <v>Utilities</v>
      </c>
      <c r="P171" t="str">
        <f t="shared" si="21"/>
        <v>Withdrawal</v>
      </c>
      <c r="Q171">
        <f t="shared" si="22"/>
        <v>694</v>
      </c>
      <c r="R171">
        <f t="shared" si="23"/>
        <v>21.919999999999959</v>
      </c>
    </row>
    <row r="172" spans="1:18" x14ac:dyDescent="0.3">
      <c r="A172" t="s">
        <v>180</v>
      </c>
      <c r="B172" t="s">
        <v>866</v>
      </c>
      <c r="C172" s="4" t="s">
        <v>1039</v>
      </c>
      <c r="D172" t="s">
        <v>1292</v>
      </c>
      <c r="E172" t="s">
        <v>1297</v>
      </c>
      <c r="F172" t="s">
        <v>1305</v>
      </c>
      <c r="G172" s="9">
        <v>278.52999999999997</v>
      </c>
      <c r="H172">
        <v>359.17</v>
      </c>
      <c r="I172">
        <v>80.64</v>
      </c>
      <c r="J172">
        <v>333.49</v>
      </c>
      <c r="K172">
        <f t="shared" si="16"/>
        <v>359.17</v>
      </c>
      <c r="L172">
        <f t="shared" si="17"/>
        <v>278.53000000000003</v>
      </c>
      <c r="M172">
        <f t="shared" si="18"/>
        <v>80.64</v>
      </c>
      <c r="N172" t="str">
        <f t="shared" si="19"/>
        <v>Mcdonalds Corp Express</v>
      </c>
      <c r="O172" t="str">
        <f t="shared" si="20"/>
        <v>Dining Out</v>
      </c>
      <c r="P172" t="str">
        <f t="shared" si="21"/>
        <v>Deposit</v>
      </c>
      <c r="Q172">
        <f t="shared" si="22"/>
        <v>278.52999999999997</v>
      </c>
      <c r="R172">
        <f t="shared" si="23"/>
        <v>-54.960000000000036</v>
      </c>
    </row>
    <row r="173" spans="1:18" x14ac:dyDescent="0.3">
      <c r="A173" t="s">
        <v>181</v>
      </c>
      <c r="B173" t="s">
        <v>867</v>
      </c>
      <c r="C173" s="4" t="s">
        <v>1071</v>
      </c>
      <c r="D173" t="s">
        <v>1292</v>
      </c>
      <c r="E173" t="s">
        <v>1296</v>
      </c>
      <c r="F173" t="s">
        <v>1307</v>
      </c>
      <c r="G173" s="9">
        <v>4667.32</v>
      </c>
      <c r="H173">
        <v>5512.49</v>
      </c>
      <c r="I173">
        <v>845.17</v>
      </c>
      <c r="J173">
        <v>4782.46</v>
      </c>
      <c r="K173">
        <f t="shared" si="16"/>
        <v>5512.49</v>
      </c>
      <c r="L173">
        <f t="shared" si="17"/>
        <v>4667.32</v>
      </c>
      <c r="M173">
        <f t="shared" si="18"/>
        <v>845.17</v>
      </c>
      <c r="N173" t="str">
        <f t="shared" si="19"/>
        <v>Techcorp Payroll Inc</v>
      </c>
      <c r="O173" t="str">
        <f t="shared" si="20"/>
        <v>Salary</v>
      </c>
      <c r="P173" t="str">
        <f t="shared" si="21"/>
        <v>Deposit</v>
      </c>
      <c r="Q173">
        <f t="shared" si="22"/>
        <v>4667.32</v>
      </c>
      <c r="R173">
        <f t="shared" si="23"/>
        <v>-115.14000000000033</v>
      </c>
    </row>
    <row r="174" spans="1:18" x14ac:dyDescent="0.3">
      <c r="A174" t="s">
        <v>182</v>
      </c>
      <c r="B174" t="s">
        <v>849</v>
      </c>
      <c r="C174" s="4" t="s">
        <v>989</v>
      </c>
      <c r="D174" t="s">
        <v>1291</v>
      </c>
      <c r="E174" t="s">
        <v>1293</v>
      </c>
      <c r="F174" t="s">
        <v>1320</v>
      </c>
      <c r="G174" s="9">
        <v>1005.26</v>
      </c>
      <c r="H174">
        <v>1385.44</v>
      </c>
      <c r="I174">
        <v>-207.82</v>
      </c>
      <c r="J174">
        <v>974.2</v>
      </c>
      <c r="K174">
        <f t="shared" si="16"/>
        <v>1385.44</v>
      </c>
      <c r="L174">
        <f t="shared" si="17"/>
        <v>1593.26</v>
      </c>
      <c r="M174">
        <f t="shared" si="18"/>
        <v>-207.82</v>
      </c>
      <c r="N174" t="str">
        <f t="shared" si="19"/>
        <v>City Power &amp; Gas Co</v>
      </c>
      <c r="O174" t="str">
        <f t="shared" si="20"/>
        <v>Utilities</v>
      </c>
      <c r="P174" t="str">
        <f t="shared" si="21"/>
        <v>Withdrawal</v>
      </c>
      <c r="Q174">
        <f t="shared" si="22"/>
        <v>1005.26</v>
      </c>
      <c r="R174">
        <f t="shared" si="23"/>
        <v>31.059999999999945</v>
      </c>
    </row>
    <row r="175" spans="1:18" x14ac:dyDescent="0.3">
      <c r="A175" t="s">
        <v>183</v>
      </c>
      <c r="B175" t="s">
        <v>841</v>
      </c>
      <c r="C175" s="4" t="s">
        <v>1072</v>
      </c>
      <c r="D175" t="s">
        <v>1291</v>
      </c>
      <c r="E175" t="s">
        <v>1296</v>
      </c>
      <c r="F175" t="s">
        <v>1308</v>
      </c>
      <c r="G175" s="9">
        <v>6920.99</v>
      </c>
      <c r="H175">
        <v>8344.52</v>
      </c>
      <c r="I175">
        <v>-1251.68</v>
      </c>
      <c r="J175">
        <v>7921.12</v>
      </c>
      <c r="K175">
        <f t="shared" si="16"/>
        <v>8344.52</v>
      </c>
      <c r="L175">
        <f t="shared" si="17"/>
        <v>9596.2000000000007</v>
      </c>
      <c r="M175">
        <f t="shared" si="18"/>
        <v>-1251.68</v>
      </c>
      <c r="N175" t="str">
        <f t="shared" si="19"/>
        <v>Stark Retail Labs</v>
      </c>
      <c r="O175" t="str">
        <f t="shared" si="20"/>
        <v>Salary</v>
      </c>
      <c r="P175" t="str">
        <f t="shared" si="21"/>
        <v>Withdrawal</v>
      </c>
      <c r="Q175">
        <f t="shared" si="22"/>
        <v>6920.99</v>
      </c>
      <c r="R175">
        <f t="shared" si="23"/>
        <v>-1000.1300000000001</v>
      </c>
    </row>
    <row r="176" spans="1:18" x14ac:dyDescent="0.3">
      <c r="A176" t="s">
        <v>184</v>
      </c>
      <c r="B176" t="s">
        <v>882</v>
      </c>
      <c r="C176" s="4" t="s">
        <v>1073</v>
      </c>
      <c r="D176" t="s">
        <v>1291</v>
      </c>
      <c r="E176" t="s">
        <v>1299</v>
      </c>
      <c r="F176" t="s">
        <v>1316</v>
      </c>
      <c r="G176" s="9">
        <v>530.66999999999996</v>
      </c>
      <c r="H176">
        <v>694.5</v>
      </c>
      <c r="I176">
        <v>-104.17</v>
      </c>
      <c r="J176">
        <v>544.11</v>
      </c>
      <c r="K176">
        <f t="shared" si="16"/>
        <v>694.5</v>
      </c>
      <c r="L176">
        <f t="shared" si="17"/>
        <v>798.67</v>
      </c>
      <c r="M176">
        <f t="shared" si="18"/>
        <v>-104.17</v>
      </c>
      <c r="N176" t="str">
        <f t="shared" si="19"/>
        <v>Amc Cinema Network</v>
      </c>
      <c r="O176" t="str">
        <f t="shared" si="20"/>
        <v>Entertainment</v>
      </c>
      <c r="P176" t="str">
        <f t="shared" si="21"/>
        <v>Withdrawal</v>
      </c>
      <c r="Q176">
        <f t="shared" si="22"/>
        <v>530.66999999999996</v>
      </c>
      <c r="R176">
        <f t="shared" si="23"/>
        <v>-13.440000000000055</v>
      </c>
    </row>
    <row r="177" spans="1:18" x14ac:dyDescent="0.3">
      <c r="A177" t="s">
        <v>185</v>
      </c>
      <c r="B177" t="s">
        <v>870</v>
      </c>
      <c r="C177" s="4" t="s">
        <v>1074</v>
      </c>
      <c r="D177" t="s">
        <v>1291</v>
      </c>
      <c r="E177" t="s">
        <v>1298</v>
      </c>
      <c r="F177" t="s">
        <v>1317</v>
      </c>
      <c r="G177" s="9">
        <v>856.76</v>
      </c>
      <c r="H177">
        <v>1019.22</v>
      </c>
      <c r="I177">
        <v>-152.88</v>
      </c>
      <c r="J177">
        <v>849.05</v>
      </c>
      <c r="K177">
        <f t="shared" si="16"/>
        <v>1019.22</v>
      </c>
      <c r="L177">
        <f t="shared" si="17"/>
        <v>1172.0999999999999</v>
      </c>
      <c r="M177">
        <f t="shared" si="18"/>
        <v>-152.88</v>
      </c>
      <c r="N177" t="str">
        <f t="shared" si="19"/>
        <v>External Wire Clearance</v>
      </c>
      <c r="O177" t="str">
        <f t="shared" si="20"/>
        <v>Transfer</v>
      </c>
      <c r="P177" t="str">
        <f t="shared" si="21"/>
        <v>Withdrawal</v>
      </c>
      <c r="Q177">
        <f t="shared" si="22"/>
        <v>856.76</v>
      </c>
      <c r="R177">
        <f t="shared" si="23"/>
        <v>7.7100000000000364</v>
      </c>
    </row>
    <row r="178" spans="1:18" x14ac:dyDescent="0.3">
      <c r="A178" t="s">
        <v>186</v>
      </c>
      <c r="B178" t="s">
        <v>867</v>
      </c>
      <c r="C178" s="4" t="s">
        <v>1075</v>
      </c>
      <c r="D178" t="s">
        <v>1292</v>
      </c>
      <c r="E178" t="s">
        <v>1295</v>
      </c>
      <c r="F178" t="s">
        <v>1302</v>
      </c>
      <c r="G178" s="9">
        <v>1023.93</v>
      </c>
      <c r="H178">
        <v>1357.65</v>
      </c>
      <c r="I178">
        <v>333.72</v>
      </c>
      <c r="J178">
        <v>997.35</v>
      </c>
      <c r="K178">
        <f t="shared" si="16"/>
        <v>1357.65</v>
      </c>
      <c r="L178">
        <f t="shared" si="17"/>
        <v>1023.9300000000001</v>
      </c>
      <c r="M178">
        <f t="shared" si="18"/>
        <v>333.72</v>
      </c>
      <c r="N178" t="str">
        <f t="shared" si="19"/>
        <v>Supermart Marketplace</v>
      </c>
      <c r="O178" t="str">
        <f t="shared" si="20"/>
        <v>Groceries</v>
      </c>
      <c r="P178" t="str">
        <f t="shared" si="21"/>
        <v>Deposit</v>
      </c>
      <c r="Q178">
        <f t="shared" si="22"/>
        <v>1023.93</v>
      </c>
      <c r="R178">
        <f t="shared" si="23"/>
        <v>26.579999999999927</v>
      </c>
    </row>
    <row r="179" spans="1:18" x14ac:dyDescent="0.3">
      <c r="A179" t="s">
        <v>187</v>
      </c>
      <c r="B179" t="s">
        <v>788</v>
      </c>
      <c r="C179" s="4" t="s">
        <v>970</v>
      </c>
      <c r="D179" t="s">
        <v>1291</v>
      </c>
      <c r="E179" t="s">
        <v>1293</v>
      </c>
      <c r="F179" t="s">
        <v>1300</v>
      </c>
      <c r="G179" s="9">
        <v>308.8</v>
      </c>
      <c r="H179">
        <v>375.04</v>
      </c>
      <c r="I179">
        <v>-56.26</v>
      </c>
      <c r="J179">
        <v>296.14999999999998</v>
      </c>
      <c r="K179">
        <f t="shared" si="16"/>
        <v>375.04</v>
      </c>
      <c r="L179">
        <f t="shared" si="17"/>
        <v>431.3</v>
      </c>
      <c r="M179">
        <f t="shared" si="18"/>
        <v>-56.26</v>
      </c>
      <c r="N179" t="str">
        <f t="shared" si="19"/>
        <v>State Hydro Grid</v>
      </c>
      <c r="O179" t="str">
        <f t="shared" si="20"/>
        <v>Utilities</v>
      </c>
      <c r="P179" t="str">
        <f t="shared" si="21"/>
        <v>Withdrawal</v>
      </c>
      <c r="Q179">
        <f t="shared" si="22"/>
        <v>308.8</v>
      </c>
      <c r="R179">
        <f t="shared" si="23"/>
        <v>12.650000000000034</v>
      </c>
    </row>
    <row r="180" spans="1:18" x14ac:dyDescent="0.3">
      <c r="A180" t="s">
        <v>188</v>
      </c>
      <c r="B180" t="s">
        <v>814</v>
      </c>
      <c r="C180" s="4" t="s">
        <v>980</v>
      </c>
      <c r="D180" t="s">
        <v>1291</v>
      </c>
      <c r="E180" t="s">
        <v>1299</v>
      </c>
      <c r="F180" t="s">
        <v>1312</v>
      </c>
      <c r="H180">
        <v>135.36000000000001</v>
      </c>
      <c r="I180">
        <v>-20.3</v>
      </c>
      <c r="J180">
        <v>100.34</v>
      </c>
      <c r="K180">
        <f t="shared" si="16"/>
        <v>135.36000000000001</v>
      </c>
      <c r="L180">
        <f t="shared" si="17"/>
        <v>155.66000000000003</v>
      </c>
      <c r="M180">
        <f t="shared" si="18"/>
        <v>-20.3</v>
      </c>
      <c r="N180" t="str">
        <f t="shared" si="19"/>
        <v>Netflix Streaming Premium</v>
      </c>
      <c r="O180" t="str">
        <f t="shared" si="20"/>
        <v>Entertainment</v>
      </c>
      <c r="P180" t="str">
        <f t="shared" si="21"/>
        <v>Withdrawal</v>
      </c>
      <c r="Q180">
        <f t="shared" si="22"/>
        <v>1219.4163333333336</v>
      </c>
      <c r="R180">
        <f t="shared" si="23"/>
        <v>1119.0763333333337</v>
      </c>
    </row>
    <row r="181" spans="1:18" x14ac:dyDescent="0.3">
      <c r="A181" t="s">
        <v>189</v>
      </c>
      <c r="B181" t="s">
        <v>883</v>
      </c>
      <c r="C181" s="4" t="s">
        <v>1076</v>
      </c>
      <c r="D181" t="s">
        <v>1291</v>
      </c>
      <c r="E181" t="s">
        <v>1297</v>
      </c>
      <c r="F181" t="s">
        <v>1305</v>
      </c>
      <c r="G181" s="9">
        <v>1138.18</v>
      </c>
      <c r="H181">
        <v>1555.59</v>
      </c>
      <c r="I181">
        <v>-233.34</v>
      </c>
      <c r="J181">
        <v>1195.21</v>
      </c>
      <c r="K181">
        <f t="shared" si="16"/>
        <v>1555.59</v>
      </c>
      <c r="L181">
        <f t="shared" si="17"/>
        <v>1788.9299999999998</v>
      </c>
      <c r="M181">
        <f t="shared" si="18"/>
        <v>-233.34</v>
      </c>
      <c r="N181" t="str">
        <f t="shared" si="19"/>
        <v>Mcdonalds Corp Express</v>
      </c>
      <c r="O181" t="str">
        <f t="shared" si="20"/>
        <v>Dining Out</v>
      </c>
      <c r="P181" t="str">
        <f t="shared" si="21"/>
        <v>Withdrawal</v>
      </c>
      <c r="Q181">
        <f t="shared" si="22"/>
        <v>1138.18</v>
      </c>
      <c r="R181">
        <f t="shared" si="23"/>
        <v>-57.029999999999973</v>
      </c>
    </row>
    <row r="182" spans="1:18" x14ac:dyDescent="0.3">
      <c r="A182" t="s">
        <v>190</v>
      </c>
      <c r="B182" t="s">
        <v>857</v>
      </c>
      <c r="C182" s="4" t="s">
        <v>1077</v>
      </c>
      <c r="D182" t="s">
        <v>1292</v>
      </c>
      <c r="E182" t="s">
        <v>1295</v>
      </c>
      <c r="F182" t="s">
        <v>1313</v>
      </c>
      <c r="G182" s="9">
        <v>1187.6099999999999</v>
      </c>
      <c r="H182">
        <v>1642.84</v>
      </c>
      <c r="I182">
        <v>455.23</v>
      </c>
      <c r="J182">
        <v>1192.83</v>
      </c>
      <c r="K182">
        <f t="shared" si="16"/>
        <v>1642.84</v>
      </c>
      <c r="L182">
        <f t="shared" si="17"/>
        <v>1187.6099999999999</v>
      </c>
      <c r="M182">
        <f t="shared" si="18"/>
        <v>455.23</v>
      </c>
      <c r="N182" t="str">
        <f t="shared" si="19"/>
        <v>Fresh &amp; Fast Logistics</v>
      </c>
      <c r="O182" t="str">
        <f t="shared" si="20"/>
        <v>Groceries</v>
      </c>
      <c r="P182" t="str">
        <f t="shared" si="21"/>
        <v>Deposit</v>
      </c>
      <c r="Q182">
        <f t="shared" si="22"/>
        <v>1187.6099999999999</v>
      </c>
      <c r="R182">
        <f t="shared" si="23"/>
        <v>-5.2200000000000273</v>
      </c>
    </row>
    <row r="183" spans="1:18" x14ac:dyDescent="0.3">
      <c r="A183" t="s">
        <v>191</v>
      </c>
      <c r="B183" t="s">
        <v>838</v>
      </c>
      <c r="C183" s="4" t="s">
        <v>1078</v>
      </c>
      <c r="D183" t="s">
        <v>1292</v>
      </c>
      <c r="E183" t="s">
        <v>1295</v>
      </c>
      <c r="F183" t="s">
        <v>1313</v>
      </c>
      <c r="G183" s="9">
        <v>968.03</v>
      </c>
      <c r="H183">
        <v>1140.4100000000001</v>
      </c>
      <c r="I183">
        <v>172.38</v>
      </c>
      <c r="J183">
        <v>1058.02</v>
      </c>
      <c r="K183">
        <f t="shared" si="16"/>
        <v>1140.4100000000001</v>
      </c>
      <c r="L183">
        <f t="shared" si="17"/>
        <v>968.03000000000009</v>
      </c>
      <c r="M183">
        <f t="shared" si="18"/>
        <v>172.38</v>
      </c>
      <c r="N183" t="str">
        <f t="shared" si="19"/>
        <v>Fresh &amp; Fast Logistics</v>
      </c>
      <c r="O183" t="str">
        <f t="shared" si="20"/>
        <v>Groceries</v>
      </c>
      <c r="P183" t="str">
        <f t="shared" si="21"/>
        <v>Deposit</v>
      </c>
      <c r="Q183">
        <f t="shared" si="22"/>
        <v>968.03</v>
      </c>
      <c r="R183">
        <f t="shared" si="23"/>
        <v>-89.990000000000009</v>
      </c>
    </row>
    <row r="184" spans="1:18" x14ac:dyDescent="0.3">
      <c r="A184" t="s">
        <v>192</v>
      </c>
      <c r="B184" t="s">
        <v>873</v>
      </c>
      <c r="C184" s="4" t="s">
        <v>1079</v>
      </c>
      <c r="D184" t="s">
        <v>1292</v>
      </c>
      <c r="E184" t="s">
        <v>1299</v>
      </c>
      <c r="F184" t="s">
        <v>1312</v>
      </c>
      <c r="G184" s="9">
        <v>470.89</v>
      </c>
      <c r="H184">
        <v>623</v>
      </c>
      <c r="I184">
        <v>152.11000000000001</v>
      </c>
      <c r="J184">
        <v>551.58000000000004</v>
      </c>
      <c r="K184">
        <f t="shared" si="16"/>
        <v>623</v>
      </c>
      <c r="L184">
        <f t="shared" si="17"/>
        <v>470.89</v>
      </c>
      <c r="M184">
        <f t="shared" si="18"/>
        <v>152.11000000000001</v>
      </c>
      <c r="N184" t="str">
        <f t="shared" si="19"/>
        <v>Netflix Streaming Premium</v>
      </c>
      <c r="O184" t="str">
        <f t="shared" si="20"/>
        <v>Entertainment</v>
      </c>
      <c r="P184" t="str">
        <f t="shared" si="21"/>
        <v>Deposit</v>
      </c>
      <c r="Q184">
        <f t="shared" si="22"/>
        <v>470.89</v>
      </c>
      <c r="R184">
        <f t="shared" si="23"/>
        <v>-80.690000000000055</v>
      </c>
    </row>
    <row r="185" spans="1:18" x14ac:dyDescent="0.3">
      <c r="A185" t="s">
        <v>193</v>
      </c>
      <c r="B185" t="s">
        <v>884</v>
      </c>
      <c r="C185" s="4" t="s">
        <v>958</v>
      </c>
      <c r="D185" t="s">
        <v>1292</v>
      </c>
      <c r="E185" t="s">
        <v>1294</v>
      </c>
      <c r="F185" t="s">
        <v>1315</v>
      </c>
      <c r="G185" s="9">
        <v>869.66</v>
      </c>
      <c r="H185">
        <v>1156.4000000000001</v>
      </c>
      <c r="I185">
        <v>286.74</v>
      </c>
      <c r="J185">
        <v>948.02</v>
      </c>
      <c r="K185">
        <f t="shared" si="16"/>
        <v>1156.4000000000001</v>
      </c>
      <c r="L185">
        <f t="shared" si="17"/>
        <v>869.66000000000008</v>
      </c>
      <c r="M185">
        <f t="shared" si="18"/>
        <v>286.74</v>
      </c>
      <c r="N185" t="str">
        <f t="shared" si="19"/>
        <v>Ebay International</v>
      </c>
      <c r="O185" t="str">
        <f t="shared" si="20"/>
        <v>Online Shopping</v>
      </c>
      <c r="P185" t="str">
        <f t="shared" si="21"/>
        <v>Deposit</v>
      </c>
      <c r="Q185">
        <f t="shared" si="22"/>
        <v>869.66</v>
      </c>
      <c r="R185">
        <f t="shared" si="23"/>
        <v>-78.360000000000014</v>
      </c>
    </row>
    <row r="186" spans="1:18" x14ac:dyDescent="0.3">
      <c r="A186" t="s">
        <v>194</v>
      </c>
      <c r="B186" t="s">
        <v>885</v>
      </c>
      <c r="C186" s="4" t="s">
        <v>1080</v>
      </c>
      <c r="D186" t="s">
        <v>1291</v>
      </c>
      <c r="E186" t="s">
        <v>1299</v>
      </c>
      <c r="F186" t="s">
        <v>1316</v>
      </c>
      <c r="G186" s="9">
        <v>1041.6099999999999</v>
      </c>
      <c r="I186">
        <v>-195.96</v>
      </c>
      <c r="J186">
        <v>1050.25</v>
      </c>
      <c r="K186">
        <f t="shared" si="16"/>
        <v>1420.2638235294123</v>
      </c>
      <c r="L186">
        <f t="shared" si="17"/>
        <v>1616.2238235294124</v>
      </c>
      <c r="M186">
        <f t="shared" si="18"/>
        <v>-195.96</v>
      </c>
      <c r="N186" t="str">
        <f t="shared" si="19"/>
        <v>Amc Cinema Network</v>
      </c>
      <c r="O186" t="str">
        <f t="shared" si="20"/>
        <v>Entertainment</v>
      </c>
      <c r="P186" t="str">
        <f t="shared" si="21"/>
        <v>Withdrawal</v>
      </c>
      <c r="Q186">
        <f t="shared" si="22"/>
        <v>1041.6099999999999</v>
      </c>
      <c r="R186">
        <f t="shared" si="23"/>
        <v>-8.6400000000001</v>
      </c>
    </row>
    <row r="187" spans="1:18" x14ac:dyDescent="0.3">
      <c r="A187" t="s">
        <v>195</v>
      </c>
      <c r="B187" t="s">
        <v>886</v>
      </c>
      <c r="C187" s="4" t="s">
        <v>1081</v>
      </c>
      <c r="D187" t="s">
        <v>1292</v>
      </c>
      <c r="E187" t="s">
        <v>1294</v>
      </c>
      <c r="F187" t="s">
        <v>1315</v>
      </c>
      <c r="G187" s="9">
        <v>228.37</v>
      </c>
      <c r="H187">
        <v>305.54000000000002</v>
      </c>
      <c r="I187">
        <v>77.17</v>
      </c>
      <c r="J187">
        <v>247.69</v>
      </c>
      <c r="K187">
        <f t="shared" si="16"/>
        <v>305.54000000000002</v>
      </c>
      <c r="L187">
        <f t="shared" si="17"/>
        <v>228.37</v>
      </c>
      <c r="M187">
        <f t="shared" si="18"/>
        <v>77.17</v>
      </c>
      <c r="N187" t="str">
        <f t="shared" si="19"/>
        <v>Ebay International</v>
      </c>
      <c r="O187" t="str">
        <f t="shared" si="20"/>
        <v>Online Shopping</v>
      </c>
      <c r="P187" t="str">
        <f t="shared" si="21"/>
        <v>Deposit</v>
      </c>
      <c r="Q187">
        <f t="shared" si="22"/>
        <v>228.37</v>
      </c>
      <c r="R187">
        <f t="shared" si="23"/>
        <v>-19.319999999999993</v>
      </c>
    </row>
    <row r="188" spans="1:18" x14ac:dyDescent="0.3">
      <c r="A188" t="s">
        <v>196</v>
      </c>
      <c r="B188" t="s">
        <v>797</v>
      </c>
      <c r="C188" s="4" t="s">
        <v>1052</v>
      </c>
      <c r="D188" t="s">
        <v>1291</v>
      </c>
      <c r="E188" t="s">
        <v>1297</v>
      </c>
      <c r="F188" t="s">
        <v>1319</v>
      </c>
      <c r="G188" s="9">
        <v>158.33000000000001</v>
      </c>
      <c r="H188">
        <v>221.24</v>
      </c>
      <c r="I188">
        <v>-33.19</v>
      </c>
      <c r="J188">
        <v>179.01</v>
      </c>
      <c r="K188">
        <f t="shared" si="16"/>
        <v>221.24</v>
      </c>
      <c r="L188">
        <f t="shared" si="17"/>
        <v>254.43</v>
      </c>
      <c r="M188">
        <f t="shared" si="18"/>
        <v>-33.19</v>
      </c>
      <c r="N188" t="str">
        <f t="shared" si="19"/>
        <v>Starbucks Hub Cafe</v>
      </c>
      <c r="O188" t="str">
        <f t="shared" si="20"/>
        <v>Dining Out</v>
      </c>
      <c r="P188" t="str">
        <f t="shared" si="21"/>
        <v>Withdrawal</v>
      </c>
      <c r="Q188">
        <f t="shared" si="22"/>
        <v>158.33000000000001</v>
      </c>
      <c r="R188">
        <f t="shared" si="23"/>
        <v>-20.679999999999978</v>
      </c>
    </row>
    <row r="189" spans="1:18" x14ac:dyDescent="0.3">
      <c r="A189" t="s">
        <v>197</v>
      </c>
      <c r="B189" t="s">
        <v>823</v>
      </c>
      <c r="C189" s="4" t="s">
        <v>1018</v>
      </c>
      <c r="D189" t="s">
        <v>1291</v>
      </c>
      <c r="E189" t="s">
        <v>1296</v>
      </c>
      <c r="F189" t="s">
        <v>1307</v>
      </c>
      <c r="G189" s="9">
        <v>7533.08</v>
      </c>
      <c r="H189">
        <v>9840.92</v>
      </c>
      <c r="I189">
        <v>-1476.14</v>
      </c>
      <c r="J189">
        <v>7002.44</v>
      </c>
      <c r="K189">
        <f t="shared" si="16"/>
        <v>9840.92</v>
      </c>
      <c r="L189">
        <f t="shared" si="17"/>
        <v>11317.06</v>
      </c>
      <c r="M189">
        <f t="shared" si="18"/>
        <v>-1476.14</v>
      </c>
      <c r="N189" t="str">
        <f t="shared" si="19"/>
        <v>Techcorp Payroll Inc</v>
      </c>
      <c r="O189" t="str">
        <f t="shared" si="20"/>
        <v>Salary</v>
      </c>
      <c r="P189" t="str">
        <f t="shared" si="21"/>
        <v>Withdrawal</v>
      </c>
      <c r="Q189">
        <f t="shared" si="22"/>
        <v>7533.08</v>
      </c>
      <c r="R189">
        <f t="shared" si="23"/>
        <v>530.64000000000033</v>
      </c>
    </row>
    <row r="190" spans="1:18" x14ac:dyDescent="0.3">
      <c r="A190" t="s">
        <v>198</v>
      </c>
      <c r="B190" t="s">
        <v>869</v>
      </c>
      <c r="C190" s="4" t="s">
        <v>1082</v>
      </c>
      <c r="D190" t="s">
        <v>1292</v>
      </c>
      <c r="E190" t="s">
        <v>1296</v>
      </c>
      <c r="F190" t="s">
        <v>1307</v>
      </c>
      <c r="G190" s="9">
        <v>8391.6</v>
      </c>
      <c r="H190">
        <v>10026.73</v>
      </c>
      <c r="I190">
        <v>1635.13</v>
      </c>
      <c r="J190">
        <v>9006.27</v>
      </c>
      <c r="K190">
        <f t="shared" si="16"/>
        <v>10026.73</v>
      </c>
      <c r="L190">
        <f t="shared" si="17"/>
        <v>8391.5999999999985</v>
      </c>
      <c r="M190">
        <f t="shared" si="18"/>
        <v>1635.13</v>
      </c>
      <c r="N190" t="str">
        <f t="shared" si="19"/>
        <v>Techcorp Payroll Inc</v>
      </c>
      <c r="O190" t="str">
        <f t="shared" si="20"/>
        <v>Salary</v>
      </c>
      <c r="P190" t="str">
        <f t="shared" si="21"/>
        <v>Deposit</v>
      </c>
      <c r="Q190">
        <f t="shared" si="22"/>
        <v>8391.6</v>
      </c>
      <c r="R190">
        <f t="shared" si="23"/>
        <v>-614.67000000000007</v>
      </c>
    </row>
    <row r="191" spans="1:18" x14ac:dyDescent="0.3">
      <c r="A191" t="s">
        <v>199</v>
      </c>
      <c r="B191" t="s">
        <v>887</v>
      </c>
      <c r="C191" s="4" t="s">
        <v>1083</v>
      </c>
      <c r="D191" t="s">
        <v>1291</v>
      </c>
      <c r="E191" t="s">
        <v>1295</v>
      </c>
      <c r="F191" t="s">
        <v>1304</v>
      </c>
      <c r="G191" s="9">
        <v>752.66</v>
      </c>
      <c r="H191">
        <v>902.48</v>
      </c>
      <c r="I191">
        <v>-135.37</v>
      </c>
      <c r="J191">
        <v>870.92</v>
      </c>
      <c r="K191">
        <f t="shared" si="16"/>
        <v>902.48</v>
      </c>
      <c r="L191">
        <f t="shared" si="17"/>
        <v>1037.8499999999999</v>
      </c>
      <c r="M191">
        <f t="shared" si="18"/>
        <v>-135.37</v>
      </c>
      <c r="N191" t="str">
        <f t="shared" si="19"/>
        <v>Whole Foods Store</v>
      </c>
      <c r="O191" t="str">
        <f t="shared" si="20"/>
        <v>Groceries</v>
      </c>
      <c r="P191" t="str">
        <f t="shared" si="21"/>
        <v>Withdrawal</v>
      </c>
      <c r="Q191">
        <f t="shared" si="22"/>
        <v>752.66</v>
      </c>
      <c r="R191">
        <f t="shared" si="23"/>
        <v>-118.25999999999999</v>
      </c>
    </row>
    <row r="192" spans="1:18" x14ac:dyDescent="0.3">
      <c r="A192" t="s">
        <v>200</v>
      </c>
      <c r="B192" t="s">
        <v>888</v>
      </c>
      <c r="C192" s="4" t="s">
        <v>1084</v>
      </c>
      <c r="D192" t="s">
        <v>1292</v>
      </c>
      <c r="E192" t="s">
        <v>1294</v>
      </c>
      <c r="F192" t="s">
        <v>1315</v>
      </c>
      <c r="G192" s="9">
        <v>771.23</v>
      </c>
      <c r="H192">
        <v>1049.8900000000001</v>
      </c>
      <c r="I192">
        <v>278.66000000000003</v>
      </c>
      <c r="J192">
        <v>813.74</v>
      </c>
      <c r="K192">
        <f t="shared" si="16"/>
        <v>1049.8900000000001</v>
      </c>
      <c r="L192">
        <f t="shared" si="17"/>
        <v>771.23</v>
      </c>
      <c r="M192">
        <f t="shared" si="18"/>
        <v>278.66000000000003</v>
      </c>
      <c r="N192" t="str">
        <f t="shared" si="19"/>
        <v>Ebay International</v>
      </c>
      <c r="O192" t="str">
        <f t="shared" si="20"/>
        <v>Online Shopping</v>
      </c>
      <c r="P192" t="str">
        <f t="shared" si="21"/>
        <v>Deposit</v>
      </c>
      <c r="Q192">
        <f t="shared" si="22"/>
        <v>771.23</v>
      </c>
      <c r="R192">
        <f t="shared" si="23"/>
        <v>-42.509999999999991</v>
      </c>
    </row>
    <row r="193" spans="1:18" x14ac:dyDescent="0.3">
      <c r="A193" t="s">
        <v>201</v>
      </c>
      <c r="B193" t="s">
        <v>834</v>
      </c>
      <c r="C193" s="4" t="s">
        <v>1085</v>
      </c>
      <c r="D193" t="s">
        <v>1292</v>
      </c>
      <c r="E193" t="s">
        <v>1293</v>
      </c>
      <c r="F193" t="s">
        <v>1300</v>
      </c>
      <c r="H193">
        <v>131.41999999999999</v>
      </c>
      <c r="I193">
        <v>31.42</v>
      </c>
      <c r="J193">
        <v>111.12</v>
      </c>
      <c r="K193">
        <f t="shared" si="16"/>
        <v>131.41999999999999</v>
      </c>
      <c r="L193">
        <f t="shared" si="17"/>
        <v>99.999999999999986</v>
      </c>
      <c r="M193">
        <f t="shared" si="18"/>
        <v>31.42</v>
      </c>
      <c r="N193" t="str">
        <f t="shared" si="19"/>
        <v>State Hydro Grid</v>
      </c>
      <c r="O193" t="str">
        <f t="shared" si="20"/>
        <v>Utilities</v>
      </c>
      <c r="P193" t="str">
        <f t="shared" si="21"/>
        <v>Deposit</v>
      </c>
      <c r="Q193">
        <f t="shared" si="22"/>
        <v>1219.4163333333336</v>
      </c>
      <c r="R193">
        <f t="shared" si="23"/>
        <v>1108.2963333333337</v>
      </c>
    </row>
    <row r="194" spans="1:18" x14ac:dyDescent="0.3">
      <c r="A194" t="s">
        <v>202</v>
      </c>
      <c r="B194" t="s">
        <v>821</v>
      </c>
      <c r="C194" s="4" t="s">
        <v>1086</v>
      </c>
      <c r="D194" t="s">
        <v>1291</v>
      </c>
      <c r="E194" t="s">
        <v>1299</v>
      </c>
      <c r="F194" t="s">
        <v>1311</v>
      </c>
      <c r="G194" s="9">
        <v>36.67</v>
      </c>
      <c r="H194">
        <v>49.59</v>
      </c>
      <c r="I194">
        <v>-7.44</v>
      </c>
      <c r="J194">
        <v>36.33</v>
      </c>
      <c r="K194">
        <f t="shared" si="16"/>
        <v>49.59</v>
      </c>
      <c r="L194">
        <f t="shared" si="17"/>
        <v>57.03</v>
      </c>
      <c r="M194">
        <f t="shared" si="18"/>
        <v>-7.44</v>
      </c>
      <c r="N194" t="str">
        <f t="shared" si="19"/>
        <v>Spotify Music Hub</v>
      </c>
      <c r="O194" t="str">
        <f t="shared" si="20"/>
        <v>Entertainment</v>
      </c>
      <c r="P194" t="str">
        <f t="shared" si="21"/>
        <v>Withdrawal</v>
      </c>
      <c r="Q194">
        <f t="shared" si="22"/>
        <v>36.67</v>
      </c>
      <c r="R194">
        <f t="shared" si="23"/>
        <v>0.34000000000000341</v>
      </c>
    </row>
    <row r="195" spans="1:18" x14ac:dyDescent="0.3">
      <c r="A195" t="s">
        <v>203</v>
      </c>
      <c r="B195" t="s">
        <v>836</v>
      </c>
      <c r="C195" s="4" t="s">
        <v>1087</v>
      </c>
      <c r="D195" t="s">
        <v>1292</v>
      </c>
      <c r="E195" t="s">
        <v>1297</v>
      </c>
      <c r="F195" t="s">
        <v>1305</v>
      </c>
      <c r="H195">
        <v>129.19</v>
      </c>
      <c r="I195">
        <v>29.19</v>
      </c>
      <c r="J195">
        <v>102.34</v>
      </c>
      <c r="K195">
        <f t="shared" ref="K195:K258" si="24">IF(H195,H195,AVERAGE($H$2:$H$35))</f>
        <v>129.19</v>
      </c>
      <c r="L195">
        <f t="shared" ref="L195:L258" si="25">K195-M195</f>
        <v>100</v>
      </c>
      <c r="M195">
        <f t="shared" ref="M195:M258" si="26">IF(I195,I195,AVERAGE($I$2:$I$68))</f>
        <v>29.19</v>
      </c>
      <c r="N195" t="str">
        <f t="shared" ref="N195:N258" si="27">PROPER(F195)</f>
        <v>Mcdonalds Corp Express</v>
      </c>
      <c r="O195" t="str">
        <f t="shared" ref="O195:O258" si="28">PROPER(E195)</f>
        <v>Dining Out</v>
      </c>
      <c r="P195" t="str">
        <f t="shared" ref="P195:P258" si="29">PROPER(D195)</f>
        <v>Deposit</v>
      </c>
      <c r="Q195">
        <f t="shared" ref="Q195:Q258" si="30">IF(G195,G195,AVERAGE($G$2:$G$31))</f>
        <v>1219.4163333333336</v>
      </c>
      <c r="R195">
        <f t="shared" ref="R195:R258" si="31">Q195-J195</f>
        <v>1117.0763333333337</v>
      </c>
    </row>
    <row r="196" spans="1:18" x14ac:dyDescent="0.3">
      <c r="A196" t="s">
        <v>204</v>
      </c>
      <c r="B196" t="s">
        <v>889</v>
      </c>
      <c r="C196" s="4" t="s">
        <v>1088</v>
      </c>
      <c r="D196" t="s">
        <v>1291</v>
      </c>
      <c r="E196" t="s">
        <v>1299</v>
      </c>
      <c r="F196" t="s">
        <v>1312</v>
      </c>
      <c r="G196" s="9">
        <v>807.25</v>
      </c>
      <c r="H196">
        <v>1034.79</v>
      </c>
      <c r="I196">
        <v>-155.22</v>
      </c>
      <c r="J196">
        <v>807.23</v>
      </c>
      <c r="K196">
        <f t="shared" si="24"/>
        <v>1034.79</v>
      </c>
      <c r="L196">
        <f t="shared" si="25"/>
        <v>1190.01</v>
      </c>
      <c r="M196">
        <f t="shared" si="26"/>
        <v>-155.22</v>
      </c>
      <c r="N196" t="str">
        <f t="shared" si="27"/>
        <v>Netflix Streaming Premium</v>
      </c>
      <c r="O196" t="str">
        <f t="shared" si="28"/>
        <v>Entertainment</v>
      </c>
      <c r="P196" t="str">
        <f t="shared" si="29"/>
        <v>Withdrawal</v>
      </c>
      <c r="Q196">
        <f t="shared" si="30"/>
        <v>807.25</v>
      </c>
      <c r="R196">
        <f t="shared" si="31"/>
        <v>1.999999999998181E-2</v>
      </c>
    </row>
    <row r="197" spans="1:18" x14ac:dyDescent="0.3">
      <c r="A197" t="s">
        <v>205</v>
      </c>
      <c r="B197" t="s">
        <v>837</v>
      </c>
      <c r="C197" s="4" t="s">
        <v>951</v>
      </c>
      <c r="D197" t="s">
        <v>1292</v>
      </c>
      <c r="E197" t="s">
        <v>1298</v>
      </c>
      <c r="F197" t="s">
        <v>1310</v>
      </c>
      <c r="G197" s="9">
        <v>1037.43</v>
      </c>
      <c r="H197">
        <v>1205.48</v>
      </c>
      <c r="I197">
        <v>168.05</v>
      </c>
      <c r="J197">
        <v>1000.63</v>
      </c>
      <c r="K197">
        <f t="shared" si="24"/>
        <v>1205.48</v>
      </c>
      <c r="L197">
        <f t="shared" si="25"/>
        <v>1037.43</v>
      </c>
      <c r="M197">
        <f t="shared" si="26"/>
        <v>168.05</v>
      </c>
      <c r="N197" t="str">
        <f t="shared" si="27"/>
        <v>Zelle Payment Engine</v>
      </c>
      <c r="O197" t="str">
        <f t="shared" si="28"/>
        <v>Transfer</v>
      </c>
      <c r="P197" t="str">
        <f t="shared" si="29"/>
        <v>Deposit</v>
      </c>
      <c r="Q197">
        <f t="shared" si="30"/>
        <v>1037.43</v>
      </c>
      <c r="R197">
        <f t="shared" si="31"/>
        <v>36.800000000000068</v>
      </c>
    </row>
    <row r="198" spans="1:18" x14ac:dyDescent="0.3">
      <c r="A198" t="s">
        <v>206</v>
      </c>
      <c r="B198" t="s">
        <v>871</v>
      </c>
      <c r="C198" s="4" t="s">
        <v>1089</v>
      </c>
      <c r="D198" t="s">
        <v>1291</v>
      </c>
      <c r="E198" t="s">
        <v>1293</v>
      </c>
      <c r="F198" t="s">
        <v>1300</v>
      </c>
      <c r="G198" s="9">
        <v>208.97</v>
      </c>
      <c r="H198">
        <v>290.14</v>
      </c>
      <c r="I198">
        <v>-43.52</v>
      </c>
      <c r="J198">
        <v>250.43</v>
      </c>
      <c r="K198">
        <f t="shared" si="24"/>
        <v>290.14</v>
      </c>
      <c r="L198">
        <f t="shared" si="25"/>
        <v>333.65999999999997</v>
      </c>
      <c r="M198">
        <f t="shared" si="26"/>
        <v>-43.52</v>
      </c>
      <c r="N198" t="str">
        <f t="shared" si="27"/>
        <v>State Hydro Grid</v>
      </c>
      <c r="O198" t="str">
        <f t="shared" si="28"/>
        <v>Utilities</v>
      </c>
      <c r="P198" t="str">
        <f t="shared" si="29"/>
        <v>Withdrawal</v>
      </c>
      <c r="Q198">
        <f t="shared" si="30"/>
        <v>208.97</v>
      </c>
      <c r="R198">
        <f t="shared" si="31"/>
        <v>-41.460000000000008</v>
      </c>
    </row>
    <row r="199" spans="1:18" x14ac:dyDescent="0.3">
      <c r="A199" t="s">
        <v>207</v>
      </c>
      <c r="B199" t="s">
        <v>890</v>
      </c>
      <c r="C199" s="4" t="s">
        <v>1090</v>
      </c>
      <c r="D199" t="s">
        <v>1292</v>
      </c>
      <c r="E199" t="s">
        <v>1299</v>
      </c>
      <c r="F199" t="s">
        <v>1311</v>
      </c>
      <c r="G199" s="9">
        <v>420.69</v>
      </c>
      <c r="H199">
        <v>568.63</v>
      </c>
      <c r="I199">
        <v>147.94</v>
      </c>
      <c r="J199">
        <v>473.54</v>
      </c>
      <c r="K199">
        <f t="shared" si="24"/>
        <v>568.63</v>
      </c>
      <c r="L199">
        <f t="shared" si="25"/>
        <v>420.69</v>
      </c>
      <c r="M199">
        <f t="shared" si="26"/>
        <v>147.94</v>
      </c>
      <c r="N199" t="str">
        <f t="shared" si="27"/>
        <v>Spotify Music Hub</v>
      </c>
      <c r="O199" t="str">
        <f t="shared" si="28"/>
        <v>Entertainment</v>
      </c>
      <c r="P199" t="str">
        <f t="shared" si="29"/>
        <v>Deposit</v>
      </c>
      <c r="Q199">
        <f t="shared" si="30"/>
        <v>420.69</v>
      </c>
      <c r="R199">
        <f t="shared" si="31"/>
        <v>-52.850000000000023</v>
      </c>
    </row>
    <row r="200" spans="1:18" x14ac:dyDescent="0.3">
      <c r="A200" t="s">
        <v>208</v>
      </c>
      <c r="B200" t="s">
        <v>867</v>
      </c>
      <c r="C200" s="4" t="s">
        <v>1091</v>
      </c>
      <c r="D200" t="s">
        <v>1292</v>
      </c>
      <c r="E200" t="s">
        <v>1294</v>
      </c>
      <c r="F200" t="s">
        <v>1314</v>
      </c>
      <c r="G200" s="9">
        <v>461.4</v>
      </c>
      <c r="H200">
        <v>556.80999999999995</v>
      </c>
      <c r="I200">
        <v>95.41</v>
      </c>
      <c r="J200">
        <v>446.28</v>
      </c>
      <c r="K200">
        <f t="shared" si="24"/>
        <v>556.80999999999995</v>
      </c>
      <c r="L200">
        <f t="shared" si="25"/>
        <v>461.4</v>
      </c>
      <c r="M200">
        <f t="shared" si="26"/>
        <v>95.41</v>
      </c>
      <c r="N200" t="str">
        <f t="shared" si="27"/>
        <v>Target Direct Online</v>
      </c>
      <c r="O200" t="str">
        <f t="shared" si="28"/>
        <v>Online Shopping</v>
      </c>
      <c r="P200" t="str">
        <f t="shared" si="29"/>
        <v>Deposit</v>
      </c>
      <c r="Q200">
        <f t="shared" si="30"/>
        <v>461.4</v>
      </c>
      <c r="R200">
        <f t="shared" si="31"/>
        <v>15.120000000000005</v>
      </c>
    </row>
    <row r="201" spans="1:18" x14ac:dyDescent="0.3">
      <c r="A201" t="s">
        <v>209</v>
      </c>
      <c r="B201" t="s">
        <v>891</v>
      </c>
      <c r="C201" s="4" t="s">
        <v>1092</v>
      </c>
      <c r="D201" t="s">
        <v>1291</v>
      </c>
      <c r="E201" t="s">
        <v>1299</v>
      </c>
      <c r="F201" t="s">
        <v>1312</v>
      </c>
      <c r="G201" s="9">
        <v>667.69</v>
      </c>
      <c r="H201">
        <v>805.72</v>
      </c>
      <c r="I201">
        <v>-120.86</v>
      </c>
      <c r="J201">
        <v>655.7</v>
      </c>
      <c r="K201">
        <f t="shared" si="24"/>
        <v>805.72</v>
      </c>
      <c r="L201">
        <f t="shared" si="25"/>
        <v>926.58</v>
      </c>
      <c r="M201">
        <f t="shared" si="26"/>
        <v>-120.86</v>
      </c>
      <c r="N201" t="str">
        <f t="shared" si="27"/>
        <v>Netflix Streaming Premium</v>
      </c>
      <c r="O201" t="str">
        <f t="shared" si="28"/>
        <v>Entertainment</v>
      </c>
      <c r="P201" t="str">
        <f t="shared" si="29"/>
        <v>Withdrawal</v>
      </c>
      <c r="Q201">
        <f t="shared" si="30"/>
        <v>667.69</v>
      </c>
      <c r="R201">
        <f t="shared" si="31"/>
        <v>11.990000000000009</v>
      </c>
    </row>
    <row r="202" spans="1:18" x14ac:dyDescent="0.3">
      <c r="A202" t="s">
        <v>210</v>
      </c>
      <c r="B202" t="s">
        <v>868</v>
      </c>
      <c r="C202" s="4" t="s">
        <v>1093</v>
      </c>
      <c r="D202" t="s">
        <v>1291</v>
      </c>
      <c r="E202" t="s">
        <v>1293</v>
      </c>
      <c r="F202" t="s">
        <v>1300</v>
      </c>
      <c r="G202" s="9">
        <v>358.78</v>
      </c>
      <c r="H202">
        <v>464.94</v>
      </c>
      <c r="I202">
        <v>-69.739999999999995</v>
      </c>
      <c r="J202">
        <v>353.28</v>
      </c>
      <c r="K202">
        <f t="shared" si="24"/>
        <v>464.94</v>
      </c>
      <c r="L202">
        <f t="shared" si="25"/>
        <v>534.67999999999995</v>
      </c>
      <c r="M202">
        <f t="shared" si="26"/>
        <v>-69.739999999999995</v>
      </c>
      <c r="N202" t="str">
        <f t="shared" si="27"/>
        <v>State Hydro Grid</v>
      </c>
      <c r="O202" t="str">
        <f t="shared" si="28"/>
        <v>Utilities</v>
      </c>
      <c r="P202" t="str">
        <f t="shared" si="29"/>
        <v>Withdrawal</v>
      </c>
      <c r="Q202">
        <f t="shared" si="30"/>
        <v>358.78</v>
      </c>
      <c r="R202">
        <f t="shared" si="31"/>
        <v>5.5</v>
      </c>
    </row>
    <row r="203" spans="1:18" x14ac:dyDescent="0.3">
      <c r="A203" t="s">
        <v>211</v>
      </c>
      <c r="B203" t="s">
        <v>816</v>
      </c>
      <c r="C203" s="4" t="s">
        <v>1012</v>
      </c>
      <c r="D203" t="s">
        <v>1292</v>
      </c>
      <c r="E203" t="s">
        <v>1294</v>
      </c>
      <c r="F203" t="s">
        <v>1315</v>
      </c>
      <c r="G203" s="9">
        <v>80.58</v>
      </c>
      <c r="H203">
        <v>111.45</v>
      </c>
      <c r="I203">
        <v>30.87</v>
      </c>
      <c r="J203">
        <v>91.83</v>
      </c>
      <c r="K203">
        <f t="shared" si="24"/>
        <v>111.45</v>
      </c>
      <c r="L203">
        <f t="shared" si="25"/>
        <v>80.58</v>
      </c>
      <c r="M203">
        <f t="shared" si="26"/>
        <v>30.87</v>
      </c>
      <c r="N203" t="str">
        <f t="shared" si="27"/>
        <v>Ebay International</v>
      </c>
      <c r="O203" t="str">
        <f t="shared" si="28"/>
        <v>Online Shopping</v>
      </c>
      <c r="P203" t="str">
        <f t="shared" si="29"/>
        <v>Deposit</v>
      </c>
      <c r="Q203">
        <f t="shared" si="30"/>
        <v>80.58</v>
      </c>
      <c r="R203">
        <f t="shared" si="31"/>
        <v>-11.25</v>
      </c>
    </row>
    <row r="204" spans="1:18" x14ac:dyDescent="0.3">
      <c r="A204" t="s">
        <v>212</v>
      </c>
      <c r="B204" t="s">
        <v>791</v>
      </c>
      <c r="C204" s="4" t="s">
        <v>1094</v>
      </c>
      <c r="D204" t="s">
        <v>1291</v>
      </c>
      <c r="E204" t="s">
        <v>1295</v>
      </c>
      <c r="F204" t="s">
        <v>1304</v>
      </c>
      <c r="G204" s="9">
        <v>1149.1400000000001</v>
      </c>
      <c r="H204">
        <v>1451.05</v>
      </c>
      <c r="I204">
        <v>-217.66</v>
      </c>
      <c r="J204">
        <v>1098.27</v>
      </c>
      <c r="K204">
        <f t="shared" si="24"/>
        <v>1451.05</v>
      </c>
      <c r="L204">
        <f t="shared" si="25"/>
        <v>1668.71</v>
      </c>
      <c r="M204">
        <f t="shared" si="26"/>
        <v>-217.66</v>
      </c>
      <c r="N204" t="str">
        <f t="shared" si="27"/>
        <v>Whole Foods Store</v>
      </c>
      <c r="O204" t="str">
        <f t="shared" si="28"/>
        <v>Groceries</v>
      </c>
      <c r="P204" t="str">
        <f t="shared" si="29"/>
        <v>Withdrawal</v>
      </c>
      <c r="Q204">
        <f t="shared" si="30"/>
        <v>1149.1400000000001</v>
      </c>
      <c r="R204">
        <f t="shared" si="31"/>
        <v>50.870000000000118</v>
      </c>
    </row>
    <row r="205" spans="1:18" x14ac:dyDescent="0.3">
      <c r="A205" t="s">
        <v>213</v>
      </c>
      <c r="B205" t="s">
        <v>864</v>
      </c>
      <c r="C205" s="4" t="s">
        <v>1095</v>
      </c>
      <c r="D205" t="s">
        <v>1292</v>
      </c>
      <c r="E205" t="s">
        <v>1298</v>
      </c>
      <c r="F205" t="s">
        <v>1306</v>
      </c>
      <c r="G205" s="9">
        <v>269.2</v>
      </c>
      <c r="H205">
        <v>371.71</v>
      </c>
      <c r="I205">
        <v>102.51</v>
      </c>
      <c r="J205">
        <v>289.04000000000002</v>
      </c>
      <c r="K205">
        <f t="shared" si="24"/>
        <v>371.71</v>
      </c>
      <c r="L205">
        <f t="shared" si="25"/>
        <v>269.2</v>
      </c>
      <c r="M205">
        <f t="shared" si="26"/>
        <v>102.51</v>
      </c>
      <c r="N205" t="str">
        <f t="shared" si="27"/>
        <v>Internal P2P Route</v>
      </c>
      <c r="O205" t="str">
        <f t="shared" si="28"/>
        <v>Transfer</v>
      </c>
      <c r="P205" t="str">
        <f t="shared" si="29"/>
        <v>Deposit</v>
      </c>
      <c r="Q205">
        <f t="shared" si="30"/>
        <v>269.2</v>
      </c>
      <c r="R205">
        <f t="shared" si="31"/>
        <v>-19.840000000000032</v>
      </c>
    </row>
    <row r="206" spans="1:18" x14ac:dyDescent="0.3">
      <c r="A206" t="s">
        <v>214</v>
      </c>
      <c r="B206" t="s">
        <v>892</v>
      </c>
      <c r="C206" s="4" t="s">
        <v>969</v>
      </c>
      <c r="D206" t="s">
        <v>1291</v>
      </c>
      <c r="E206" t="s">
        <v>1299</v>
      </c>
      <c r="F206" t="s">
        <v>1316</v>
      </c>
      <c r="G206" s="9">
        <v>472.98</v>
      </c>
      <c r="H206">
        <v>578.79999999999995</v>
      </c>
      <c r="I206">
        <v>-86.82</v>
      </c>
      <c r="J206">
        <v>433.02</v>
      </c>
      <c r="K206">
        <f t="shared" si="24"/>
        <v>578.79999999999995</v>
      </c>
      <c r="L206">
        <f t="shared" si="25"/>
        <v>665.61999999999989</v>
      </c>
      <c r="M206">
        <f t="shared" si="26"/>
        <v>-86.82</v>
      </c>
      <c r="N206" t="str">
        <f t="shared" si="27"/>
        <v>Amc Cinema Network</v>
      </c>
      <c r="O206" t="str">
        <f t="shared" si="28"/>
        <v>Entertainment</v>
      </c>
      <c r="P206" t="str">
        <f t="shared" si="29"/>
        <v>Withdrawal</v>
      </c>
      <c r="Q206">
        <f t="shared" si="30"/>
        <v>472.98</v>
      </c>
      <c r="R206">
        <f t="shared" si="31"/>
        <v>39.960000000000036</v>
      </c>
    </row>
    <row r="207" spans="1:18" x14ac:dyDescent="0.3">
      <c r="A207" t="s">
        <v>215</v>
      </c>
      <c r="B207" t="s">
        <v>893</v>
      </c>
      <c r="C207" s="4" t="s">
        <v>1096</v>
      </c>
      <c r="D207" t="s">
        <v>1292</v>
      </c>
      <c r="E207" t="s">
        <v>1294</v>
      </c>
      <c r="F207" t="s">
        <v>1314</v>
      </c>
      <c r="G207" s="9">
        <v>669.21</v>
      </c>
      <c r="H207">
        <v>836.9</v>
      </c>
      <c r="I207">
        <v>167.69</v>
      </c>
      <c r="J207">
        <v>612.04</v>
      </c>
      <c r="K207">
        <f t="shared" si="24"/>
        <v>836.9</v>
      </c>
      <c r="L207">
        <f t="shared" si="25"/>
        <v>669.21</v>
      </c>
      <c r="M207">
        <f t="shared" si="26"/>
        <v>167.69</v>
      </c>
      <c r="N207" t="str">
        <f t="shared" si="27"/>
        <v>Target Direct Online</v>
      </c>
      <c r="O207" t="str">
        <f t="shared" si="28"/>
        <v>Online Shopping</v>
      </c>
      <c r="P207" t="str">
        <f t="shared" si="29"/>
        <v>Deposit</v>
      </c>
      <c r="Q207">
        <f t="shared" si="30"/>
        <v>669.21</v>
      </c>
      <c r="R207">
        <f t="shared" si="31"/>
        <v>57.170000000000073</v>
      </c>
    </row>
    <row r="208" spans="1:18" x14ac:dyDescent="0.3">
      <c r="A208" t="s">
        <v>216</v>
      </c>
      <c r="B208" t="s">
        <v>818</v>
      </c>
      <c r="C208" s="4" t="s">
        <v>1097</v>
      </c>
      <c r="D208" t="s">
        <v>1292</v>
      </c>
      <c r="E208" t="s">
        <v>1299</v>
      </c>
      <c r="F208" t="s">
        <v>1316</v>
      </c>
      <c r="G208" s="9">
        <v>527.47</v>
      </c>
      <c r="H208">
        <v>724.54</v>
      </c>
      <c r="I208">
        <v>197.07</v>
      </c>
      <c r="J208">
        <v>534.80999999999995</v>
      </c>
      <c r="K208">
        <f t="shared" si="24"/>
        <v>724.54</v>
      </c>
      <c r="L208">
        <f t="shared" si="25"/>
        <v>527.47</v>
      </c>
      <c r="M208">
        <f t="shared" si="26"/>
        <v>197.07</v>
      </c>
      <c r="N208" t="str">
        <f t="shared" si="27"/>
        <v>Amc Cinema Network</v>
      </c>
      <c r="O208" t="str">
        <f t="shared" si="28"/>
        <v>Entertainment</v>
      </c>
      <c r="P208" t="str">
        <f t="shared" si="29"/>
        <v>Deposit</v>
      </c>
      <c r="Q208">
        <f t="shared" si="30"/>
        <v>527.47</v>
      </c>
      <c r="R208">
        <f t="shared" si="31"/>
        <v>-7.3399999999999181</v>
      </c>
    </row>
    <row r="209" spans="1:18" x14ac:dyDescent="0.3">
      <c r="A209" t="s">
        <v>217</v>
      </c>
      <c r="B209" t="s">
        <v>894</v>
      </c>
      <c r="C209" s="4" t="s">
        <v>1098</v>
      </c>
      <c r="D209" t="s">
        <v>1292</v>
      </c>
      <c r="E209" t="s">
        <v>1297</v>
      </c>
      <c r="F209" t="s">
        <v>1319</v>
      </c>
      <c r="G209" s="9">
        <v>848.52</v>
      </c>
      <c r="H209">
        <v>1127.79</v>
      </c>
      <c r="I209">
        <v>279.27</v>
      </c>
      <c r="J209">
        <v>908.92</v>
      </c>
      <c r="K209">
        <f t="shared" si="24"/>
        <v>1127.79</v>
      </c>
      <c r="L209">
        <f t="shared" si="25"/>
        <v>848.52</v>
      </c>
      <c r="M209">
        <f t="shared" si="26"/>
        <v>279.27</v>
      </c>
      <c r="N209" t="str">
        <f t="shared" si="27"/>
        <v>Starbucks Hub Cafe</v>
      </c>
      <c r="O209" t="str">
        <f t="shared" si="28"/>
        <v>Dining Out</v>
      </c>
      <c r="P209" t="str">
        <f t="shared" si="29"/>
        <v>Deposit</v>
      </c>
      <c r="Q209">
        <f t="shared" si="30"/>
        <v>848.52</v>
      </c>
      <c r="R209">
        <f t="shared" si="31"/>
        <v>-60.399999999999977</v>
      </c>
    </row>
    <row r="210" spans="1:18" x14ac:dyDescent="0.3">
      <c r="A210" t="s">
        <v>218</v>
      </c>
      <c r="B210" t="s">
        <v>829</v>
      </c>
      <c r="C210" s="4" t="s">
        <v>987</v>
      </c>
      <c r="D210" t="s">
        <v>1292</v>
      </c>
      <c r="E210" t="s">
        <v>1295</v>
      </c>
      <c r="F210" t="s">
        <v>1304</v>
      </c>
      <c r="G210" s="9">
        <v>296.99</v>
      </c>
      <c r="H210">
        <v>362.29</v>
      </c>
      <c r="I210">
        <v>65.3</v>
      </c>
      <c r="J210">
        <v>310</v>
      </c>
      <c r="K210">
        <f t="shared" si="24"/>
        <v>362.29</v>
      </c>
      <c r="L210">
        <f t="shared" si="25"/>
        <v>296.99</v>
      </c>
      <c r="M210">
        <f t="shared" si="26"/>
        <v>65.3</v>
      </c>
      <c r="N210" t="str">
        <f t="shared" si="27"/>
        <v>Whole Foods Store</v>
      </c>
      <c r="O210" t="str">
        <f t="shared" si="28"/>
        <v>Groceries</v>
      </c>
      <c r="P210" t="str">
        <f t="shared" si="29"/>
        <v>Deposit</v>
      </c>
      <c r="Q210">
        <f t="shared" si="30"/>
        <v>296.99</v>
      </c>
      <c r="R210">
        <f t="shared" si="31"/>
        <v>-13.009999999999991</v>
      </c>
    </row>
    <row r="211" spans="1:18" x14ac:dyDescent="0.3">
      <c r="A211" t="s">
        <v>219</v>
      </c>
      <c r="B211" t="s">
        <v>863</v>
      </c>
      <c r="C211" s="4" t="s">
        <v>1099</v>
      </c>
      <c r="D211" t="s">
        <v>1291</v>
      </c>
      <c r="E211" t="s">
        <v>1295</v>
      </c>
      <c r="F211" t="s">
        <v>1302</v>
      </c>
      <c r="G211" s="9">
        <v>1058.78</v>
      </c>
      <c r="H211">
        <v>1409.68</v>
      </c>
      <c r="I211">
        <v>-211.45</v>
      </c>
      <c r="J211">
        <v>1146.8399999999999</v>
      </c>
      <c r="K211">
        <f t="shared" si="24"/>
        <v>1409.68</v>
      </c>
      <c r="L211">
        <f t="shared" si="25"/>
        <v>1621.13</v>
      </c>
      <c r="M211">
        <f t="shared" si="26"/>
        <v>-211.45</v>
      </c>
      <c r="N211" t="str">
        <f t="shared" si="27"/>
        <v>Supermart Marketplace</v>
      </c>
      <c r="O211" t="str">
        <f t="shared" si="28"/>
        <v>Groceries</v>
      </c>
      <c r="P211" t="str">
        <f t="shared" si="29"/>
        <v>Withdrawal</v>
      </c>
      <c r="Q211">
        <f t="shared" si="30"/>
        <v>1058.78</v>
      </c>
      <c r="R211">
        <f t="shared" si="31"/>
        <v>-88.059999999999945</v>
      </c>
    </row>
    <row r="212" spans="1:18" x14ac:dyDescent="0.3">
      <c r="A212" t="s">
        <v>220</v>
      </c>
      <c r="B212" t="s">
        <v>803</v>
      </c>
      <c r="C212" s="4" t="s">
        <v>1100</v>
      </c>
      <c r="D212" t="s">
        <v>1291</v>
      </c>
      <c r="E212" t="s">
        <v>1294</v>
      </c>
      <c r="F212" t="s">
        <v>1315</v>
      </c>
      <c r="G212" s="9">
        <v>180.21</v>
      </c>
      <c r="H212">
        <v>209.07</v>
      </c>
      <c r="I212">
        <v>-31.36</v>
      </c>
      <c r="J212">
        <v>207.59</v>
      </c>
      <c r="K212">
        <f t="shared" si="24"/>
        <v>209.07</v>
      </c>
      <c r="L212">
        <f t="shared" si="25"/>
        <v>240.43</v>
      </c>
      <c r="M212">
        <f t="shared" si="26"/>
        <v>-31.36</v>
      </c>
      <c r="N212" t="str">
        <f t="shared" si="27"/>
        <v>Ebay International</v>
      </c>
      <c r="O212" t="str">
        <f t="shared" si="28"/>
        <v>Online Shopping</v>
      </c>
      <c r="P212" t="str">
        <f t="shared" si="29"/>
        <v>Withdrawal</v>
      </c>
      <c r="Q212">
        <f t="shared" si="30"/>
        <v>180.21</v>
      </c>
      <c r="R212">
        <f t="shared" si="31"/>
        <v>-27.379999999999995</v>
      </c>
    </row>
    <row r="213" spans="1:18" x14ac:dyDescent="0.3">
      <c r="A213" t="s">
        <v>221</v>
      </c>
      <c r="B213" t="s">
        <v>883</v>
      </c>
      <c r="C213" s="4" t="s">
        <v>1101</v>
      </c>
      <c r="D213" t="s">
        <v>1292</v>
      </c>
      <c r="E213" t="s">
        <v>1294</v>
      </c>
      <c r="F213" t="s">
        <v>1314</v>
      </c>
      <c r="G213" s="9">
        <v>1121.73</v>
      </c>
      <c r="H213">
        <v>1362.34</v>
      </c>
      <c r="I213">
        <v>240.61</v>
      </c>
      <c r="J213">
        <v>1228.8399999999999</v>
      </c>
      <c r="K213">
        <f t="shared" si="24"/>
        <v>1362.34</v>
      </c>
      <c r="L213">
        <f t="shared" si="25"/>
        <v>1121.73</v>
      </c>
      <c r="M213">
        <f t="shared" si="26"/>
        <v>240.61</v>
      </c>
      <c r="N213" t="str">
        <f t="shared" si="27"/>
        <v>Target Direct Online</v>
      </c>
      <c r="O213" t="str">
        <f t="shared" si="28"/>
        <v>Online Shopping</v>
      </c>
      <c r="P213" t="str">
        <f t="shared" si="29"/>
        <v>Deposit</v>
      </c>
      <c r="Q213">
        <f t="shared" si="30"/>
        <v>1121.73</v>
      </c>
      <c r="R213">
        <f t="shared" si="31"/>
        <v>-107.1099999999999</v>
      </c>
    </row>
    <row r="214" spans="1:18" x14ac:dyDescent="0.3">
      <c r="A214" t="s">
        <v>222</v>
      </c>
      <c r="B214" t="s">
        <v>883</v>
      </c>
      <c r="C214" s="4" t="s">
        <v>1102</v>
      </c>
      <c r="D214" t="s">
        <v>1291</v>
      </c>
      <c r="E214" t="s">
        <v>1295</v>
      </c>
      <c r="F214" t="s">
        <v>1313</v>
      </c>
      <c r="G214" s="9">
        <v>869.44</v>
      </c>
      <c r="H214">
        <v>1086.06</v>
      </c>
      <c r="I214">
        <v>-162.91</v>
      </c>
      <c r="J214">
        <v>875.15</v>
      </c>
      <c r="K214">
        <f t="shared" si="24"/>
        <v>1086.06</v>
      </c>
      <c r="L214">
        <f t="shared" si="25"/>
        <v>1248.97</v>
      </c>
      <c r="M214">
        <f t="shared" si="26"/>
        <v>-162.91</v>
      </c>
      <c r="N214" t="str">
        <f t="shared" si="27"/>
        <v>Fresh &amp; Fast Logistics</v>
      </c>
      <c r="O214" t="str">
        <f t="shared" si="28"/>
        <v>Groceries</v>
      </c>
      <c r="P214" t="str">
        <f t="shared" si="29"/>
        <v>Withdrawal</v>
      </c>
      <c r="Q214">
        <f t="shared" si="30"/>
        <v>869.44</v>
      </c>
      <c r="R214">
        <f t="shared" si="31"/>
        <v>-5.7099999999999227</v>
      </c>
    </row>
    <row r="215" spans="1:18" x14ac:dyDescent="0.3">
      <c r="A215" t="s">
        <v>223</v>
      </c>
      <c r="B215" t="s">
        <v>874</v>
      </c>
      <c r="C215" s="4" t="s">
        <v>978</v>
      </c>
      <c r="D215" t="s">
        <v>1292</v>
      </c>
      <c r="E215" t="s">
        <v>1293</v>
      </c>
      <c r="F215" t="s">
        <v>1320</v>
      </c>
      <c r="G215" s="9">
        <v>1114.18</v>
      </c>
      <c r="H215">
        <v>1535.96</v>
      </c>
      <c r="I215">
        <v>421.78</v>
      </c>
      <c r="J215">
        <v>1249.27</v>
      </c>
      <c r="K215">
        <f t="shared" si="24"/>
        <v>1535.96</v>
      </c>
      <c r="L215">
        <f t="shared" si="25"/>
        <v>1114.18</v>
      </c>
      <c r="M215">
        <f t="shared" si="26"/>
        <v>421.78</v>
      </c>
      <c r="N215" t="str">
        <f t="shared" si="27"/>
        <v>City Power &amp; Gas Co</v>
      </c>
      <c r="O215" t="str">
        <f t="shared" si="28"/>
        <v>Utilities</v>
      </c>
      <c r="P215" t="str">
        <f t="shared" si="29"/>
        <v>Deposit</v>
      </c>
      <c r="Q215">
        <f t="shared" si="30"/>
        <v>1114.18</v>
      </c>
      <c r="R215">
        <f t="shared" si="31"/>
        <v>-135.08999999999992</v>
      </c>
    </row>
    <row r="216" spans="1:18" x14ac:dyDescent="0.3">
      <c r="A216" t="s">
        <v>224</v>
      </c>
      <c r="B216" t="s">
        <v>895</v>
      </c>
      <c r="C216" s="4" t="s">
        <v>1103</v>
      </c>
      <c r="D216" t="s">
        <v>1292</v>
      </c>
      <c r="E216" t="s">
        <v>1298</v>
      </c>
      <c r="F216" t="s">
        <v>1310</v>
      </c>
      <c r="G216" s="9">
        <v>215.38</v>
      </c>
      <c r="H216">
        <v>287.06</v>
      </c>
      <c r="I216">
        <v>71.680000000000007</v>
      </c>
      <c r="J216">
        <v>243.79</v>
      </c>
      <c r="K216">
        <f t="shared" si="24"/>
        <v>287.06</v>
      </c>
      <c r="L216">
        <f t="shared" si="25"/>
        <v>215.38</v>
      </c>
      <c r="M216">
        <f t="shared" si="26"/>
        <v>71.680000000000007</v>
      </c>
      <c r="N216" t="str">
        <f t="shared" si="27"/>
        <v>Zelle Payment Engine</v>
      </c>
      <c r="O216" t="str">
        <f t="shared" si="28"/>
        <v>Transfer</v>
      </c>
      <c r="P216" t="str">
        <f t="shared" si="29"/>
        <v>Deposit</v>
      </c>
      <c r="Q216">
        <f t="shared" si="30"/>
        <v>215.38</v>
      </c>
      <c r="R216">
        <f t="shared" si="31"/>
        <v>-28.409999999999997</v>
      </c>
    </row>
    <row r="217" spans="1:18" x14ac:dyDescent="0.3">
      <c r="A217" t="s">
        <v>225</v>
      </c>
      <c r="B217" t="s">
        <v>896</v>
      </c>
      <c r="C217" s="4" t="s">
        <v>941</v>
      </c>
      <c r="D217" t="s">
        <v>1292</v>
      </c>
      <c r="E217" t="s">
        <v>1299</v>
      </c>
      <c r="F217" t="s">
        <v>1316</v>
      </c>
      <c r="G217" s="9">
        <v>698.17</v>
      </c>
      <c r="H217">
        <v>903.58</v>
      </c>
      <c r="I217">
        <v>205.41</v>
      </c>
      <c r="J217">
        <v>806.01</v>
      </c>
      <c r="K217">
        <f t="shared" si="24"/>
        <v>903.58</v>
      </c>
      <c r="L217">
        <f t="shared" si="25"/>
        <v>698.17000000000007</v>
      </c>
      <c r="M217">
        <f t="shared" si="26"/>
        <v>205.41</v>
      </c>
      <c r="N217" t="str">
        <f t="shared" si="27"/>
        <v>Amc Cinema Network</v>
      </c>
      <c r="O217" t="str">
        <f t="shared" si="28"/>
        <v>Entertainment</v>
      </c>
      <c r="P217" t="str">
        <f t="shared" si="29"/>
        <v>Deposit</v>
      </c>
      <c r="Q217">
        <f t="shared" si="30"/>
        <v>698.17</v>
      </c>
      <c r="R217">
        <f t="shared" si="31"/>
        <v>-107.84000000000003</v>
      </c>
    </row>
    <row r="218" spans="1:18" x14ac:dyDescent="0.3">
      <c r="A218" t="s">
        <v>226</v>
      </c>
      <c r="B218" t="s">
        <v>835</v>
      </c>
      <c r="C218" s="4" t="s">
        <v>1104</v>
      </c>
      <c r="D218" t="s">
        <v>1291</v>
      </c>
      <c r="E218" t="s">
        <v>1298</v>
      </c>
      <c r="F218" t="s">
        <v>1310</v>
      </c>
      <c r="G218" s="9">
        <v>417.51</v>
      </c>
      <c r="H218">
        <v>582.95000000000005</v>
      </c>
      <c r="I218">
        <v>-87.44</v>
      </c>
      <c r="J218">
        <v>419.1</v>
      </c>
      <c r="K218">
        <f t="shared" si="24"/>
        <v>582.95000000000005</v>
      </c>
      <c r="L218">
        <f t="shared" si="25"/>
        <v>670.3900000000001</v>
      </c>
      <c r="M218">
        <f t="shared" si="26"/>
        <v>-87.44</v>
      </c>
      <c r="N218" t="str">
        <f t="shared" si="27"/>
        <v>Zelle Payment Engine</v>
      </c>
      <c r="O218" t="str">
        <f t="shared" si="28"/>
        <v>Transfer</v>
      </c>
      <c r="P218" t="str">
        <f t="shared" si="29"/>
        <v>Withdrawal</v>
      </c>
      <c r="Q218">
        <f t="shared" si="30"/>
        <v>417.51</v>
      </c>
      <c r="R218">
        <f t="shared" si="31"/>
        <v>-1.5900000000000318</v>
      </c>
    </row>
    <row r="219" spans="1:18" x14ac:dyDescent="0.3">
      <c r="A219" t="s">
        <v>227</v>
      </c>
      <c r="B219" t="s">
        <v>845</v>
      </c>
      <c r="C219" s="4" t="s">
        <v>1105</v>
      </c>
      <c r="D219" t="s">
        <v>1291</v>
      </c>
      <c r="E219" t="s">
        <v>1293</v>
      </c>
      <c r="F219" t="s">
        <v>1320</v>
      </c>
      <c r="G219" s="9">
        <v>1111</v>
      </c>
      <c r="H219">
        <v>1430.85</v>
      </c>
      <c r="I219">
        <v>-214.63</v>
      </c>
      <c r="J219">
        <v>1049.57</v>
      </c>
      <c r="K219">
        <f t="shared" si="24"/>
        <v>1430.85</v>
      </c>
      <c r="L219">
        <f t="shared" si="25"/>
        <v>1645.48</v>
      </c>
      <c r="M219">
        <f t="shared" si="26"/>
        <v>-214.63</v>
      </c>
      <c r="N219" t="str">
        <f t="shared" si="27"/>
        <v>City Power &amp; Gas Co</v>
      </c>
      <c r="O219" t="str">
        <f t="shared" si="28"/>
        <v>Utilities</v>
      </c>
      <c r="P219" t="str">
        <f t="shared" si="29"/>
        <v>Withdrawal</v>
      </c>
      <c r="Q219">
        <f t="shared" si="30"/>
        <v>1111</v>
      </c>
      <c r="R219">
        <f t="shared" si="31"/>
        <v>61.430000000000064</v>
      </c>
    </row>
    <row r="220" spans="1:18" x14ac:dyDescent="0.3">
      <c r="A220" t="s">
        <v>228</v>
      </c>
      <c r="B220" t="s">
        <v>897</v>
      </c>
      <c r="C220" s="4" t="s">
        <v>1062</v>
      </c>
      <c r="D220" t="s">
        <v>1292</v>
      </c>
      <c r="E220" t="s">
        <v>1294</v>
      </c>
      <c r="F220" t="s">
        <v>1314</v>
      </c>
      <c r="G220" s="9">
        <v>55.96</v>
      </c>
      <c r="H220">
        <v>71.58</v>
      </c>
      <c r="I220">
        <v>15.62</v>
      </c>
      <c r="J220">
        <v>50.49</v>
      </c>
      <c r="K220">
        <f t="shared" si="24"/>
        <v>71.58</v>
      </c>
      <c r="L220">
        <f t="shared" si="25"/>
        <v>55.96</v>
      </c>
      <c r="M220">
        <f t="shared" si="26"/>
        <v>15.62</v>
      </c>
      <c r="N220" t="str">
        <f t="shared" si="27"/>
        <v>Target Direct Online</v>
      </c>
      <c r="O220" t="str">
        <f t="shared" si="28"/>
        <v>Online Shopping</v>
      </c>
      <c r="P220" t="str">
        <f t="shared" si="29"/>
        <v>Deposit</v>
      </c>
      <c r="Q220">
        <f t="shared" si="30"/>
        <v>55.96</v>
      </c>
      <c r="R220">
        <f t="shared" si="31"/>
        <v>5.4699999999999989</v>
      </c>
    </row>
    <row r="221" spans="1:18" x14ac:dyDescent="0.3">
      <c r="A221" t="s">
        <v>229</v>
      </c>
      <c r="B221" t="s">
        <v>854</v>
      </c>
      <c r="C221" s="4" t="s">
        <v>1088</v>
      </c>
      <c r="D221" t="s">
        <v>1292</v>
      </c>
      <c r="E221" t="s">
        <v>1295</v>
      </c>
      <c r="F221" t="s">
        <v>1313</v>
      </c>
      <c r="G221" s="9">
        <v>992.37</v>
      </c>
      <c r="H221">
        <v>1183.57</v>
      </c>
      <c r="I221">
        <v>191.2</v>
      </c>
      <c r="J221">
        <v>974.03</v>
      </c>
      <c r="K221">
        <f t="shared" si="24"/>
        <v>1183.57</v>
      </c>
      <c r="L221">
        <f t="shared" si="25"/>
        <v>992.36999999999989</v>
      </c>
      <c r="M221">
        <f t="shared" si="26"/>
        <v>191.2</v>
      </c>
      <c r="N221" t="str">
        <f t="shared" si="27"/>
        <v>Fresh &amp; Fast Logistics</v>
      </c>
      <c r="O221" t="str">
        <f t="shared" si="28"/>
        <v>Groceries</v>
      </c>
      <c r="P221" t="str">
        <f t="shared" si="29"/>
        <v>Deposit</v>
      </c>
      <c r="Q221">
        <f t="shared" si="30"/>
        <v>992.37</v>
      </c>
      <c r="R221">
        <f t="shared" si="31"/>
        <v>18.340000000000032</v>
      </c>
    </row>
    <row r="222" spans="1:18" x14ac:dyDescent="0.3">
      <c r="A222" t="s">
        <v>230</v>
      </c>
      <c r="B222" t="s">
        <v>868</v>
      </c>
      <c r="C222" s="4" t="s">
        <v>1106</v>
      </c>
      <c r="D222" t="s">
        <v>1292</v>
      </c>
      <c r="E222" t="s">
        <v>1299</v>
      </c>
      <c r="F222" t="s">
        <v>1316</v>
      </c>
      <c r="G222" s="9">
        <v>1070.9100000000001</v>
      </c>
      <c r="H222">
        <v>1477.1</v>
      </c>
      <c r="I222">
        <v>406.19</v>
      </c>
      <c r="J222">
        <v>1279.06</v>
      </c>
      <c r="K222">
        <f t="shared" si="24"/>
        <v>1477.1</v>
      </c>
      <c r="L222">
        <f t="shared" si="25"/>
        <v>1070.9099999999999</v>
      </c>
      <c r="M222">
        <f t="shared" si="26"/>
        <v>406.19</v>
      </c>
      <c r="N222" t="str">
        <f t="shared" si="27"/>
        <v>Amc Cinema Network</v>
      </c>
      <c r="O222" t="str">
        <f t="shared" si="28"/>
        <v>Entertainment</v>
      </c>
      <c r="P222" t="str">
        <f t="shared" si="29"/>
        <v>Deposit</v>
      </c>
      <c r="Q222">
        <f t="shared" si="30"/>
        <v>1070.9100000000001</v>
      </c>
      <c r="R222">
        <f t="shared" si="31"/>
        <v>-208.14999999999986</v>
      </c>
    </row>
    <row r="223" spans="1:18" x14ac:dyDescent="0.3">
      <c r="A223" t="s">
        <v>231</v>
      </c>
      <c r="B223" t="s">
        <v>898</v>
      </c>
      <c r="C223" s="4" t="s">
        <v>1107</v>
      </c>
      <c r="D223" t="s">
        <v>1292</v>
      </c>
      <c r="E223" t="s">
        <v>1295</v>
      </c>
      <c r="F223" t="s">
        <v>1304</v>
      </c>
      <c r="G223" s="9">
        <v>249.12</v>
      </c>
      <c r="H223">
        <v>332.61</v>
      </c>
      <c r="I223">
        <v>83.49</v>
      </c>
      <c r="J223">
        <v>233.24</v>
      </c>
      <c r="K223">
        <f t="shared" si="24"/>
        <v>332.61</v>
      </c>
      <c r="L223">
        <f t="shared" si="25"/>
        <v>249.12</v>
      </c>
      <c r="M223">
        <f t="shared" si="26"/>
        <v>83.49</v>
      </c>
      <c r="N223" t="str">
        <f t="shared" si="27"/>
        <v>Whole Foods Store</v>
      </c>
      <c r="O223" t="str">
        <f t="shared" si="28"/>
        <v>Groceries</v>
      </c>
      <c r="P223" t="str">
        <f t="shared" si="29"/>
        <v>Deposit</v>
      </c>
      <c r="Q223">
        <f t="shared" si="30"/>
        <v>249.12</v>
      </c>
      <c r="R223">
        <f t="shared" si="31"/>
        <v>15.879999999999995</v>
      </c>
    </row>
    <row r="224" spans="1:18" x14ac:dyDescent="0.3">
      <c r="A224" t="s">
        <v>232</v>
      </c>
      <c r="B224" t="s">
        <v>872</v>
      </c>
      <c r="C224" s="4" t="s">
        <v>935</v>
      </c>
      <c r="D224" t="s">
        <v>1292</v>
      </c>
      <c r="E224" t="s">
        <v>1295</v>
      </c>
      <c r="F224" t="s">
        <v>1304</v>
      </c>
      <c r="G224" s="9">
        <v>1068.57</v>
      </c>
      <c r="H224">
        <v>1446.28</v>
      </c>
      <c r="I224">
        <v>377.71</v>
      </c>
      <c r="J224">
        <v>1242.1500000000001</v>
      </c>
      <c r="K224">
        <f t="shared" si="24"/>
        <v>1446.28</v>
      </c>
      <c r="L224">
        <f t="shared" si="25"/>
        <v>1068.57</v>
      </c>
      <c r="M224">
        <f t="shared" si="26"/>
        <v>377.71</v>
      </c>
      <c r="N224" t="str">
        <f t="shared" si="27"/>
        <v>Whole Foods Store</v>
      </c>
      <c r="O224" t="str">
        <f t="shared" si="28"/>
        <v>Groceries</v>
      </c>
      <c r="P224" t="str">
        <f t="shared" si="29"/>
        <v>Deposit</v>
      </c>
      <c r="Q224">
        <f t="shared" si="30"/>
        <v>1068.57</v>
      </c>
      <c r="R224">
        <f t="shared" si="31"/>
        <v>-173.58000000000015</v>
      </c>
    </row>
    <row r="225" spans="1:18" x14ac:dyDescent="0.3">
      <c r="A225" t="s">
        <v>233</v>
      </c>
      <c r="B225" t="s">
        <v>837</v>
      </c>
      <c r="C225" s="4" t="s">
        <v>1075</v>
      </c>
      <c r="D225" t="s">
        <v>1292</v>
      </c>
      <c r="E225" t="s">
        <v>1299</v>
      </c>
      <c r="F225" t="s">
        <v>1316</v>
      </c>
      <c r="G225" s="9">
        <v>114.45</v>
      </c>
      <c r="H225">
        <v>137.91999999999999</v>
      </c>
      <c r="I225">
        <v>23.47</v>
      </c>
      <c r="J225">
        <v>118.61</v>
      </c>
      <c r="K225">
        <f t="shared" si="24"/>
        <v>137.91999999999999</v>
      </c>
      <c r="L225">
        <f t="shared" si="25"/>
        <v>114.44999999999999</v>
      </c>
      <c r="M225">
        <f t="shared" si="26"/>
        <v>23.47</v>
      </c>
      <c r="N225" t="str">
        <f t="shared" si="27"/>
        <v>Amc Cinema Network</v>
      </c>
      <c r="O225" t="str">
        <f t="shared" si="28"/>
        <v>Entertainment</v>
      </c>
      <c r="P225" t="str">
        <f t="shared" si="29"/>
        <v>Deposit</v>
      </c>
      <c r="Q225">
        <f t="shared" si="30"/>
        <v>114.45</v>
      </c>
      <c r="R225">
        <f t="shared" si="31"/>
        <v>-4.1599999999999966</v>
      </c>
    </row>
    <row r="226" spans="1:18" x14ac:dyDescent="0.3">
      <c r="A226" t="s">
        <v>234</v>
      </c>
      <c r="B226" t="s">
        <v>820</v>
      </c>
      <c r="C226" s="4" t="s">
        <v>1066</v>
      </c>
      <c r="D226" t="s">
        <v>1291</v>
      </c>
      <c r="E226" t="s">
        <v>1296</v>
      </c>
      <c r="F226" t="s">
        <v>1307</v>
      </c>
      <c r="G226" s="9">
        <v>6122.83</v>
      </c>
      <c r="H226">
        <v>7572.91</v>
      </c>
      <c r="I226">
        <v>-1135.94</v>
      </c>
      <c r="J226">
        <v>5996.92</v>
      </c>
      <c r="K226">
        <f t="shared" si="24"/>
        <v>7572.91</v>
      </c>
      <c r="L226">
        <f t="shared" si="25"/>
        <v>8708.85</v>
      </c>
      <c r="M226">
        <f t="shared" si="26"/>
        <v>-1135.94</v>
      </c>
      <c r="N226" t="str">
        <f t="shared" si="27"/>
        <v>Techcorp Payroll Inc</v>
      </c>
      <c r="O226" t="str">
        <f t="shared" si="28"/>
        <v>Salary</v>
      </c>
      <c r="P226" t="str">
        <f t="shared" si="29"/>
        <v>Withdrawal</v>
      </c>
      <c r="Q226">
        <f t="shared" si="30"/>
        <v>6122.83</v>
      </c>
      <c r="R226">
        <f t="shared" si="31"/>
        <v>125.90999999999985</v>
      </c>
    </row>
    <row r="227" spans="1:18" x14ac:dyDescent="0.3">
      <c r="A227" t="s">
        <v>235</v>
      </c>
      <c r="B227" t="s">
        <v>845</v>
      </c>
      <c r="C227" s="4" t="s">
        <v>1021</v>
      </c>
      <c r="D227" t="s">
        <v>1292</v>
      </c>
      <c r="E227" t="s">
        <v>1295</v>
      </c>
      <c r="F227" t="s">
        <v>1304</v>
      </c>
      <c r="G227" s="9">
        <v>375.39</v>
      </c>
      <c r="H227">
        <v>491.84</v>
      </c>
      <c r="I227">
        <v>116.45</v>
      </c>
      <c r="J227">
        <v>399.4</v>
      </c>
      <c r="K227">
        <f t="shared" si="24"/>
        <v>491.84</v>
      </c>
      <c r="L227">
        <f t="shared" si="25"/>
        <v>375.39</v>
      </c>
      <c r="M227">
        <f t="shared" si="26"/>
        <v>116.45</v>
      </c>
      <c r="N227" t="str">
        <f t="shared" si="27"/>
        <v>Whole Foods Store</v>
      </c>
      <c r="O227" t="str">
        <f t="shared" si="28"/>
        <v>Groceries</v>
      </c>
      <c r="P227" t="str">
        <f t="shared" si="29"/>
        <v>Deposit</v>
      </c>
      <c r="Q227">
        <f t="shared" si="30"/>
        <v>375.39</v>
      </c>
      <c r="R227">
        <f t="shared" si="31"/>
        <v>-24.009999999999991</v>
      </c>
    </row>
    <row r="228" spans="1:18" x14ac:dyDescent="0.3">
      <c r="A228" t="s">
        <v>236</v>
      </c>
      <c r="B228" t="s">
        <v>898</v>
      </c>
      <c r="C228" s="4" t="s">
        <v>1108</v>
      </c>
      <c r="D228" t="s">
        <v>1291</v>
      </c>
      <c r="E228" t="s">
        <v>1299</v>
      </c>
      <c r="F228" t="s">
        <v>1316</v>
      </c>
      <c r="G228" s="9">
        <v>181.43</v>
      </c>
      <c r="H228">
        <v>216.69</v>
      </c>
      <c r="I228">
        <v>-32.5</v>
      </c>
      <c r="J228">
        <v>192.05</v>
      </c>
      <c r="K228">
        <f t="shared" si="24"/>
        <v>216.69</v>
      </c>
      <c r="L228">
        <f t="shared" si="25"/>
        <v>249.19</v>
      </c>
      <c r="M228">
        <f t="shared" si="26"/>
        <v>-32.5</v>
      </c>
      <c r="N228" t="str">
        <f t="shared" si="27"/>
        <v>Amc Cinema Network</v>
      </c>
      <c r="O228" t="str">
        <f t="shared" si="28"/>
        <v>Entertainment</v>
      </c>
      <c r="P228" t="str">
        <f t="shared" si="29"/>
        <v>Withdrawal</v>
      </c>
      <c r="Q228">
        <f t="shared" si="30"/>
        <v>181.43</v>
      </c>
      <c r="R228">
        <f t="shared" si="31"/>
        <v>-10.620000000000005</v>
      </c>
    </row>
    <row r="229" spans="1:18" x14ac:dyDescent="0.3">
      <c r="A229" t="s">
        <v>237</v>
      </c>
      <c r="B229" t="s">
        <v>838</v>
      </c>
      <c r="C229" s="4" t="s">
        <v>1010</v>
      </c>
      <c r="D229" t="s">
        <v>1291</v>
      </c>
      <c r="E229" t="s">
        <v>1296</v>
      </c>
      <c r="F229" t="s">
        <v>1303</v>
      </c>
      <c r="G229" s="9">
        <v>9110.3700000000008</v>
      </c>
      <c r="H229">
        <v>11408.57</v>
      </c>
      <c r="I229">
        <v>-1711.29</v>
      </c>
      <c r="J229">
        <v>10694.46</v>
      </c>
      <c r="K229">
        <f t="shared" si="24"/>
        <v>11408.57</v>
      </c>
      <c r="L229">
        <f t="shared" si="25"/>
        <v>13119.86</v>
      </c>
      <c r="M229">
        <f t="shared" si="26"/>
        <v>-1711.29</v>
      </c>
      <c r="N229" t="str">
        <f t="shared" si="27"/>
        <v>Global Industries Llc</v>
      </c>
      <c r="O229" t="str">
        <f t="shared" si="28"/>
        <v>Salary</v>
      </c>
      <c r="P229" t="str">
        <f t="shared" si="29"/>
        <v>Withdrawal</v>
      </c>
      <c r="Q229">
        <f t="shared" si="30"/>
        <v>9110.3700000000008</v>
      </c>
      <c r="R229">
        <f t="shared" si="31"/>
        <v>-1584.0899999999983</v>
      </c>
    </row>
    <row r="230" spans="1:18" x14ac:dyDescent="0.3">
      <c r="A230" t="s">
        <v>238</v>
      </c>
      <c r="B230" t="s">
        <v>835</v>
      </c>
      <c r="C230" s="4" t="s">
        <v>1109</v>
      </c>
      <c r="D230" t="s">
        <v>1291</v>
      </c>
      <c r="E230" t="s">
        <v>1293</v>
      </c>
      <c r="F230" t="s">
        <v>1300</v>
      </c>
      <c r="G230" s="9">
        <v>854.74</v>
      </c>
      <c r="H230">
        <v>1163.81</v>
      </c>
      <c r="I230">
        <v>-174.57</v>
      </c>
      <c r="J230">
        <v>904.25</v>
      </c>
      <c r="K230">
        <f t="shared" si="24"/>
        <v>1163.81</v>
      </c>
      <c r="L230">
        <f t="shared" si="25"/>
        <v>1338.3799999999999</v>
      </c>
      <c r="M230">
        <f t="shared" si="26"/>
        <v>-174.57</v>
      </c>
      <c r="N230" t="str">
        <f t="shared" si="27"/>
        <v>State Hydro Grid</v>
      </c>
      <c r="O230" t="str">
        <f t="shared" si="28"/>
        <v>Utilities</v>
      </c>
      <c r="P230" t="str">
        <f t="shared" si="29"/>
        <v>Withdrawal</v>
      </c>
      <c r="Q230">
        <f t="shared" si="30"/>
        <v>854.74</v>
      </c>
      <c r="R230">
        <f t="shared" si="31"/>
        <v>-49.509999999999991</v>
      </c>
    </row>
    <row r="231" spans="1:18" x14ac:dyDescent="0.3">
      <c r="A231" t="s">
        <v>239</v>
      </c>
      <c r="B231" t="s">
        <v>825</v>
      </c>
      <c r="C231" s="4" t="s">
        <v>1110</v>
      </c>
      <c r="D231" t="s">
        <v>1291</v>
      </c>
      <c r="E231" t="s">
        <v>1298</v>
      </c>
      <c r="F231" t="s">
        <v>1310</v>
      </c>
      <c r="G231" s="9">
        <v>558.49</v>
      </c>
      <c r="H231">
        <v>656.15</v>
      </c>
      <c r="I231">
        <v>-98.42</v>
      </c>
      <c r="J231">
        <v>614.47</v>
      </c>
      <c r="K231">
        <f t="shared" si="24"/>
        <v>656.15</v>
      </c>
      <c r="L231">
        <f t="shared" si="25"/>
        <v>754.56999999999994</v>
      </c>
      <c r="M231">
        <f t="shared" si="26"/>
        <v>-98.42</v>
      </c>
      <c r="N231" t="str">
        <f t="shared" si="27"/>
        <v>Zelle Payment Engine</v>
      </c>
      <c r="O231" t="str">
        <f t="shared" si="28"/>
        <v>Transfer</v>
      </c>
      <c r="P231" t="str">
        <f t="shared" si="29"/>
        <v>Withdrawal</v>
      </c>
      <c r="Q231">
        <f t="shared" si="30"/>
        <v>558.49</v>
      </c>
      <c r="R231">
        <f t="shared" si="31"/>
        <v>-55.980000000000018</v>
      </c>
    </row>
    <row r="232" spans="1:18" x14ac:dyDescent="0.3">
      <c r="A232" t="s">
        <v>240</v>
      </c>
      <c r="B232" t="s">
        <v>877</v>
      </c>
      <c r="C232" s="4" t="s">
        <v>1083</v>
      </c>
      <c r="D232" t="s">
        <v>1292</v>
      </c>
      <c r="E232" t="s">
        <v>1295</v>
      </c>
      <c r="F232" t="s">
        <v>1304</v>
      </c>
      <c r="H232">
        <v>127.42</v>
      </c>
      <c r="I232">
        <v>27.42</v>
      </c>
      <c r="J232">
        <v>117.69</v>
      </c>
      <c r="K232">
        <f t="shared" si="24"/>
        <v>127.42</v>
      </c>
      <c r="L232">
        <f t="shared" si="25"/>
        <v>100</v>
      </c>
      <c r="M232">
        <f t="shared" si="26"/>
        <v>27.42</v>
      </c>
      <c r="N232" t="str">
        <f t="shared" si="27"/>
        <v>Whole Foods Store</v>
      </c>
      <c r="O232" t="str">
        <f t="shared" si="28"/>
        <v>Groceries</v>
      </c>
      <c r="P232" t="str">
        <f t="shared" si="29"/>
        <v>Deposit</v>
      </c>
      <c r="Q232">
        <f t="shared" si="30"/>
        <v>1219.4163333333336</v>
      </c>
      <c r="R232">
        <f t="shared" si="31"/>
        <v>1101.7263333333335</v>
      </c>
    </row>
    <row r="233" spans="1:18" x14ac:dyDescent="0.3">
      <c r="A233" t="s">
        <v>241</v>
      </c>
      <c r="B233" t="s">
        <v>814</v>
      </c>
      <c r="C233" s="4" t="s">
        <v>991</v>
      </c>
      <c r="D233" t="s">
        <v>1292</v>
      </c>
      <c r="E233" t="s">
        <v>1298</v>
      </c>
      <c r="F233" t="s">
        <v>1306</v>
      </c>
      <c r="G233" s="9">
        <v>689.47</v>
      </c>
      <c r="H233">
        <v>960</v>
      </c>
      <c r="I233">
        <v>270.52999999999997</v>
      </c>
      <c r="J233">
        <v>815.57</v>
      </c>
      <c r="K233">
        <f t="shared" si="24"/>
        <v>960</v>
      </c>
      <c r="L233">
        <f t="shared" si="25"/>
        <v>689.47</v>
      </c>
      <c r="M233">
        <f t="shared" si="26"/>
        <v>270.52999999999997</v>
      </c>
      <c r="N233" t="str">
        <f t="shared" si="27"/>
        <v>Internal P2P Route</v>
      </c>
      <c r="O233" t="str">
        <f t="shared" si="28"/>
        <v>Transfer</v>
      </c>
      <c r="P233" t="str">
        <f t="shared" si="29"/>
        <v>Deposit</v>
      </c>
      <c r="Q233">
        <f t="shared" si="30"/>
        <v>689.47</v>
      </c>
      <c r="R233">
        <f t="shared" si="31"/>
        <v>-126.10000000000002</v>
      </c>
    </row>
    <row r="234" spans="1:18" x14ac:dyDescent="0.3">
      <c r="A234" t="s">
        <v>242</v>
      </c>
      <c r="B234" t="s">
        <v>811</v>
      </c>
      <c r="C234" s="4" t="s">
        <v>1111</v>
      </c>
      <c r="D234" t="s">
        <v>1292</v>
      </c>
      <c r="E234" t="s">
        <v>1293</v>
      </c>
      <c r="F234" t="s">
        <v>1300</v>
      </c>
      <c r="G234" s="9">
        <v>541.44000000000005</v>
      </c>
      <c r="H234">
        <v>649.70000000000005</v>
      </c>
      <c r="I234">
        <v>108.26</v>
      </c>
      <c r="J234">
        <v>597.30999999999995</v>
      </c>
      <c r="K234">
        <f t="shared" si="24"/>
        <v>649.70000000000005</v>
      </c>
      <c r="L234">
        <f t="shared" si="25"/>
        <v>541.44000000000005</v>
      </c>
      <c r="M234">
        <f t="shared" si="26"/>
        <v>108.26</v>
      </c>
      <c r="N234" t="str">
        <f t="shared" si="27"/>
        <v>State Hydro Grid</v>
      </c>
      <c r="O234" t="str">
        <f t="shared" si="28"/>
        <v>Utilities</v>
      </c>
      <c r="P234" t="str">
        <f t="shared" si="29"/>
        <v>Deposit</v>
      </c>
      <c r="Q234">
        <f t="shared" si="30"/>
        <v>541.44000000000005</v>
      </c>
      <c r="R234">
        <f t="shared" si="31"/>
        <v>-55.869999999999891</v>
      </c>
    </row>
    <row r="235" spans="1:18" x14ac:dyDescent="0.3">
      <c r="A235" t="s">
        <v>243</v>
      </c>
      <c r="B235" t="s">
        <v>802</v>
      </c>
      <c r="C235" s="4" t="s">
        <v>1112</v>
      </c>
      <c r="D235" t="s">
        <v>1291</v>
      </c>
      <c r="E235" t="s">
        <v>1295</v>
      </c>
      <c r="F235" t="s">
        <v>1304</v>
      </c>
      <c r="G235" s="9">
        <v>483.65</v>
      </c>
      <c r="H235">
        <v>670.32</v>
      </c>
      <c r="I235">
        <v>-100.55</v>
      </c>
      <c r="J235">
        <v>456.89</v>
      </c>
      <c r="K235">
        <f t="shared" si="24"/>
        <v>670.32</v>
      </c>
      <c r="L235">
        <f t="shared" si="25"/>
        <v>770.87</v>
      </c>
      <c r="M235">
        <f t="shared" si="26"/>
        <v>-100.55</v>
      </c>
      <c r="N235" t="str">
        <f t="shared" si="27"/>
        <v>Whole Foods Store</v>
      </c>
      <c r="O235" t="str">
        <f t="shared" si="28"/>
        <v>Groceries</v>
      </c>
      <c r="P235" t="str">
        <f t="shared" si="29"/>
        <v>Withdrawal</v>
      </c>
      <c r="Q235">
        <f t="shared" si="30"/>
        <v>483.65</v>
      </c>
      <c r="R235">
        <f t="shared" si="31"/>
        <v>26.759999999999991</v>
      </c>
    </row>
    <row r="236" spans="1:18" x14ac:dyDescent="0.3">
      <c r="A236" t="s">
        <v>244</v>
      </c>
      <c r="B236" t="s">
        <v>891</v>
      </c>
      <c r="C236" s="4" t="s">
        <v>974</v>
      </c>
      <c r="D236" t="s">
        <v>1291</v>
      </c>
      <c r="E236" t="s">
        <v>1297</v>
      </c>
      <c r="F236" t="s">
        <v>1309</v>
      </c>
      <c r="H236">
        <v>118.46</v>
      </c>
      <c r="I236">
        <v>-17.77</v>
      </c>
      <c r="J236">
        <v>113.78</v>
      </c>
      <c r="K236">
        <f t="shared" si="24"/>
        <v>118.46</v>
      </c>
      <c r="L236">
        <f t="shared" si="25"/>
        <v>136.22999999999999</v>
      </c>
      <c r="M236">
        <f t="shared" si="26"/>
        <v>-17.77</v>
      </c>
      <c r="N236" t="str">
        <f t="shared" si="27"/>
        <v>Olive Garden Gourmet</v>
      </c>
      <c r="O236" t="str">
        <f t="shared" si="28"/>
        <v>Dining Out</v>
      </c>
      <c r="P236" t="str">
        <f t="shared" si="29"/>
        <v>Withdrawal</v>
      </c>
      <c r="Q236">
        <f t="shared" si="30"/>
        <v>1219.4163333333336</v>
      </c>
      <c r="R236">
        <f t="shared" si="31"/>
        <v>1105.6363333333336</v>
      </c>
    </row>
    <row r="237" spans="1:18" x14ac:dyDescent="0.3">
      <c r="A237" t="s">
        <v>245</v>
      </c>
      <c r="B237" t="s">
        <v>853</v>
      </c>
      <c r="C237" s="4" t="s">
        <v>950</v>
      </c>
      <c r="D237" t="s">
        <v>1292</v>
      </c>
      <c r="E237" t="s">
        <v>1294</v>
      </c>
      <c r="F237" t="s">
        <v>1315</v>
      </c>
      <c r="G237" s="9">
        <v>117.06</v>
      </c>
      <c r="H237">
        <v>138.18</v>
      </c>
      <c r="I237">
        <v>21.12</v>
      </c>
      <c r="J237">
        <v>120.44</v>
      </c>
      <c r="K237">
        <f t="shared" si="24"/>
        <v>138.18</v>
      </c>
      <c r="L237">
        <f t="shared" si="25"/>
        <v>117.06</v>
      </c>
      <c r="M237">
        <f t="shared" si="26"/>
        <v>21.12</v>
      </c>
      <c r="N237" t="str">
        <f t="shared" si="27"/>
        <v>Ebay International</v>
      </c>
      <c r="O237" t="str">
        <f t="shared" si="28"/>
        <v>Online Shopping</v>
      </c>
      <c r="P237" t="str">
        <f t="shared" si="29"/>
        <v>Deposit</v>
      </c>
      <c r="Q237">
        <f t="shared" si="30"/>
        <v>117.06</v>
      </c>
      <c r="R237">
        <f t="shared" si="31"/>
        <v>-3.3799999999999955</v>
      </c>
    </row>
    <row r="238" spans="1:18" x14ac:dyDescent="0.3">
      <c r="A238" t="s">
        <v>246</v>
      </c>
      <c r="B238" t="s">
        <v>846</v>
      </c>
      <c r="C238" s="4" t="s">
        <v>972</v>
      </c>
      <c r="D238" t="s">
        <v>1291</v>
      </c>
      <c r="E238" t="s">
        <v>1293</v>
      </c>
      <c r="F238" t="s">
        <v>1318</v>
      </c>
      <c r="G238" s="9">
        <v>1188.74</v>
      </c>
      <c r="H238">
        <v>1497.17</v>
      </c>
      <c r="I238">
        <v>-224.58</v>
      </c>
      <c r="J238">
        <v>1331.29</v>
      </c>
      <c r="K238">
        <f t="shared" si="24"/>
        <v>1497.17</v>
      </c>
      <c r="L238">
        <f t="shared" si="25"/>
        <v>1721.75</v>
      </c>
      <c r="M238">
        <f t="shared" si="26"/>
        <v>-224.58</v>
      </c>
      <c r="N238" t="str">
        <f t="shared" si="27"/>
        <v>Metropolitan Water Sewer</v>
      </c>
      <c r="O238" t="str">
        <f t="shared" si="28"/>
        <v>Utilities</v>
      </c>
      <c r="P238" t="str">
        <f t="shared" si="29"/>
        <v>Withdrawal</v>
      </c>
      <c r="Q238">
        <f t="shared" si="30"/>
        <v>1188.74</v>
      </c>
      <c r="R238">
        <f t="shared" si="31"/>
        <v>-142.54999999999995</v>
      </c>
    </row>
    <row r="239" spans="1:18" x14ac:dyDescent="0.3">
      <c r="A239" t="s">
        <v>247</v>
      </c>
      <c r="B239" t="s">
        <v>790</v>
      </c>
      <c r="C239" s="4" t="s">
        <v>1113</v>
      </c>
      <c r="D239" t="s">
        <v>1292</v>
      </c>
      <c r="E239" t="s">
        <v>1299</v>
      </c>
      <c r="F239" t="s">
        <v>1312</v>
      </c>
      <c r="G239" s="9">
        <v>611.23</v>
      </c>
      <c r="H239">
        <v>766.76</v>
      </c>
      <c r="I239">
        <v>155.53</v>
      </c>
      <c r="J239">
        <v>590.92999999999995</v>
      </c>
      <c r="K239">
        <f t="shared" si="24"/>
        <v>766.76</v>
      </c>
      <c r="L239">
        <f t="shared" si="25"/>
        <v>611.23</v>
      </c>
      <c r="M239">
        <f t="shared" si="26"/>
        <v>155.53</v>
      </c>
      <c r="N239" t="str">
        <f t="shared" si="27"/>
        <v>Netflix Streaming Premium</v>
      </c>
      <c r="O239" t="str">
        <f t="shared" si="28"/>
        <v>Entertainment</v>
      </c>
      <c r="P239" t="str">
        <f t="shared" si="29"/>
        <v>Deposit</v>
      </c>
      <c r="Q239">
        <f t="shared" si="30"/>
        <v>611.23</v>
      </c>
      <c r="R239">
        <f t="shared" si="31"/>
        <v>20.300000000000068</v>
      </c>
    </row>
    <row r="240" spans="1:18" x14ac:dyDescent="0.3">
      <c r="A240" t="s">
        <v>248</v>
      </c>
      <c r="B240" t="s">
        <v>899</v>
      </c>
      <c r="C240" s="4" t="s">
        <v>1114</v>
      </c>
      <c r="D240" t="s">
        <v>1291</v>
      </c>
      <c r="E240" t="s">
        <v>1299</v>
      </c>
      <c r="F240" t="s">
        <v>1311</v>
      </c>
      <c r="G240" s="9">
        <v>1118.71</v>
      </c>
      <c r="H240">
        <v>1501.04</v>
      </c>
      <c r="I240">
        <v>-225.16</v>
      </c>
      <c r="J240">
        <v>1048.44</v>
      </c>
      <c r="K240">
        <f t="shared" si="24"/>
        <v>1501.04</v>
      </c>
      <c r="L240">
        <f t="shared" si="25"/>
        <v>1726.2</v>
      </c>
      <c r="M240">
        <f t="shared" si="26"/>
        <v>-225.16</v>
      </c>
      <c r="N240" t="str">
        <f t="shared" si="27"/>
        <v>Spotify Music Hub</v>
      </c>
      <c r="O240" t="str">
        <f t="shared" si="28"/>
        <v>Entertainment</v>
      </c>
      <c r="P240" t="str">
        <f t="shared" si="29"/>
        <v>Withdrawal</v>
      </c>
      <c r="Q240">
        <f t="shared" si="30"/>
        <v>1118.71</v>
      </c>
      <c r="R240">
        <f t="shared" si="31"/>
        <v>70.269999999999982</v>
      </c>
    </row>
    <row r="241" spans="1:18" x14ac:dyDescent="0.3">
      <c r="A241" t="s">
        <v>249</v>
      </c>
      <c r="B241" t="s">
        <v>900</v>
      </c>
      <c r="C241" s="4" t="s">
        <v>1074</v>
      </c>
      <c r="D241" t="s">
        <v>1292</v>
      </c>
      <c r="E241" t="s">
        <v>1296</v>
      </c>
      <c r="F241" t="s">
        <v>1308</v>
      </c>
      <c r="G241" s="9">
        <v>5914.61</v>
      </c>
      <c r="H241">
        <v>7619.89</v>
      </c>
      <c r="I241">
        <v>1705.28</v>
      </c>
      <c r="J241">
        <v>5941.47</v>
      </c>
      <c r="K241">
        <f t="shared" si="24"/>
        <v>7619.89</v>
      </c>
      <c r="L241">
        <f t="shared" si="25"/>
        <v>5914.6100000000006</v>
      </c>
      <c r="M241">
        <f t="shared" si="26"/>
        <v>1705.28</v>
      </c>
      <c r="N241" t="str">
        <f t="shared" si="27"/>
        <v>Stark Retail Labs</v>
      </c>
      <c r="O241" t="str">
        <f t="shared" si="28"/>
        <v>Salary</v>
      </c>
      <c r="P241" t="str">
        <f t="shared" si="29"/>
        <v>Deposit</v>
      </c>
      <c r="Q241">
        <f t="shared" si="30"/>
        <v>5914.61</v>
      </c>
      <c r="R241">
        <f t="shared" si="31"/>
        <v>-26.860000000000582</v>
      </c>
    </row>
    <row r="242" spans="1:18" x14ac:dyDescent="0.3">
      <c r="A242" t="s">
        <v>250</v>
      </c>
      <c r="B242" t="s">
        <v>815</v>
      </c>
      <c r="C242" s="4" t="s">
        <v>1115</v>
      </c>
      <c r="D242" t="s">
        <v>1292</v>
      </c>
      <c r="E242" t="s">
        <v>1298</v>
      </c>
      <c r="F242" t="s">
        <v>1306</v>
      </c>
      <c r="G242" s="9">
        <v>618.15</v>
      </c>
      <c r="H242">
        <v>803.52</v>
      </c>
      <c r="I242">
        <v>185.37</v>
      </c>
      <c r="J242">
        <v>681.55</v>
      </c>
      <c r="K242">
        <f t="shared" si="24"/>
        <v>803.52</v>
      </c>
      <c r="L242">
        <f t="shared" si="25"/>
        <v>618.15</v>
      </c>
      <c r="M242">
        <f t="shared" si="26"/>
        <v>185.37</v>
      </c>
      <c r="N242" t="str">
        <f t="shared" si="27"/>
        <v>Internal P2P Route</v>
      </c>
      <c r="O242" t="str">
        <f t="shared" si="28"/>
        <v>Transfer</v>
      </c>
      <c r="P242" t="str">
        <f t="shared" si="29"/>
        <v>Deposit</v>
      </c>
      <c r="Q242">
        <f t="shared" si="30"/>
        <v>618.15</v>
      </c>
      <c r="R242">
        <f t="shared" si="31"/>
        <v>-63.399999999999977</v>
      </c>
    </row>
    <row r="243" spans="1:18" x14ac:dyDescent="0.3">
      <c r="A243" t="s">
        <v>251</v>
      </c>
      <c r="B243" t="s">
        <v>888</v>
      </c>
      <c r="C243" s="4" t="s">
        <v>1058</v>
      </c>
      <c r="D243" t="s">
        <v>1292</v>
      </c>
      <c r="E243" t="s">
        <v>1293</v>
      </c>
      <c r="F243" t="s">
        <v>1318</v>
      </c>
      <c r="G243" s="9">
        <v>846.31</v>
      </c>
      <c r="H243">
        <v>1064.5899999999999</v>
      </c>
      <c r="I243">
        <v>218.28</v>
      </c>
      <c r="J243">
        <v>977.8</v>
      </c>
      <c r="K243">
        <f t="shared" si="24"/>
        <v>1064.5899999999999</v>
      </c>
      <c r="L243">
        <f t="shared" si="25"/>
        <v>846.31</v>
      </c>
      <c r="M243">
        <f t="shared" si="26"/>
        <v>218.28</v>
      </c>
      <c r="N243" t="str">
        <f t="shared" si="27"/>
        <v>Metropolitan Water Sewer</v>
      </c>
      <c r="O243" t="str">
        <f t="shared" si="28"/>
        <v>Utilities</v>
      </c>
      <c r="P243" t="str">
        <f t="shared" si="29"/>
        <v>Deposit</v>
      </c>
      <c r="Q243">
        <f t="shared" si="30"/>
        <v>846.31</v>
      </c>
      <c r="R243">
        <f t="shared" si="31"/>
        <v>-131.49</v>
      </c>
    </row>
    <row r="244" spans="1:18" x14ac:dyDescent="0.3">
      <c r="A244" t="s">
        <v>252</v>
      </c>
      <c r="B244" t="s">
        <v>890</v>
      </c>
      <c r="C244" s="4" t="s">
        <v>1116</v>
      </c>
      <c r="D244" t="s">
        <v>1291</v>
      </c>
      <c r="E244" t="s">
        <v>1294</v>
      </c>
      <c r="F244" t="s">
        <v>1315</v>
      </c>
      <c r="G244" s="9">
        <v>1067.6199999999999</v>
      </c>
      <c r="H244">
        <v>1294.5999999999999</v>
      </c>
      <c r="I244">
        <v>-194.19</v>
      </c>
      <c r="J244">
        <v>1022.33</v>
      </c>
      <c r="K244">
        <f t="shared" si="24"/>
        <v>1294.5999999999999</v>
      </c>
      <c r="L244">
        <f t="shared" si="25"/>
        <v>1488.79</v>
      </c>
      <c r="M244">
        <f t="shared" si="26"/>
        <v>-194.19</v>
      </c>
      <c r="N244" t="str">
        <f t="shared" si="27"/>
        <v>Ebay International</v>
      </c>
      <c r="O244" t="str">
        <f t="shared" si="28"/>
        <v>Online Shopping</v>
      </c>
      <c r="P244" t="str">
        <f t="shared" si="29"/>
        <v>Withdrawal</v>
      </c>
      <c r="Q244">
        <f t="shared" si="30"/>
        <v>1067.6199999999999</v>
      </c>
      <c r="R244">
        <f t="shared" si="31"/>
        <v>45.28999999999985</v>
      </c>
    </row>
    <row r="245" spans="1:18" x14ac:dyDescent="0.3">
      <c r="A245" t="s">
        <v>253</v>
      </c>
      <c r="B245" t="s">
        <v>818</v>
      </c>
      <c r="C245" s="4" t="s">
        <v>972</v>
      </c>
      <c r="D245" t="s">
        <v>1291</v>
      </c>
      <c r="E245" t="s">
        <v>1296</v>
      </c>
      <c r="F245" t="s">
        <v>1308</v>
      </c>
      <c r="G245" s="9">
        <v>5534.32</v>
      </c>
      <c r="H245">
        <v>7685.91</v>
      </c>
      <c r="I245">
        <v>-1152.8900000000001</v>
      </c>
      <c r="J245">
        <v>6248.52</v>
      </c>
      <c r="K245">
        <f t="shared" si="24"/>
        <v>7685.91</v>
      </c>
      <c r="L245">
        <f t="shared" si="25"/>
        <v>8838.7999999999993</v>
      </c>
      <c r="M245">
        <f t="shared" si="26"/>
        <v>-1152.8900000000001</v>
      </c>
      <c r="N245" t="str">
        <f t="shared" si="27"/>
        <v>Stark Retail Labs</v>
      </c>
      <c r="O245" t="str">
        <f t="shared" si="28"/>
        <v>Salary</v>
      </c>
      <c r="P245" t="str">
        <f t="shared" si="29"/>
        <v>Withdrawal</v>
      </c>
      <c r="Q245">
        <f t="shared" si="30"/>
        <v>5534.32</v>
      </c>
      <c r="R245">
        <f t="shared" si="31"/>
        <v>-714.20000000000073</v>
      </c>
    </row>
    <row r="246" spans="1:18" x14ac:dyDescent="0.3">
      <c r="A246" t="s">
        <v>254</v>
      </c>
      <c r="B246" t="s">
        <v>860</v>
      </c>
      <c r="C246" s="4" t="s">
        <v>1117</v>
      </c>
      <c r="D246" t="s">
        <v>1291</v>
      </c>
      <c r="E246" t="s">
        <v>1293</v>
      </c>
      <c r="F246" t="s">
        <v>1318</v>
      </c>
      <c r="G246" s="9">
        <v>1134.6199999999999</v>
      </c>
      <c r="I246">
        <v>-197.22</v>
      </c>
      <c r="J246">
        <v>1201.2</v>
      </c>
      <c r="K246">
        <f t="shared" si="24"/>
        <v>1420.2638235294123</v>
      </c>
      <c r="L246">
        <f t="shared" si="25"/>
        <v>1617.4838235294123</v>
      </c>
      <c r="M246">
        <f t="shared" si="26"/>
        <v>-197.22</v>
      </c>
      <c r="N246" t="str">
        <f t="shared" si="27"/>
        <v>Metropolitan Water Sewer</v>
      </c>
      <c r="O246" t="str">
        <f t="shared" si="28"/>
        <v>Utilities</v>
      </c>
      <c r="P246" t="str">
        <f t="shared" si="29"/>
        <v>Withdrawal</v>
      </c>
      <c r="Q246">
        <f t="shared" si="30"/>
        <v>1134.6199999999999</v>
      </c>
      <c r="R246">
        <f t="shared" si="31"/>
        <v>-66.580000000000155</v>
      </c>
    </row>
    <row r="247" spans="1:18" x14ac:dyDescent="0.3">
      <c r="A247" t="s">
        <v>255</v>
      </c>
      <c r="B247" t="s">
        <v>806</v>
      </c>
      <c r="C247" s="4" t="s">
        <v>1118</v>
      </c>
      <c r="D247" t="s">
        <v>1292</v>
      </c>
      <c r="E247" t="s">
        <v>1294</v>
      </c>
      <c r="F247" t="s">
        <v>1314</v>
      </c>
      <c r="G247" s="9">
        <v>762.45</v>
      </c>
      <c r="H247">
        <v>1033.6400000000001</v>
      </c>
      <c r="I247">
        <v>271.19</v>
      </c>
      <c r="J247">
        <v>692.23</v>
      </c>
      <c r="K247">
        <f t="shared" si="24"/>
        <v>1033.6400000000001</v>
      </c>
      <c r="L247">
        <f t="shared" si="25"/>
        <v>762.45</v>
      </c>
      <c r="M247">
        <f t="shared" si="26"/>
        <v>271.19</v>
      </c>
      <c r="N247" t="str">
        <f t="shared" si="27"/>
        <v>Target Direct Online</v>
      </c>
      <c r="O247" t="str">
        <f t="shared" si="28"/>
        <v>Online Shopping</v>
      </c>
      <c r="P247" t="str">
        <f t="shared" si="29"/>
        <v>Deposit</v>
      </c>
      <c r="Q247">
        <f t="shared" si="30"/>
        <v>762.45</v>
      </c>
      <c r="R247">
        <f t="shared" si="31"/>
        <v>70.220000000000027</v>
      </c>
    </row>
    <row r="248" spans="1:18" x14ac:dyDescent="0.3">
      <c r="A248" t="s">
        <v>256</v>
      </c>
      <c r="B248" t="s">
        <v>870</v>
      </c>
      <c r="C248" s="4" t="s">
        <v>1119</v>
      </c>
      <c r="D248" t="s">
        <v>1291</v>
      </c>
      <c r="E248" t="s">
        <v>1294</v>
      </c>
      <c r="F248" t="s">
        <v>1314</v>
      </c>
      <c r="G248" s="9">
        <v>362.16</v>
      </c>
      <c r="H248">
        <v>469.69</v>
      </c>
      <c r="I248">
        <v>-70.45</v>
      </c>
      <c r="J248">
        <v>351.9</v>
      </c>
      <c r="K248">
        <f t="shared" si="24"/>
        <v>469.69</v>
      </c>
      <c r="L248">
        <f t="shared" si="25"/>
        <v>540.14</v>
      </c>
      <c r="M248">
        <f t="shared" si="26"/>
        <v>-70.45</v>
      </c>
      <c r="N248" t="str">
        <f t="shared" si="27"/>
        <v>Target Direct Online</v>
      </c>
      <c r="O248" t="str">
        <f t="shared" si="28"/>
        <v>Online Shopping</v>
      </c>
      <c r="P248" t="str">
        <f t="shared" si="29"/>
        <v>Withdrawal</v>
      </c>
      <c r="Q248">
        <f t="shared" si="30"/>
        <v>362.16</v>
      </c>
      <c r="R248">
        <f t="shared" si="31"/>
        <v>10.260000000000048</v>
      </c>
    </row>
    <row r="249" spans="1:18" x14ac:dyDescent="0.3">
      <c r="A249" t="s">
        <v>257</v>
      </c>
      <c r="B249" t="s">
        <v>897</v>
      </c>
      <c r="C249" s="4" t="s">
        <v>951</v>
      </c>
      <c r="D249" t="s">
        <v>1291</v>
      </c>
      <c r="E249" t="s">
        <v>1298</v>
      </c>
      <c r="F249" t="s">
        <v>1306</v>
      </c>
      <c r="G249" s="9">
        <v>184.64</v>
      </c>
      <c r="H249">
        <v>252.81</v>
      </c>
      <c r="I249">
        <v>-37.92</v>
      </c>
      <c r="J249">
        <v>219.02</v>
      </c>
      <c r="K249">
        <f t="shared" si="24"/>
        <v>252.81</v>
      </c>
      <c r="L249">
        <f t="shared" si="25"/>
        <v>290.73</v>
      </c>
      <c r="M249">
        <f t="shared" si="26"/>
        <v>-37.92</v>
      </c>
      <c r="N249" t="str">
        <f t="shared" si="27"/>
        <v>Internal P2P Route</v>
      </c>
      <c r="O249" t="str">
        <f t="shared" si="28"/>
        <v>Transfer</v>
      </c>
      <c r="P249" t="str">
        <f t="shared" si="29"/>
        <v>Withdrawal</v>
      </c>
      <c r="Q249">
        <f t="shared" si="30"/>
        <v>184.64</v>
      </c>
      <c r="R249">
        <f t="shared" si="31"/>
        <v>-34.380000000000024</v>
      </c>
    </row>
    <row r="250" spans="1:18" x14ac:dyDescent="0.3">
      <c r="A250" t="s">
        <v>258</v>
      </c>
      <c r="B250" t="s">
        <v>858</v>
      </c>
      <c r="C250" s="4" t="s">
        <v>1120</v>
      </c>
      <c r="D250" t="s">
        <v>1292</v>
      </c>
      <c r="E250" t="s">
        <v>1299</v>
      </c>
      <c r="F250" t="s">
        <v>1312</v>
      </c>
      <c r="G250" s="9">
        <v>305.86</v>
      </c>
      <c r="H250">
        <v>355.98</v>
      </c>
      <c r="I250">
        <v>50.12</v>
      </c>
      <c r="J250">
        <v>321.52</v>
      </c>
      <c r="K250">
        <f t="shared" si="24"/>
        <v>355.98</v>
      </c>
      <c r="L250">
        <f t="shared" si="25"/>
        <v>305.86</v>
      </c>
      <c r="M250">
        <f t="shared" si="26"/>
        <v>50.12</v>
      </c>
      <c r="N250" t="str">
        <f t="shared" si="27"/>
        <v>Netflix Streaming Premium</v>
      </c>
      <c r="O250" t="str">
        <f t="shared" si="28"/>
        <v>Entertainment</v>
      </c>
      <c r="P250" t="str">
        <f t="shared" si="29"/>
        <v>Deposit</v>
      </c>
      <c r="Q250">
        <f t="shared" si="30"/>
        <v>305.86</v>
      </c>
      <c r="R250">
        <f t="shared" si="31"/>
        <v>-15.659999999999968</v>
      </c>
    </row>
    <row r="251" spans="1:18" x14ac:dyDescent="0.3">
      <c r="A251" t="s">
        <v>259</v>
      </c>
      <c r="B251" t="s">
        <v>901</v>
      </c>
      <c r="C251" s="4" t="s">
        <v>1121</v>
      </c>
      <c r="D251" t="s">
        <v>1292</v>
      </c>
      <c r="E251" t="s">
        <v>1295</v>
      </c>
      <c r="F251" t="s">
        <v>1313</v>
      </c>
      <c r="G251" s="9">
        <v>1000.52</v>
      </c>
      <c r="H251">
        <v>1223.2</v>
      </c>
      <c r="I251">
        <v>222.68</v>
      </c>
      <c r="J251">
        <v>1195.92</v>
      </c>
      <c r="K251">
        <f t="shared" si="24"/>
        <v>1223.2</v>
      </c>
      <c r="L251">
        <f t="shared" si="25"/>
        <v>1000.52</v>
      </c>
      <c r="M251">
        <f t="shared" si="26"/>
        <v>222.68</v>
      </c>
      <c r="N251" t="str">
        <f t="shared" si="27"/>
        <v>Fresh &amp; Fast Logistics</v>
      </c>
      <c r="O251" t="str">
        <f t="shared" si="28"/>
        <v>Groceries</v>
      </c>
      <c r="P251" t="str">
        <f t="shared" si="29"/>
        <v>Deposit</v>
      </c>
      <c r="Q251">
        <f t="shared" si="30"/>
        <v>1000.52</v>
      </c>
      <c r="R251">
        <f t="shared" si="31"/>
        <v>-195.40000000000009</v>
      </c>
    </row>
    <row r="252" spans="1:18" x14ac:dyDescent="0.3">
      <c r="A252" t="s">
        <v>260</v>
      </c>
      <c r="B252" t="s">
        <v>902</v>
      </c>
      <c r="C252" s="4" t="s">
        <v>1099</v>
      </c>
      <c r="D252" t="s">
        <v>1291</v>
      </c>
      <c r="E252" t="s">
        <v>1298</v>
      </c>
      <c r="F252" t="s">
        <v>1310</v>
      </c>
      <c r="G252" s="9">
        <v>273.69</v>
      </c>
      <c r="H252">
        <v>318.99</v>
      </c>
      <c r="I252">
        <v>-47.85</v>
      </c>
      <c r="J252">
        <v>308.3</v>
      </c>
      <c r="K252">
        <f t="shared" si="24"/>
        <v>318.99</v>
      </c>
      <c r="L252">
        <f t="shared" si="25"/>
        <v>366.84000000000003</v>
      </c>
      <c r="M252">
        <f t="shared" si="26"/>
        <v>-47.85</v>
      </c>
      <c r="N252" t="str">
        <f t="shared" si="27"/>
        <v>Zelle Payment Engine</v>
      </c>
      <c r="O252" t="str">
        <f t="shared" si="28"/>
        <v>Transfer</v>
      </c>
      <c r="P252" t="str">
        <f t="shared" si="29"/>
        <v>Withdrawal</v>
      </c>
      <c r="Q252">
        <f t="shared" si="30"/>
        <v>273.69</v>
      </c>
      <c r="R252">
        <f t="shared" si="31"/>
        <v>-34.610000000000014</v>
      </c>
    </row>
    <row r="253" spans="1:18" x14ac:dyDescent="0.3">
      <c r="A253" t="s">
        <v>261</v>
      </c>
      <c r="B253" t="s">
        <v>882</v>
      </c>
      <c r="C253" s="4" t="s">
        <v>1100</v>
      </c>
      <c r="D253" t="s">
        <v>1292</v>
      </c>
      <c r="E253" t="s">
        <v>1296</v>
      </c>
      <c r="F253" t="s">
        <v>1308</v>
      </c>
      <c r="G253" s="9">
        <v>6205.86</v>
      </c>
      <c r="H253">
        <v>7887.63</v>
      </c>
      <c r="I253">
        <v>1681.77</v>
      </c>
      <c r="J253">
        <v>6361.35</v>
      </c>
      <c r="K253">
        <f t="shared" si="24"/>
        <v>7887.63</v>
      </c>
      <c r="L253">
        <f t="shared" si="25"/>
        <v>6205.8600000000006</v>
      </c>
      <c r="M253">
        <f t="shared" si="26"/>
        <v>1681.77</v>
      </c>
      <c r="N253" t="str">
        <f t="shared" si="27"/>
        <v>Stark Retail Labs</v>
      </c>
      <c r="O253" t="str">
        <f t="shared" si="28"/>
        <v>Salary</v>
      </c>
      <c r="P253" t="str">
        <f t="shared" si="29"/>
        <v>Deposit</v>
      </c>
      <c r="Q253">
        <f t="shared" si="30"/>
        <v>6205.86</v>
      </c>
      <c r="R253">
        <f t="shared" si="31"/>
        <v>-155.49000000000069</v>
      </c>
    </row>
    <row r="254" spans="1:18" x14ac:dyDescent="0.3">
      <c r="A254" t="s">
        <v>262</v>
      </c>
      <c r="B254" t="s">
        <v>810</v>
      </c>
      <c r="C254" s="4" t="s">
        <v>1101</v>
      </c>
      <c r="D254" t="s">
        <v>1292</v>
      </c>
      <c r="E254" t="s">
        <v>1293</v>
      </c>
      <c r="F254" t="s">
        <v>1300</v>
      </c>
      <c r="G254" s="9">
        <v>158.31</v>
      </c>
      <c r="H254">
        <v>191.19</v>
      </c>
      <c r="I254">
        <v>32.880000000000003</v>
      </c>
      <c r="J254">
        <v>189.74</v>
      </c>
      <c r="K254">
        <f t="shared" si="24"/>
        <v>191.19</v>
      </c>
      <c r="L254">
        <f t="shared" si="25"/>
        <v>158.31</v>
      </c>
      <c r="M254">
        <f t="shared" si="26"/>
        <v>32.880000000000003</v>
      </c>
      <c r="N254" t="str">
        <f t="shared" si="27"/>
        <v>State Hydro Grid</v>
      </c>
      <c r="O254" t="str">
        <f t="shared" si="28"/>
        <v>Utilities</v>
      </c>
      <c r="P254" t="str">
        <f t="shared" si="29"/>
        <v>Deposit</v>
      </c>
      <c r="Q254">
        <f t="shared" si="30"/>
        <v>158.31</v>
      </c>
      <c r="R254">
        <f t="shared" si="31"/>
        <v>-31.430000000000007</v>
      </c>
    </row>
    <row r="255" spans="1:18" x14ac:dyDescent="0.3">
      <c r="A255" t="s">
        <v>263</v>
      </c>
      <c r="B255" t="s">
        <v>896</v>
      </c>
      <c r="C255" s="4" t="s">
        <v>948</v>
      </c>
      <c r="D255" t="s">
        <v>1292</v>
      </c>
      <c r="E255" t="s">
        <v>1295</v>
      </c>
      <c r="F255" t="s">
        <v>1304</v>
      </c>
      <c r="G255" s="9">
        <v>50.67</v>
      </c>
      <c r="H255">
        <v>58.31</v>
      </c>
      <c r="I255">
        <v>7.64</v>
      </c>
      <c r="J255">
        <v>56.93</v>
      </c>
      <c r="K255">
        <f t="shared" si="24"/>
        <v>58.31</v>
      </c>
      <c r="L255">
        <f t="shared" si="25"/>
        <v>50.67</v>
      </c>
      <c r="M255">
        <f t="shared" si="26"/>
        <v>7.64</v>
      </c>
      <c r="N255" t="str">
        <f t="shared" si="27"/>
        <v>Whole Foods Store</v>
      </c>
      <c r="O255" t="str">
        <f t="shared" si="28"/>
        <v>Groceries</v>
      </c>
      <c r="P255" t="str">
        <f t="shared" si="29"/>
        <v>Deposit</v>
      </c>
      <c r="Q255">
        <f t="shared" si="30"/>
        <v>50.67</v>
      </c>
      <c r="R255">
        <f t="shared" si="31"/>
        <v>-6.259999999999998</v>
      </c>
    </row>
    <row r="256" spans="1:18" x14ac:dyDescent="0.3">
      <c r="A256" t="s">
        <v>264</v>
      </c>
      <c r="B256" t="s">
        <v>903</v>
      </c>
      <c r="C256" s="4" t="s">
        <v>951</v>
      </c>
      <c r="D256" t="s">
        <v>1291</v>
      </c>
      <c r="E256" t="s">
        <v>1298</v>
      </c>
      <c r="F256" t="s">
        <v>1310</v>
      </c>
      <c r="G256" s="9">
        <v>617.29999999999995</v>
      </c>
      <c r="H256">
        <v>728.41</v>
      </c>
      <c r="I256">
        <v>-109.26</v>
      </c>
      <c r="J256">
        <v>630.44000000000005</v>
      </c>
      <c r="K256">
        <f t="shared" si="24"/>
        <v>728.41</v>
      </c>
      <c r="L256">
        <f t="shared" si="25"/>
        <v>837.67</v>
      </c>
      <c r="M256">
        <f t="shared" si="26"/>
        <v>-109.26</v>
      </c>
      <c r="N256" t="str">
        <f t="shared" si="27"/>
        <v>Zelle Payment Engine</v>
      </c>
      <c r="O256" t="str">
        <f t="shared" si="28"/>
        <v>Transfer</v>
      </c>
      <c r="P256" t="str">
        <f t="shared" si="29"/>
        <v>Withdrawal</v>
      </c>
      <c r="Q256">
        <f t="shared" si="30"/>
        <v>617.29999999999995</v>
      </c>
      <c r="R256">
        <f t="shared" si="31"/>
        <v>-13.1400000000001</v>
      </c>
    </row>
    <row r="257" spans="1:18" x14ac:dyDescent="0.3">
      <c r="A257" t="s">
        <v>265</v>
      </c>
      <c r="B257" t="s">
        <v>875</v>
      </c>
      <c r="C257" s="4" t="s">
        <v>1122</v>
      </c>
      <c r="D257" t="s">
        <v>1292</v>
      </c>
      <c r="E257" t="s">
        <v>1296</v>
      </c>
      <c r="F257" t="s">
        <v>1308</v>
      </c>
      <c r="G257" s="9">
        <v>7853.62</v>
      </c>
      <c r="H257">
        <v>10498.53</v>
      </c>
      <c r="I257">
        <v>2644.91</v>
      </c>
      <c r="J257">
        <v>7593.03</v>
      </c>
      <c r="K257">
        <f t="shared" si="24"/>
        <v>10498.53</v>
      </c>
      <c r="L257">
        <f t="shared" si="25"/>
        <v>7853.6200000000008</v>
      </c>
      <c r="M257">
        <f t="shared" si="26"/>
        <v>2644.91</v>
      </c>
      <c r="N257" t="str">
        <f t="shared" si="27"/>
        <v>Stark Retail Labs</v>
      </c>
      <c r="O257" t="str">
        <f t="shared" si="28"/>
        <v>Salary</v>
      </c>
      <c r="P257" t="str">
        <f t="shared" si="29"/>
        <v>Deposit</v>
      </c>
      <c r="Q257">
        <f t="shared" si="30"/>
        <v>7853.62</v>
      </c>
      <c r="R257">
        <f t="shared" si="31"/>
        <v>260.59000000000015</v>
      </c>
    </row>
    <row r="258" spans="1:18" x14ac:dyDescent="0.3">
      <c r="A258" t="s">
        <v>266</v>
      </c>
      <c r="B258" t="s">
        <v>859</v>
      </c>
      <c r="C258" s="4" t="s">
        <v>1123</v>
      </c>
      <c r="D258" t="s">
        <v>1291</v>
      </c>
      <c r="E258" t="s">
        <v>1295</v>
      </c>
      <c r="F258" t="s">
        <v>1304</v>
      </c>
      <c r="G258" s="9">
        <v>1092.52</v>
      </c>
      <c r="H258">
        <v>1504.52</v>
      </c>
      <c r="I258">
        <v>-225.68</v>
      </c>
      <c r="J258">
        <v>1058.3699999999999</v>
      </c>
      <c r="K258">
        <f t="shared" si="24"/>
        <v>1504.52</v>
      </c>
      <c r="L258">
        <f t="shared" si="25"/>
        <v>1730.2</v>
      </c>
      <c r="M258">
        <f t="shared" si="26"/>
        <v>-225.68</v>
      </c>
      <c r="N258" t="str">
        <f t="shared" si="27"/>
        <v>Whole Foods Store</v>
      </c>
      <c r="O258" t="str">
        <f t="shared" si="28"/>
        <v>Groceries</v>
      </c>
      <c r="P258" t="str">
        <f t="shared" si="29"/>
        <v>Withdrawal</v>
      </c>
      <c r="Q258">
        <f t="shared" si="30"/>
        <v>1092.52</v>
      </c>
      <c r="R258">
        <f t="shared" si="31"/>
        <v>34.150000000000091</v>
      </c>
    </row>
    <row r="259" spans="1:18" x14ac:dyDescent="0.3">
      <c r="A259" t="s">
        <v>267</v>
      </c>
      <c r="B259" t="s">
        <v>851</v>
      </c>
      <c r="C259" s="4" t="s">
        <v>1124</v>
      </c>
      <c r="D259" t="s">
        <v>1291</v>
      </c>
      <c r="E259" t="s">
        <v>1297</v>
      </c>
      <c r="F259" t="s">
        <v>1319</v>
      </c>
      <c r="G259" s="9">
        <v>94.47</v>
      </c>
      <c r="H259">
        <v>109.42</v>
      </c>
      <c r="I259">
        <v>-16.41</v>
      </c>
      <c r="J259">
        <v>105.78</v>
      </c>
      <c r="K259">
        <f t="shared" ref="K259:K322" si="32">IF(H259,H259,AVERAGE($H$2:$H$35))</f>
        <v>109.42</v>
      </c>
      <c r="L259">
        <f t="shared" ref="L259:L322" si="33">K259-M259</f>
        <v>125.83</v>
      </c>
      <c r="M259">
        <f t="shared" ref="M259:M322" si="34">IF(I259,I259,AVERAGE($I$2:$I$68))</f>
        <v>-16.41</v>
      </c>
      <c r="N259" t="str">
        <f t="shared" ref="N259:N322" si="35">PROPER(F259)</f>
        <v>Starbucks Hub Cafe</v>
      </c>
      <c r="O259" t="str">
        <f t="shared" ref="O259:O322" si="36">PROPER(E259)</f>
        <v>Dining Out</v>
      </c>
      <c r="P259" t="str">
        <f t="shared" ref="P259:P322" si="37">PROPER(D259)</f>
        <v>Withdrawal</v>
      </c>
      <c r="Q259">
        <f t="shared" ref="Q259:Q322" si="38">IF(G259,G259,AVERAGE($G$2:$G$31))</f>
        <v>94.47</v>
      </c>
      <c r="R259">
        <f t="shared" ref="R259:R322" si="39">Q259-J259</f>
        <v>-11.310000000000002</v>
      </c>
    </row>
    <row r="260" spans="1:18" x14ac:dyDescent="0.3">
      <c r="A260" t="s">
        <v>268</v>
      </c>
      <c r="B260" t="s">
        <v>875</v>
      </c>
      <c r="C260" s="4" t="s">
        <v>1106</v>
      </c>
      <c r="D260" t="s">
        <v>1292</v>
      </c>
      <c r="E260" t="s">
        <v>1295</v>
      </c>
      <c r="F260" t="s">
        <v>1302</v>
      </c>
      <c r="G260" s="9">
        <v>137.28</v>
      </c>
      <c r="H260">
        <v>164.55</v>
      </c>
      <c r="I260">
        <v>27.27</v>
      </c>
      <c r="J260">
        <v>161.36000000000001</v>
      </c>
      <c r="K260">
        <f t="shared" si="32"/>
        <v>164.55</v>
      </c>
      <c r="L260">
        <f t="shared" si="33"/>
        <v>137.28</v>
      </c>
      <c r="M260">
        <f t="shared" si="34"/>
        <v>27.27</v>
      </c>
      <c r="N260" t="str">
        <f t="shared" si="35"/>
        <v>Supermart Marketplace</v>
      </c>
      <c r="O260" t="str">
        <f t="shared" si="36"/>
        <v>Groceries</v>
      </c>
      <c r="P260" t="str">
        <f t="shared" si="37"/>
        <v>Deposit</v>
      </c>
      <c r="Q260">
        <f t="shared" si="38"/>
        <v>137.28</v>
      </c>
      <c r="R260">
        <f t="shared" si="39"/>
        <v>-24.080000000000013</v>
      </c>
    </row>
    <row r="261" spans="1:18" x14ac:dyDescent="0.3">
      <c r="A261" t="s">
        <v>269</v>
      </c>
      <c r="B261" t="s">
        <v>904</v>
      </c>
      <c r="C261" s="4" t="s">
        <v>1125</v>
      </c>
      <c r="D261" t="s">
        <v>1292</v>
      </c>
      <c r="E261" t="s">
        <v>1294</v>
      </c>
      <c r="F261" t="s">
        <v>1301</v>
      </c>
      <c r="G261" s="9">
        <v>1193.6500000000001</v>
      </c>
      <c r="H261">
        <v>1665.68</v>
      </c>
      <c r="I261">
        <v>472.03</v>
      </c>
      <c r="J261">
        <v>1082.2</v>
      </c>
      <c r="K261">
        <f t="shared" si="32"/>
        <v>1665.68</v>
      </c>
      <c r="L261">
        <f t="shared" si="33"/>
        <v>1193.6500000000001</v>
      </c>
      <c r="M261">
        <f t="shared" si="34"/>
        <v>472.03</v>
      </c>
      <c r="N261" t="str">
        <f t="shared" si="35"/>
        <v>Amazon Digital Supply</v>
      </c>
      <c r="O261" t="str">
        <f t="shared" si="36"/>
        <v>Online Shopping</v>
      </c>
      <c r="P261" t="str">
        <f t="shared" si="37"/>
        <v>Deposit</v>
      </c>
      <c r="Q261">
        <f t="shared" si="38"/>
        <v>1193.6500000000001</v>
      </c>
      <c r="R261">
        <f t="shared" si="39"/>
        <v>111.45000000000005</v>
      </c>
    </row>
    <row r="262" spans="1:18" x14ac:dyDescent="0.3">
      <c r="A262" t="s">
        <v>270</v>
      </c>
      <c r="B262" t="s">
        <v>896</v>
      </c>
      <c r="C262" s="4" t="s">
        <v>1101</v>
      </c>
      <c r="D262" t="s">
        <v>1291</v>
      </c>
      <c r="E262" t="s">
        <v>1297</v>
      </c>
      <c r="F262" t="s">
        <v>1309</v>
      </c>
      <c r="G262" s="9">
        <v>549.61</v>
      </c>
      <c r="H262">
        <v>749.31</v>
      </c>
      <c r="I262">
        <v>-112.4</v>
      </c>
      <c r="J262">
        <v>613.6</v>
      </c>
      <c r="K262">
        <f t="shared" si="32"/>
        <v>749.31</v>
      </c>
      <c r="L262">
        <f t="shared" si="33"/>
        <v>861.70999999999992</v>
      </c>
      <c r="M262">
        <f t="shared" si="34"/>
        <v>-112.4</v>
      </c>
      <c r="N262" t="str">
        <f t="shared" si="35"/>
        <v>Olive Garden Gourmet</v>
      </c>
      <c r="O262" t="str">
        <f t="shared" si="36"/>
        <v>Dining Out</v>
      </c>
      <c r="P262" t="str">
        <f t="shared" si="37"/>
        <v>Withdrawal</v>
      </c>
      <c r="Q262">
        <f t="shared" si="38"/>
        <v>549.61</v>
      </c>
      <c r="R262">
        <f t="shared" si="39"/>
        <v>-63.990000000000009</v>
      </c>
    </row>
    <row r="263" spans="1:18" x14ac:dyDescent="0.3">
      <c r="A263" t="s">
        <v>271</v>
      </c>
      <c r="B263" t="s">
        <v>862</v>
      </c>
      <c r="C263" s="4" t="s">
        <v>1126</v>
      </c>
      <c r="D263" t="s">
        <v>1292</v>
      </c>
      <c r="E263" t="s">
        <v>1293</v>
      </c>
      <c r="F263" t="s">
        <v>1300</v>
      </c>
      <c r="G263" s="9">
        <v>564.47</v>
      </c>
      <c r="H263">
        <v>760.65</v>
      </c>
      <c r="I263">
        <v>196.18</v>
      </c>
      <c r="J263">
        <v>622.88</v>
      </c>
      <c r="K263">
        <f t="shared" si="32"/>
        <v>760.65</v>
      </c>
      <c r="L263">
        <f t="shared" si="33"/>
        <v>564.47</v>
      </c>
      <c r="M263">
        <f t="shared" si="34"/>
        <v>196.18</v>
      </c>
      <c r="N263" t="str">
        <f t="shared" si="35"/>
        <v>State Hydro Grid</v>
      </c>
      <c r="O263" t="str">
        <f t="shared" si="36"/>
        <v>Utilities</v>
      </c>
      <c r="P263" t="str">
        <f t="shared" si="37"/>
        <v>Deposit</v>
      </c>
      <c r="Q263">
        <f t="shared" si="38"/>
        <v>564.47</v>
      </c>
      <c r="R263">
        <f t="shared" si="39"/>
        <v>-58.409999999999968</v>
      </c>
    </row>
    <row r="264" spans="1:18" x14ac:dyDescent="0.3">
      <c r="A264" t="s">
        <v>272</v>
      </c>
      <c r="B264" t="s">
        <v>800</v>
      </c>
      <c r="C264" s="4" t="s">
        <v>1057</v>
      </c>
      <c r="D264" t="s">
        <v>1291</v>
      </c>
      <c r="E264" t="s">
        <v>1296</v>
      </c>
      <c r="F264" t="s">
        <v>1303</v>
      </c>
      <c r="G264" s="9">
        <v>4675.33</v>
      </c>
      <c r="H264">
        <v>5687.23</v>
      </c>
      <c r="I264">
        <v>-853.08</v>
      </c>
      <c r="J264">
        <v>4597.4399999999996</v>
      </c>
      <c r="K264">
        <f t="shared" si="32"/>
        <v>5687.23</v>
      </c>
      <c r="L264">
        <f t="shared" si="33"/>
        <v>6540.3099999999995</v>
      </c>
      <c r="M264">
        <f t="shared" si="34"/>
        <v>-853.08</v>
      </c>
      <c r="N264" t="str">
        <f t="shared" si="35"/>
        <v>Global Industries Llc</v>
      </c>
      <c r="O264" t="str">
        <f t="shared" si="36"/>
        <v>Salary</v>
      </c>
      <c r="P264" t="str">
        <f t="shared" si="37"/>
        <v>Withdrawal</v>
      </c>
      <c r="Q264">
        <f t="shared" si="38"/>
        <v>4675.33</v>
      </c>
      <c r="R264">
        <f t="shared" si="39"/>
        <v>77.890000000000327</v>
      </c>
    </row>
    <row r="265" spans="1:18" x14ac:dyDescent="0.3">
      <c r="A265" t="s">
        <v>273</v>
      </c>
      <c r="B265" t="s">
        <v>905</v>
      </c>
      <c r="C265" s="4" t="s">
        <v>1127</v>
      </c>
      <c r="D265" t="s">
        <v>1291</v>
      </c>
      <c r="E265" t="s">
        <v>1293</v>
      </c>
      <c r="F265" t="s">
        <v>1300</v>
      </c>
      <c r="G265" s="9">
        <v>1049.49</v>
      </c>
      <c r="H265">
        <v>1228.57</v>
      </c>
      <c r="I265">
        <v>-184.29</v>
      </c>
      <c r="J265">
        <v>1145.69</v>
      </c>
      <c r="K265">
        <f t="shared" si="32"/>
        <v>1228.57</v>
      </c>
      <c r="L265">
        <f t="shared" si="33"/>
        <v>1412.86</v>
      </c>
      <c r="M265">
        <f t="shared" si="34"/>
        <v>-184.29</v>
      </c>
      <c r="N265" t="str">
        <f t="shared" si="35"/>
        <v>State Hydro Grid</v>
      </c>
      <c r="O265" t="str">
        <f t="shared" si="36"/>
        <v>Utilities</v>
      </c>
      <c r="P265" t="str">
        <f t="shared" si="37"/>
        <v>Withdrawal</v>
      </c>
      <c r="Q265">
        <f t="shared" si="38"/>
        <v>1049.49</v>
      </c>
      <c r="R265">
        <f t="shared" si="39"/>
        <v>-96.200000000000045</v>
      </c>
    </row>
    <row r="266" spans="1:18" x14ac:dyDescent="0.3">
      <c r="A266" t="s">
        <v>274</v>
      </c>
      <c r="B266" t="s">
        <v>881</v>
      </c>
      <c r="C266" s="4" t="s">
        <v>1128</v>
      </c>
      <c r="D266" t="s">
        <v>1291</v>
      </c>
      <c r="E266" t="s">
        <v>1295</v>
      </c>
      <c r="F266" t="s">
        <v>1304</v>
      </c>
      <c r="G266" s="9">
        <v>619.13</v>
      </c>
      <c r="H266">
        <v>758.19</v>
      </c>
      <c r="I266">
        <v>-113.73</v>
      </c>
      <c r="J266">
        <v>671.45</v>
      </c>
      <c r="K266">
        <f t="shared" si="32"/>
        <v>758.19</v>
      </c>
      <c r="L266">
        <f t="shared" si="33"/>
        <v>871.92000000000007</v>
      </c>
      <c r="M266">
        <f t="shared" si="34"/>
        <v>-113.73</v>
      </c>
      <c r="N266" t="str">
        <f t="shared" si="35"/>
        <v>Whole Foods Store</v>
      </c>
      <c r="O266" t="str">
        <f t="shared" si="36"/>
        <v>Groceries</v>
      </c>
      <c r="P266" t="str">
        <f t="shared" si="37"/>
        <v>Withdrawal</v>
      </c>
      <c r="Q266">
        <f t="shared" si="38"/>
        <v>619.13</v>
      </c>
      <c r="R266">
        <f t="shared" si="39"/>
        <v>-52.32000000000005</v>
      </c>
    </row>
    <row r="267" spans="1:18" x14ac:dyDescent="0.3">
      <c r="A267" t="s">
        <v>275</v>
      </c>
      <c r="B267" t="s">
        <v>878</v>
      </c>
      <c r="C267" s="4" t="s">
        <v>1129</v>
      </c>
      <c r="D267" t="s">
        <v>1291</v>
      </c>
      <c r="E267" t="s">
        <v>1298</v>
      </c>
      <c r="F267" t="s">
        <v>1317</v>
      </c>
      <c r="G267" s="9">
        <v>129.68</v>
      </c>
      <c r="H267">
        <v>178.25</v>
      </c>
      <c r="I267">
        <v>-26.74</v>
      </c>
      <c r="J267">
        <v>152.87</v>
      </c>
      <c r="K267">
        <f t="shared" si="32"/>
        <v>178.25</v>
      </c>
      <c r="L267">
        <f t="shared" si="33"/>
        <v>204.99</v>
      </c>
      <c r="M267">
        <f t="shared" si="34"/>
        <v>-26.74</v>
      </c>
      <c r="N267" t="str">
        <f t="shared" si="35"/>
        <v>External Wire Clearance</v>
      </c>
      <c r="O267" t="str">
        <f t="shared" si="36"/>
        <v>Transfer</v>
      </c>
      <c r="P267" t="str">
        <f t="shared" si="37"/>
        <v>Withdrawal</v>
      </c>
      <c r="Q267">
        <f t="shared" si="38"/>
        <v>129.68</v>
      </c>
      <c r="R267">
        <f t="shared" si="39"/>
        <v>-23.189999999999998</v>
      </c>
    </row>
    <row r="268" spans="1:18" x14ac:dyDescent="0.3">
      <c r="A268" t="s">
        <v>276</v>
      </c>
      <c r="B268" t="s">
        <v>879</v>
      </c>
      <c r="C268" s="4" t="s">
        <v>1130</v>
      </c>
      <c r="D268" t="s">
        <v>1292</v>
      </c>
      <c r="E268" t="s">
        <v>1294</v>
      </c>
      <c r="F268" t="s">
        <v>1314</v>
      </c>
      <c r="G268" s="9">
        <v>1182.81</v>
      </c>
      <c r="H268">
        <v>1609.15</v>
      </c>
      <c r="I268">
        <v>426.34</v>
      </c>
      <c r="J268">
        <v>1178.2</v>
      </c>
      <c r="K268">
        <f t="shared" si="32"/>
        <v>1609.15</v>
      </c>
      <c r="L268">
        <f t="shared" si="33"/>
        <v>1182.8100000000002</v>
      </c>
      <c r="M268">
        <f t="shared" si="34"/>
        <v>426.34</v>
      </c>
      <c r="N268" t="str">
        <f t="shared" si="35"/>
        <v>Target Direct Online</v>
      </c>
      <c r="O268" t="str">
        <f t="shared" si="36"/>
        <v>Online Shopping</v>
      </c>
      <c r="P268" t="str">
        <f t="shared" si="37"/>
        <v>Deposit</v>
      </c>
      <c r="Q268">
        <f t="shared" si="38"/>
        <v>1182.81</v>
      </c>
      <c r="R268">
        <f t="shared" si="39"/>
        <v>4.6099999999999</v>
      </c>
    </row>
    <row r="269" spans="1:18" x14ac:dyDescent="0.3">
      <c r="A269" t="s">
        <v>277</v>
      </c>
      <c r="B269" t="s">
        <v>876</v>
      </c>
      <c r="C269" s="4" t="s">
        <v>1131</v>
      </c>
      <c r="D269" t="s">
        <v>1291</v>
      </c>
      <c r="E269" t="s">
        <v>1297</v>
      </c>
      <c r="F269" t="s">
        <v>1305</v>
      </c>
      <c r="G269" s="9">
        <v>405.38</v>
      </c>
      <c r="H269">
        <v>505.65</v>
      </c>
      <c r="I269">
        <v>-75.849999999999994</v>
      </c>
      <c r="J269">
        <v>384.44</v>
      </c>
      <c r="K269">
        <f t="shared" si="32"/>
        <v>505.65</v>
      </c>
      <c r="L269">
        <f t="shared" si="33"/>
        <v>581.5</v>
      </c>
      <c r="M269">
        <f t="shared" si="34"/>
        <v>-75.849999999999994</v>
      </c>
      <c r="N269" t="str">
        <f t="shared" si="35"/>
        <v>Mcdonalds Corp Express</v>
      </c>
      <c r="O269" t="str">
        <f t="shared" si="36"/>
        <v>Dining Out</v>
      </c>
      <c r="P269" t="str">
        <f t="shared" si="37"/>
        <v>Withdrawal</v>
      </c>
      <c r="Q269">
        <f t="shared" si="38"/>
        <v>405.38</v>
      </c>
      <c r="R269">
        <f t="shared" si="39"/>
        <v>20.939999999999998</v>
      </c>
    </row>
    <row r="270" spans="1:18" x14ac:dyDescent="0.3">
      <c r="A270" t="s">
        <v>278</v>
      </c>
      <c r="B270" t="s">
        <v>869</v>
      </c>
      <c r="C270" s="4" t="s">
        <v>939</v>
      </c>
      <c r="D270" t="s">
        <v>1292</v>
      </c>
      <c r="E270" t="s">
        <v>1296</v>
      </c>
      <c r="F270" t="s">
        <v>1307</v>
      </c>
      <c r="G270" s="9">
        <v>9294.39</v>
      </c>
      <c r="H270">
        <v>12393.49</v>
      </c>
      <c r="I270">
        <v>3099.1</v>
      </c>
      <c r="J270">
        <v>9088.9699999999993</v>
      </c>
      <c r="K270">
        <f t="shared" si="32"/>
        <v>12393.49</v>
      </c>
      <c r="L270">
        <f t="shared" si="33"/>
        <v>9294.39</v>
      </c>
      <c r="M270">
        <f t="shared" si="34"/>
        <v>3099.1</v>
      </c>
      <c r="N270" t="str">
        <f t="shared" si="35"/>
        <v>Techcorp Payroll Inc</v>
      </c>
      <c r="O270" t="str">
        <f t="shared" si="36"/>
        <v>Salary</v>
      </c>
      <c r="P270" t="str">
        <f t="shared" si="37"/>
        <v>Deposit</v>
      </c>
      <c r="Q270">
        <f t="shared" si="38"/>
        <v>9294.39</v>
      </c>
      <c r="R270">
        <f t="shared" si="39"/>
        <v>205.42000000000007</v>
      </c>
    </row>
    <row r="271" spans="1:18" x14ac:dyDescent="0.3">
      <c r="A271" t="s">
        <v>279</v>
      </c>
      <c r="B271" t="s">
        <v>886</v>
      </c>
      <c r="C271" s="4" t="s">
        <v>1132</v>
      </c>
      <c r="D271" t="s">
        <v>1291</v>
      </c>
      <c r="E271" t="s">
        <v>1293</v>
      </c>
      <c r="F271" t="s">
        <v>1300</v>
      </c>
      <c r="G271" s="9">
        <v>125.16</v>
      </c>
      <c r="H271">
        <v>146.58000000000001</v>
      </c>
      <c r="I271">
        <v>-21.99</v>
      </c>
      <c r="J271">
        <v>131.78</v>
      </c>
      <c r="K271">
        <f t="shared" si="32"/>
        <v>146.58000000000001</v>
      </c>
      <c r="L271">
        <f t="shared" si="33"/>
        <v>168.57000000000002</v>
      </c>
      <c r="M271">
        <f t="shared" si="34"/>
        <v>-21.99</v>
      </c>
      <c r="N271" t="str">
        <f t="shared" si="35"/>
        <v>State Hydro Grid</v>
      </c>
      <c r="O271" t="str">
        <f t="shared" si="36"/>
        <v>Utilities</v>
      </c>
      <c r="P271" t="str">
        <f t="shared" si="37"/>
        <v>Withdrawal</v>
      </c>
      <c r="Q271">
        <f t="shared" si="38"/>
        <v>125.16</v>
      </c>
      <c r="R271">
        <f t="shared" si="39"/>
        <v>-6.6200000000000045</v>
      </c>
    </row>
    <row r="272" spans="1:18" x14ac:dyDescent="0.3">
      <c r="A272" t="s">
        <v>280</v>
      </c>
      <c r="B272" t="s">
        <v>874</v>
      </c>
      <c r="C272" s="4" t="s">
        <v>1133</v>
      </c>
      <c r="D272" t="s">
        <v>1292</v>
      </c>
      <c r="E272" t="s">
        <v>1295</v>
      </c>
      <c r="F272" t="s">
        <v>1302</v>
      </c>
      <c r="G272" s="9">
        <v>124.12</v>
      </c>
      <c r="H272">
        <v>167.68</v>
      </c>
      <c r="I272">
        <v>43.56</v>
      </c>
      <c r="J272">
        <v>117.46</v>
      </c>
      <c r="K272">
        <f t="shared" si="32"/>
        <v>167.68</v>
      </c>
      <c r="L272">
        <f t="shared" si="33"/>
        <v>124.12</v>
      </c>
      <c r="M272">
        <f t="shared" si="34"/>
        <v>43.56</v>
      </c>
      <c r="N272" t="str">
        <f t="shared" si="35"/>
        <v>Supermart Marketplace</v>
      </c>
      <c r="O272" t="str">
        <f t="shared" si="36"/>
        <v>Groceries</v>
      </c>
      <c r="P272" t="str">
        <f t="shared" si="37"/>
        <v>Deposit</v>
      </c>
      <c r="Q272">
        <f t="shared" si="38"/>
        <v>124.12</v>
      </c>
      <c r="R272">
        <f t="shared" si="39"/>
        <v>6.6600000000000108</v>
      </c>
    </row>
    <row r="273" spans="1:18" x14ac:dyDescent="0.3">
      <c r="A273" t="s">
        <v>281</v>
      </c>
      <c r="B273" t="s">
        <v>853</v>
      </c>
      <c r="C273" s="4" t="s">
        <v>951</v>
      </c>
      <c r="D273" t="s">
        <v>1292</v>
      </c>
      <c r="E273" t="s">
        <v>1295</v>
      </c>
      <c r="F273" t="s">
        <v>1304</v>
      </c>
      <c r="G273" s="9">
        <v>255.56</v>
      </c>
      <c r="H273">
        <v>305.26</v>
      </c>
      <c r="I273">
        <v>49.7</v>
      </c>
      <c r="J273">
        <v>231.4</v>
      </c>
      <c r="K273">
        <f t="shared" si="32"/>
        <v>305.26</v>
      </c>
      <c r="L273">
        <f t="shared" si="33"/>
        <v>255.56</v>
      </c>
      <c r="M273">
        <f t="shared" si="34"/>
        <v>49.7</v>
      </c>
      <c r="N273" t="str">
        <f t="shared" si="35"/>
        <v>Whole Foods Store</v>
      </c>
      <c r="O273" t="str">
        <f t="shared" si="36"/>
        <v>Groceries</v>
      </c>
      <c r="P273" t="str">
        <f t="shared" si="37"/>
        <v>Deposit</v>
      </c>
      <c r="Q273">
        <f t="shared" si="38"/>
        <v>255.56</v>
      </c>
      <c r="R273">
        <f t="shared" si="39"/>
        <v>24.159999999999997</v>
      </c>
    </row>
    <row r="274" spans="1:18" x14ac:dyDescent="0.3">
      <c r="A274" t="s">
        <v>282</v>
      </c>
      <c r="B274" t="s">
        <v>798</v>
      </c>
      <c r="C274" s="4" t="s">
        <v>1134</v>
      </c>
      <c r="D274" t="s">
        <v>1291</v>
      </c>
      <c r="E274" t="s">
        <v>1295</v>
      </c>
      <c r="F274" t="s">
        <v>1302</v>
      </c>
      <c r="G274" s="9">
        <v>995.1</v>
      </c>
      <c r="H274">
        <v>1368.95</v>
      </c>
      <c r="I274">
        <v>-205.34</v>
      </c>
      <c r="J274">
        <v>1121.6199999999999</v>
      </c>
      <c r="K274">
        <f t="shared" si="32"/>
        <v>1368.95</v>
      </c>
      <c r="L274">
        <f t="shared" si="33"/>
        <v>1574.29</v>
      </c>
      <c r="M274">
        <f t="shared" si="34"/>
        <v>-205.34</v>
      </c>
      <c r="N274" t="str">
        <f t="shared" si="35"/>
        <v>Supermart Marketplace</v>
      </c>
      <c r="O274" t="str">
        <f t="shared" si="36"/>
        <v>Groceries</v>
      </c>
      <c r="P274" t="str">
        <f t="shared" si="37"/>
        <v>Withdrawal</v>
      </c>
      <c r="Q274">
        <f t="shared" si="38"/>
        <v>995.1</v>
      </c>
      <c r="R274">
        <f t="shared" si="39"/>
        <v>-126.51999999999987</v>
      </c>
    </row>
    <row r="275" spans="1:18" x14ac:dyDescent="0.3">
      <c r="A275" t="s">
        <v>283</v>
      </c>
      <c r="B275" t="s">
        <v>906</v>
      </c>
      <c r="C275" s="4" t="s">
        <v>1094</v>
      </c>
      <c r="D275" t="s">
        <v>1292</v>
      </c>
      <c r="E275" t="s">
        <v>1297</v>
      </c>
      <c r="F275" t="s">
        <v>1309</v>
      </c>
      <c r="G275" s="9">
        <v>670.74</v>
      </c>
      <c r="H275">
        <v>792.08</v>
      </c>
      <c r="I275">
        <v>121.34</v>
      </c>
      <c r="J275">
        <v>732.84</v>
      </c>
      <c r="K275">
        <f t="shared" si="32"/>
        <v>792.08</v>
      </c>
      <c r="L275">
        <f t="shared" si="33"/>
        <v>670.74</v>
      </c>
      <c r="M275">
        <f t="shared" si="34"/>
        <v>121.34</v>
      </c>
      <c r="N275" t="str">
        <f t="shared" si="35"/>
        <v>Olive Garden Gourmet</v>
      </c>
      <c r="O275" t="str">
        <f t="shared" si="36"/>
        <v>Dining Out</v>
      </c>
      <c r="P275" t="str">
        <f t="shared" si="37"/>
        <v>Deposit</v>
      </c>
      <c r="Q275">
        <f t="shared" si="38"/>
        <v>670.74</v>
      </c>
      <c r="R275">
        <f t="shared" si="39"/>
        <v>-62.100000000000023</v>
      </c>
    </row>
    <row r="276" spans="1:18" x14ac:dyDescent="0.3">
      <c r="A276" t="s">
        <v>284</v>
      </c>
      <c r="B276" t="s">
        <v>865</v>
      </c>
      <c r="C276" s="4" t="s">
        <v>1110</v>
      </c>
      <c r="D276" t="s">
        <v>1291</v>
      </c>
      <c r="E276" t="s">
        <v>1293</v>
      </c>
      <c r="F276" t="s">
        <v>1320</v>
      </c>
      <c r="G276" s="9">
        <v>1156.98</v>
      </c>
      <c r="H276">
        <v>1527.46</v>
      </c>
      <c r="I276">
        <v>-229.12</v>
      </c>
      <c r="J276">
        <v>1078.23</v>
      </c>
      <c r="K276">
        <f t="shared" si="32"/>
        <v>1527.46</v>
      </c>
      <c r="L276">
        <f t="shared" si="33"/>
        <v>1756.58</v>
      </c>
      <c r="M276">
        <f t="shared" si="34"/>
        <v>-229.12</v>
      </c>
      <c r="N276" t="str">
        <f t="shared" si="35"/>
        <v>City Power &amp; Gas Co</v>
      </c>
      <c r="O276" t="str">
        <f t="shared" si="36"/>
        <v>Utilities</v>
      </c>
      <c r="P276" t="str">
        <f t="shared" si="37"/>
        <v>Withdrawal</v>
      </c>
      <c r="Q276">
        <f t="shared" si="38"/>
        <v>1156.98</v>
      </c>
      <c r="R276">
        <f t="shared" si="39"/>
        <v>78.75</v>
      </c>
    </row>
    <row r="277" spans="1:18" x14ac:dyDescent="0.3">
      <c r="A277" t="s">
        <v>285</v>
      </c>
      <c r="B277" t="s">
        <v>835</v>
      </c>
      <c r="C277" s="4" t="s">
        <v>951</v>
      </c>
      <c r="D277" t="s">
        <v>1292</v>
      </c>
      <c r="E277" t="s">
        <v>1299</v>
      </c>
      <c r="F277" t="s">
        <v>1312</v>
      </c>
      <c r="G277" s="9">
        <v>522.29</v>
      </c>
      <c r="H277">
        <v>690.65</v>
      </c>
      <c r="I277">
        <v>168.36</v>
      </c>
      <c r="J277">
        <v>546.75</v>
      </c>
      <c r="K277">
        <f t="shared" si="32"/>
        <v>690.65</v>
      </c>
      <c r="L277">
        <f t="shared" si="33"/>
        <v>522.29</v>
      </c>
      <c r="M277">
        <f t="shared" si="34"/>
        <v>168.36</v>
      </c>
      <c r="N277" t="str">
        <f t="shared" si="35"/>
        <v>Netflix Streaming Premium</v>
      </c>
      <c r="O277" t="str">
        <f t="shared" si="36"/>
        <v>Entertainment</v>
      </c>
      <c r="P277" t="str">
        <f t="shared" si="37"/>
        <v>Deposit</v>
      </c>
      <c r="Q277">
        <f t="shared" si="38"/>
        <v>522.29</v>
      </c>
      <c r="R277">
        <f t="shared" si="39"/>
        <v>-24.460000000000036</v>
      </c>
    </row>
    <row r="278" spans="1:18" x14ac:dyDescent="0.3">
      <c r="A278" t="s">
        <v>286</v>
      </c>
      <c r="B278" t="s">
        <v>893</v>
      </c>
      <c r="C278" s="4" t="s">
        <v>1135</v>
      </c>
      <c r="D278" t="s">
        <v>1292</v>
      </c>
      <c r="E278" t="s">
        <v>1295</v>
      </c>
      <c r="F278" t="s">
        <v>1302</v>
      </c>
      <c r="G278" s="9">
        <v>303.45</v>
      </c>
      <c r="H278">
        <v>366.17</v>
      </c>
      <c r="I278">
        <v>62.72</v>
      </c>
      <c r="J278">
        <v>305.60000000000002</v>
      </c>
      <c r="K278">
        <f t="shared" si="32"/>
        <v>366.17</v>
      </c>
      <c r="L278">
        <f t="shared" si="33"/>
        <v>303.45000000000005</v>
      </c>
      <c r="M278">
        <f t="shared" si="34"/>
        <v>62.72</v>
      </c>
      <c r="N278" t="str">
        <f t="shared" si="35"/>
        <v>Supermart Marketplace</v>
      </c>
      <c r="O278" t="str">
        <f t="shared" si="36"/>
        <v>Groceries</v>
      </c>
      <c r="P278" t="str">
        <f t="shared" si="37"/>
        <v>Deposit</v>
      </c>
      <c r="Q278">
        <f t="shared" si="38"/>
        <v>303.45</v>
      </c>
      <c r="R278">
        <f t="shared" si="39"/>
        <v>-2.1500000000000341</v>
      </c>
    </row>
    <row r="279" spans="1:18" x14ac:dyDescent="0.3">
      <c r="A279" t="s">
        <v>287</v>
      </c>
      <c r="B279" t="s">
        <v>824</v>
      </c>
      <c r="C279" s="4" t="s">
        <v>1062</v>
      </c>
      <c r="D279" t="s">
        <v>1292</v>
      </c>
      <c r="E279" t="s">
        <v>1293</v>
      </c>
      <c r="F279" t="s">
        <v>1300</v>
      </c>
      <c r="G279" s="9">
        <v>1022.11</v>
      </c>
      <c r="H279">
        <v>1409.71</v>
      </c>
      <c r="I279">
        <v>387.6</v>
      </c>
      <c r="J279">
        <v>990.35</v>
      </c>
      <c r="K279">
        <f t="shared" si="32"/>
        <v>1409.71</v>
      </c>
      <c r="L279">
        <f t="shared" si="33"/>
        <v>1022.11</v>
      </c>
      <c r="M279">
        <f t="shared" si="34"/>
        <v>387.6</v>
      </c>
      <c r="N279" t="str">
        <f t="shared" si="35"/>
        <v>State Hydro Grid</v>
      </c>
      <c r="O279" t="str">
        <f t="shared" si="36"/>
        <v>Utilities</v>
      </c>
      <c r="P279" t="str">
        <f t="shared" si="37"/>
        <v>Deposit</v>
      </c>
      <c r="Q279">
        <f t="shared" si="38"/>
        <v>1022.11</v>
      </c>
      <c r="R279">
        <f t="shared" si="39"/>
        <v>31.759999999999991</v>
      </c>
    </row>
    <row r="280" spans="1:18" x14ac:dyDescent="0.3">
      <c r="A280" t="s">
        <v>288</v>
      </c>
      <c r="B280" t="s">
        <v>873</v>
      </c>
      <c r="C280" s="4" t="s">
        <v>1136</v>
      </c>
      <c r="D280" t="s">
        <v>1291</v>
      </c>
      <c r="E280" t="s">
        <v>1295</v>
      </c>
      <c r="F280" t="s">
        <v>1313</v>
      </c>
      <c r="G280" s="9">
        <v>789.61</v>
      </c>
      <c r="H280">
        <v>1047.6300000000001</v>
      </c>
      <c r="I280">
        <v>-157.13999999999999</v>
      </c>
      <c r="J280">
        <v>719.26</v>
      </c>
      <c r="K280">
        <f t="shared" si="32"/>
        <v>1047.6300000000001</v>
      </c>
      <c r="L280">
        <f t="shared" si="33"/>
        <v>1204.77</v>
      </c>
      <c r="M280">
        <f t="shared" si="34"/>
        <v>-157.13999999999999</v>
      </c>
      <c r="N280" t="str">
        <f t="shared" si="35"/>
        <v>Fresh &amp; Fast Logistics</v>
      </c>
      <c r="O280" t="str">
        <f t="shared" si="36"/>
        <v>Groceries</v>
      </c>
      <c r="P280" t="str">
        <f t="shared" si="37"/>
        <v>Withdrawal</v>
      </c>
      <c r="Q280">
        <f t="shared" si="38"/>
        <v>789.61</v>
      </c>
      <c r="R280">
        <f t="shared" si="39"/>
        <v>70.350000000000023</v>
      </c>
    </row>
    <row r="281" spans="1:18" x14ac:dyDescent="0.3">
      <c r="A281" t="s">
        <v>289</v>
      </c>
      <c r="B281" t="s">
        <v>821</v>
      </c>
      <c r="C281" s="4" t="s">
        <v>1030</v>
      </c>
      <c r="D281" t="s">
        <v>1292</v>
      </c>
      <c r="E281" t="s">
        <v>1298</v>
      </c>
      <c r="F281" t="s">
        <v>1306</v>
      </c>
      <c r="G281" s="9">
        <v>127.85</v>
      </c>
      <c r="H281">
        <v>151.94999999999999</v>
      </c>
      <c r="I281">
        <v>24.1</v>
      </c>
      <c r="J281">
        <v>116.74</v>
      </c>
      <c r="K281">
        <f t="shared" si="32"/>
        <v>151.94999999999999</v>
      </c>
      <c r="L281">
        <f t="shared" si="33"/>
        <v>127.85</v>
      </c>
      <c r="M281">
        <f t="shared" si="34"/>
        <v>24.1</v>
      </c>
      <c r="N281" t="str">
        <f t="shared" si="35"/>
        <v>Internal P2P Route</v>
      </c>
      <c r="O281" t="str">
        <f t="shared" si="36"/>
        <v>Transfer</v>
      </c>
      <c r="P281" t="str">
        <f t="shared" si="37"/>
        <v>Deposit</v>
      </c>
      <c r="Q281">
        <f t="shared" si="38"/>
        <v>127.85</v>
      </c>
      <c r="R281">
        <f t="shared" si="39"/>
        <v>11.11</v>
      </c>
    </row>
    <row r="282" spans="1:18" x14ac:dyDescent="0.3">
      <c r="A282" t="s">
        <v>290</v>
      </c>
      <c r="B282" t="s">
        <v>819</v>
      </c>
      <c r="C282" s="4" t="s">
        <v>1010</v>
      </c>
      <c r="D282" t="s">
        <v>1291</v>
      </c>
      <c r="E282" t="s">
        <v>1298</v>
      </c>
      <c r="F282" t="s">
        <v>1317</v>
      </c>
      <c r="G282" s="9">
        <v>796.55</v>
      </c>
      <c r="H282">
        <v>960.01</v>
      </c>
      <c r="I282">
        <v>-144</v>
      </c>
      <c r="J282">
        <v>793.71</v>
      </c>
      <c r="K282">
        <f t="shared" si="32"/>
        <v>960.01</v>
      </c>
      <c r="L282">
        <f t="shared" si="33"/>
        <v>1104.01</v>
      </c>
      <c r="M282">
        <f t="shared" si="34"/>
        <v>-144</v>
      </c>
      <c r="N282" t="str">
        <f t="shared" si="35"/>
        <v>External Wire Clearance</v>
      </c>
      <c r="O282" t="str">
        <f t="shared" si="36"/>
        <v>Transfer</v>
      </c>
      <c r="P282" t="str">
        <f t="shared" si="37"/>
        <v>Withdrawal</v>
      </c>
      <c r="Q282">
        <f t="shared" si="38"/>
        <v>796.55</v>
      </c>
      <c r="R282">
        <f t="shared" si="39"/>
        <v>2.8399999999999181</v>
      </c>
    </row>
    <row r="283" spans="1:18" x14ac:dyDescent="0.3">
      <c r="A283" t="s">
        <v>291</v>
      </c>
      <c r="B283" t="s">
        <v>899</v>
      </c>
      <c r="C283" s="4" t="s">
        <v>1089</v>
      </c>
      <c r="D283" t="s">
        <v>1291</v>
      </c>
      <c r="E283" t="s">
        <v>1293</v>
      </c>
      <c r="F283" t="s">
        <v>1318</v>
      </c>
      <c r="G283" s="9">
        <v>866.2</v>
      </c>
      <c r="H283">
        <v>1186.08</v>
      </c>
      <c r="I283">
        <v>-177.91</v>
      </c>
      <c r="J283">
        <v>1021.44</v>
      </c>
      <c r="K283">
        <f t="shared" si="32"/>
        <v>1186.08</v>
      </c>
      <c r="L283">
        <f t="shared" si="33"/>
        <v>1363.99</v>
      </c>
      <c r="M283">
        <f t="shared" si="34"/>
        <v>-177.91</v>
      </c>
      <c r="N283" t="str">
        <f t="shared" si="35"/>
        <v>Metropolitan Water Sewer</v>
      </c>
      <c r="O283" t="str">
        <f t="shared" si="36"/>
        <v>Utilities</v>
      </c>
      <c r="P283" t="str">
        <f t="shared" si="37"/>
        <v>Withdrawal</v>
      </c>
      <c r="Q283">
        <f t="shared" si="38"/>
        <v>866.2</v>
      </c>
      <c r="R283">
        <f t="shared" si="39"/>
        <v>-155.24</v>
      </c>
    </row>
    <row r="284" spans="1:18" x14ac:dyDescent="0.3">
      <c r="A284" t="s">
        <v>292</v>
      </c>
      <c r="B284" t="s">
        <v>907</v>
      </c>
      <c r="C284" s="4" t="s">
        <v>1137</v>
      </c>
      <c r="D284" t="s">
        <v>1292</v>
      </c>
      <c r="E284" t="s">
        <v>1299</v>
      </c>
      <c r="F284" t="s">
        <v>1311</v>
      </c>
      <c r="G284" s="9">
        <v>165.38</v>
      </c>
      <c r="H284">
        <v>224.63</v>
      </c>
      <c r="I284">
        <v>59.25</v>
      </c>
      <c r="J284">
        <v>159.75</v>
      </c>
      <c r="K284">
        <f t="shared" si="32"/>
        <v>224.63</v>
      </c>
      <c r="L284">
        <f t="shared" si="33"/>
        <v>165.38</v>
      </c>
      <c r="M284">
        <f t="shared" si="34"/>
        <v>59.25</v>
      </c>
      <c r="N284" t="str">
        <f t="shared" si="35"/>
        <v>Spotify Music Hub</v>
      </c>
      <c r="O284" t="str">
        <f t="shared" si="36"/>
        <v>Entertainment</v>
      </c>
      <c r="P284" t="str">
        <f t="shared" si="37"/>
        <v>Deposit</v>
      </c>
      <c r="Q284">
        <f t="shared" si="38"/>
        <v>165.38</v>
      </c>
      <c r="R284">
        <f t="shared" si="39"/>
        <v>5.6299999999999955</v>
      </c>
    </row>
    <row r="285" spans="1:18" x14ac:dyDescent="0.3">
      <c r="A285" t="s">
        <v>293</v>
      </c>
      <c r="B285" t="s">
        <v>848</v>
      </c>
      <c r="C285" s="4" t="s">
        <v>1067</v>
      </c>
      <c r="D285" t="s">
        <v>1292</v>
      </c>
      <c r="E285" t="s">
        <v>1299</v>
      </c>
      <c r="F285" t="s">
        <v>1316</v>
      </c>
      <c r="G285" s="9">
        <v>854.39</v>
      </c>
      <c r="H285">
        <v>1143.6300000000001</v>
      </c>
      <c r="I285">
        <v>289.24</v>
      </c>
      <c r="J285">
        <v>955.53</v>
      </c>
      <c r="K285">
        <f t="shared" si="32"/>
        <v>1143.6300000000001</v>
      </c>
      <c r="L285">
        <f t="shared" si="33"/>
        <v>854.3900000000001</v>
      </c>
      <c r="M285">
        <f t="shared" si="34"/>
        <v>289.24</v>
      </c>
      <c r="N285" t="str">
        <f t="shared" si="35"/>
        <v>Amc Cinema Network</v>
      </c>
      <c r="O285" t="str">
        <f t="shared" si="36"/>
        <v>Entertainment</v>
      </c>
      <c r="P285" t="str">
        <f t="shared" si="37"/>
        <v>Deposit</v>
      </c>
      <c r="Q285">
        <f t="shared" si="38"/>
        <v>854.39</v>
      </c>
      <c r="R285">
        <f t="shared" si="39"/>
        <v>-101.13999999999999</v>
      </c>
    </row>
    <row r="286" spans="1:18" x14ac:dyDescent="0.3">
      <c r="A286" t="s">
        <v>294</v>
      </c>
      <c r="B286" t="s">
        <v>896</v>
      </c>
      <c r="C286" s="4" t="s">
        <v>1138</v>
      </c>
      <c r="D286" t="s">
        <v>1292</v>
      </c>
      <c r="E286" t="s">
        <v>1297</v>
      </c>
      <c r="F286" t="s">
        <v>1305</v>
      </c>
      <c r="G286" s="9">
        <v>986.51</v>
      </c>
      <c r="H286">
        <v>1180.9000000000001</v>
      </c>
      <c r="I286">
        <v>194.39</v>
      </c>
      <c r="J286">
        <v>1009.69</v>
      </c>
      <c r="K286">
        <f t="shared" si="32"/>
        <v>1180.9000000000001</v>
      </c>
      <c r="L286">
        <f t="shared" si="33"/>
        <v>986.5100000000001</v>
      </c>
      <c r="M286">
        <f t="shared" si="34"/>
        <v>194.39</v>
      </c>
      <c r="N286" t="str">
        <f t="shared" si="35"/>
        <v>Mcdonalds Corp Express</v>
      </c>
      <c r="O286" t="str">
        <f t="shared" si="36"/>
        <v>Dining Out</v>
      </c>
      <c r="P286" t="str">
        <f t="shared" si="37"/>
        <v>Deposit</v>
      </c>
      <c r="Q286">
        <f t="shared" si="38"/>
        <v>986.51</v>
      </c>
      <c r="R286">
        <f t="shared" si="39"/>
        <v>-23.180000000000064</v>
      </c>
    </row>
    <row r="287" spans="1:18" x14ac:dyDescent="0.3">
      <c r="A287" t="s">
        <v>295</v>
      </c>
      <c r="B287" t="s">
        <v>908</v>
      </c>
      <c r="C287" s="4" t="s">
        <v>1139</v>
      </c>
      <c r="D287" t="s">
        <v>1291</v>
      </c>
      <c r="E287" t="s">
        <v>1293</v>
      </c>
      <c r="F287" t="s">
        <v>1320</v>
      </c>
      <c r="G287" s="9">
        <v>124.56</v>
      </c>
      <c r="H287">
        <v>149.04</v>
      </c>
      <c r="I287">
        <v>-22.36</v>
      </c>
      <c r="J287">
        <v>141.44999999999999</v>
      </c>
      <c r="K287">
        <f t="shared" si="32"/>
        <v>149.04</v>
      </c>
      <c r="L287">
        <f t="shared" si="33"/>
        <v>171.39999999999998</v>
      </c>
      <c r="M287">
        <f t="shared" si="34"/>
        <v>-22.36</v>
      </c>
      <c r="N287" t="str">
        <f t="shared" si="35"/>
        <v>City Power &amp; Gas Co</v>
      </c>
      <c r="O287" t="str">
        <f t="shared" si="36"/>
        <v>Utilities</v>
      </c>
      <c r="P287" t="str">
        <f t="shared" si="37"/>
        <v>Withdrawal</v>
      </c>
      <c r="Q287">
        <f t="shared" si="38"/>
        <v>124.56</v>
      </c>
      <c r="R287">
        <f t="shared" si="39"/>
        <v>-16.889999999999986</v>
      </c>
    </row>
    <row r="288" spans="1:18" x14ac:dyDescent="0.3">
      <c r="A288" t="s">
        <v>296</v>
      </c>
      <c r="B288" t="s">
        <v>858</v>
      </c>
      <c r="C288" s="4" t="s">
        <v>1140</v>
      </c>
      <c r="D288" t="s">
        <v>1291</v>
      </c>
      <c r="E288" t="s">
        <v>1295</v>
      </c>
      <c r="F288" t="s">
        <v>1313</v>
      </c>
      <c r="G288" s="9">
        <v>961.06</v>
      </c>
      <c r="H288">
        <v>1195.58</v>
      </c>
      <c r="I288">
        <v>-179.34</v>
      </c>
      <c r="J288">
        <v>1022.17</v>
      </c>
      <c r="K288">
        <f t="shared" si="32"/>
        <v>1195.58</v>
      </c>
      <c r="L288">
        <f t="shared" si="33"/>
        <v>1374.9199999999998</v>
      </c>
      <c r="M288">
        <f t="shared" si="34"/>
        <v>-179.34</v>
      </c>
      <c r="N288" t="str">
        <f t="shared" si="35"/>
        <v>Fresh &amp; Fast Logistics</v>
      </c>
      <c r="O288" t="str">
        <f t="shared" si="36"/>
        <v>Groceries</v>
      </c>
      <c r="P288" t="str">
        <f t="shared" si="37"/>
        <v>Withdrawal</v>
      </c>
      <c r="Q288">
        <f t="shared" si="38"/>
        <v>961.06</v>
      </c>
      <c r="R288">
        <f t="shared" si="39"/>
        <v>-61.110000000000014</v>
      </c>
    </row>
    <row r="289" spans="1:18" x14ac:dyDescent="0.3">
      <c r="A289" t="s">
        <v>297</v>
      </c>
      <c r="B289" t="s">
        <v>868</v>
      </c>
      <c r="C289" s="4" t="s">
        <v>1139</v>
      </c>
      <c r="D289" t="s">
        <v>1291</v>
      </c>
      <c r="E289" t="s">
        <v>1295</v>
      </c>
      <c r="F289" t="s">
        <v>1313</v>
      </c>
      <c r="G289" s="9">
        <v>142.87</v>
      </c>
      <c r="H289">
        <v>174.59</v>
      </c>
      <c r="I289">
        <v>-26.19</v>
      </c>
      <c r="J289">
        <v>154.19</v>
      </c>
      <c r="K289">
        <f t="shared" si="32"/>
        <v>174.59</v>
      </c>
      <c r="L289">
        <f t="shared" si="33"/>
        <v>200.78</v>
      </c>
      <c r="M289">
        <f t="shared" si="34"/>
        <v>-26.19</v>
      </c>
      <c r="N289" t="str">
        <f t="shared" si="35"/>
        <v>Fresh &amp; Fast Logistics</v>
      </c>
      <c r="O289" t="str">
        <f t="shared" si="36"/>
        <v>Groceries</v>
      </c>
      <c r="P289" t="str">
        <f t="shared" si="37"/>
        <v>Withdrawal</v>
      </c>
      <c r="Q289">
        <f t="shared" si="38"/>
        <v>142.87</v>
      </c>
      <c r="R289">
        <f t="shared" si="39"/>
        <v>-11.319999999999993</v>
      </c>
    </row>
    <row r="290" spans="1:18" x14ac:dyDescent="0.3">
      <c r="A290" t="s">
        <v>298</v>
      </c>
      <c r="B290" t="s">
        <v>841</v>
      </c>
      <c r="C290" s="4" t="s">
        <v>1056</v>
      </c>
      <c r="D290" t="s">
        <v>1292</v>
      </c>
      <c r="E290" t="s">
        <v>1297</v>
      </c>
      <c r="F290" t="s">
        <v>1305</v>
      </c>
      <c r="G290" s="9">
        <v>1095.71</v>
      </c>
      <c r="H290">
        <v>1261.1400000000001</v>
      </c>
      <c r="I290">
        <v>165.43</v>
      </c>
      <c r="J290">
        <v>1016.07</v>
      </c>
      <c r="K290">
        <f t="shared" si="32"/>
        <v>1261.1400000000001</v>
      </c>
      <c r="L290">
        <f t="shared" si="33"/>
        <v>1095.71</v>
      </c>
      <c r="M290">
        <f t="shared" si="34"/>
        <v>165.43</v>
      </c>
      <c r="N290" t="str">
        <f t="shared" si="35"/>
        <v>Mcdonalds Corp Express</v>
      </c>
      <c r="O290" t="str">
        <f t="shared" si="36"/>
        <v>Dining Out</v>
      </c>
      <c r="P290" t="str">
        <f t="shared" si="37"/>
        <v>Deposit</v>
      </c>
      <c r="Q290">
        <f t="shared" si="38"/>
        <v>1095.71</v>
      </c>
      <c r="R290">
        <f t="shared" si="39"/>
        <v>79.639999999999986</v>
      </c>
    </row>
    <row r="291" spans="1:18" x14ac:dyDescent="0.3">
      <c r="A291" t="s">
        <v>299</v>
      </c>
      <c r="B291" t="s">
        <v>792</v>
      </c>
      <c r="C291" s="4" t="s">
        <v>1141</v>
      </c>
      <c r="D291" t="s">
        <v>1292</v>
      </c>
      <c r="E291" t="s">
        <v>1297</v>
      </c>
      <c r="F291" t="s">
        <v>1305</v>
      </c>
      <c r="G291" s="9">
        <v>337.28</v>
      </c>
      <c r="H291">
        <v>438.35</v>
      </c>
      <c r="I291">
        <v>101.07</v>
      </c>
      <c r="J291">
        <v>373.38</v>
      </c>
      <c r="K291">
        <f t="shared" si="32"/>
        <v>438.35</v>
      </c>
      <c r="L291">
        <f t="shared" si="33"/>
        <v>337.28000000000003</v>
      </c>
      <c r="M291">
        <f t="shared" si="34"/>
        <v>101.07</v>
      </c>
      <c r="N291" t="str">
        <f t="shared" si="35"/>
        <v>Mcdonalds Corp Express</v>
      </c>
      <c r="O291" t="str">
        <f t="shared" si="36"/>
        <v>Dining Out</v>
      </c>
      <c r="P291" t="str">
        <f t="shared" si="37"/>
        <v>Deposit</v>
      </c>
      <c r="Q291">
        <f t="shared" si="38"/>
        <v>337.28</v>
      </c>
      <c r="R291">
        <f t="shared" si="39"/>
        <v>-36.100000000000023</v>
      </c>
    </row>
    <row r="292" spans="1:18" x14ac:dyDescent="0.3">
      <c r="A292" t="s">
        <v>300</v>
      </c>
      <c r="B292" t="s">
        <v>814</v>
      </c>
      <c r="C292" s="4" t="s">
        <v>1142</v>
      </c>
      <c r="D292" t="s">
        <v>1291</v>
      </c>
      <c r="E292" t="s">
        <v>1298</v>
      </c>
      <c r="F292" t="s">
        <v>1306</v>
      </c>
      <c r="G292" s="9">
        <v>1005.15</v>
      </c>
      <c r="H292">
        <v>1373.37</v>
      </c>
      <c r="I292">
        <v>-206.01</v>
      </c>
      <c r="J292">
        <v>967.54</v>
      </c>
      <c r="K292">
        <f t="shared" si="32"/>
        <v>1373.37</v>
      </c>
      <c r="L292">
        <f t="shared" si="33"/>
        <v>1579.3799999999999</v>
      </c>
      <c r="M292">
        <f t="shared" si="34"/>
        <v>-206.01</v>
      </c>
      <c r="N292" t="str">
        <f t="shared" si="35"/>
        <v>Internal P2P Route</v>
      </c>
      <c r="O292" t="str">
        <f t="shared" si="36"/>
        <v>Transfer</v>
      </c>
      <c r="P292" t="str">
        <f t="shared" si="37"/>
        <v>Withdrawal</v>
      </c>
      <c r="Q292">
        <f t="shared" si="38"/>
        <v>1005.15</v>
      </c>
      <c r="R292">
        <f t="shared" si="39"/>
        <v>37.610000000000014</v>
      </c>
    </row>
    <row r="293" spans="1:18" x14ac:dyDescent="0.3">
      <c r="A293" t="s">
        <v>301</v>
      </c>
      <c r="B293" t="s">
        <v>883</v>
      </c>
      <c r="C293" s="4" t="s">
        <v>1143</v>
      </c>
      <c r="D293" t="s">
        <v>1292</v>
      </c>
      <c r="E293" t="s">
        <v>1298</v>
      </c>
      <c r="F293" t="s">
        <v>1310</v>
      </c>
      <c r="G293" s="9">
        <v>751.87</v>
      </c>
      <c r="H293">
        <v>889.38</v>
      </c>
      <c r="I293">
        <v>137.51</v>
      </c>
      <c r="J293">
        <v>692.59</v>
      </c>
      <c r="K293">
        <f t="shared" si="32"/>
        <v>889.38</v>
      </c>
      <c r="L293">
        <f t="shared" si="33"/>
        <v>751.87</v>
      </c>
      <c r="M293">
        <f t="shared" si="34"/>
        <v>137.51</v>
      </c>
      <c r="N293" t="str">
        <f t="shared" si="35"/>
        <v>Zelle Payment Engine</v>
      </c>
      <c r="O293" t="str">
        <f t="shared" si="36"/>
        <v>Transfer</v>
      </c>
      <c r="P293" t="str">
        <f t="shared" si="37"/>
        <v>Deposit</v>
      </c>
      <c r="Q293">
        <f t="shared" si="38"/>
        <v>751.87</v>
      </c>
      <c r="R293">
        <f t="shared" si="39"/>
        <v>59.279999999999973</v>
      </c>
    </row>
    <row r="294" spans="1:18" x14ac:dyDescent="0.3">
      <c r="A294" t="s">
        <v>302</v>
      </c>
      <c r="B294" t="s">
        <v>899</v>
      </c>
      <c r="C294" s="4" t="s">
        <v>1104</v>
      </c>
      <c r="D294" t="s">
        <v>1292</v>
      </c>
      <c r="E294" t="s">
        <v>1297</v>
      </c>
      <c r="F294" t="s">
        <v>1309</v>
      </c>
      <c r="G294" s="9">
        <v>659.69</v>
      </c>
      <c r="H294">
        <v>857.61</v>
      </c>
      <c r="I294">
        <v>197.92</v>
      </c>
      <c r="J294">
        <v>681.72</v>
      </c>
      <c r="K294">
        <f t="shared" si="32"/>
        <v>857.61</v>
      </c>
      <c r="L294">
        <f t="shared" si="33"/>
        <v>659.69</v>
      </c>
      <c r="M294">
        <f t="shared" si="34"/>
        <v>197.92</v>
      </c>
      <c r="N294" t="str">
        <f t="shared" si="35"/>
        <v>Olive Garden Gourmet</v>
      </c>
      <c r="O294" t="str">
        <f t="shared" si="36"/>
        <v>Dining Out</v>
      </c>
      <c r="P294" t="str">
        <f t="shared" si="37"/>
        <v>Deposit</v>
      </c>
      <c r="Q294">
        <f t="shared" si="38"/>
        <v>659.69</v>
      </c>
      <c r="R294">
        <f t="shared" si="39"/>
        <v>-22.029999999999973</v>
      </c>
    </row>
    <row r="295" spans="1:18" x14ac:dyDescent="0.3">
      <c r="A295" t="s">
        <v>303</v>
      </c>
      <c r="B295" t="s">
        <v>902</v>
      </c>
      <c r="C295" s="4" t="s">
        <v>1011</v>
      </c>
      <c r="D295" t="s">
        <v>1291</v>
      </c>
      <c r="E295" t="s">
        <v>1293</v>
      </c>
      <c r="F295" t="s">
        <v>1300</v>
      </c>
      <c r="G295" s="9">
        <v>345.63</v>
      </c>
      <c r="H295">
        <v>421.47</v>
      </c>
      <c r="J295">
        <v>391.48</v>
      </c>
      <c r="K295">
        <f t="shared" si="32"/>
        <v>421.47</v>
      </c>
      <c r="L295">
        <f t="shared" si="33"/>
        <v>465.65298507462688</v>
      </c>
      <c r="M295">
        <f t="shared" si="34"/>
        <v>-44.182985074626863</v>
      </c>
      <c r="N295" t="str">
        <f t="shared" si="35"/>
        <v>State Hydro Grid</v>
      </c>
      <c r="O295" t="str">
        <f t="shared" si="36"/>
        <v>Utilities</v>
      </c>
      <c r="P295" t="str">
        <f t="shared" si="37"/>
        <v>Withdrawal</v>
      </c>
      <c r="Q295">
        <f t="shared" si="38"/>
        <v>345.63</v>
      </c>
      <c r="R295">
        <f t="shared" si="39"/>
        <v>-45.850000000000023</v>
      </c>
    </row>
    <row r="296" spans="1:18" x14ac:dyDescent="0.3">
      <c r="A296" t="s">
        <v>304</v>
      </c>
      <c r="B296" t="s">
        <v>875</v>
      </c>
      <c r="C296" s="4" t="s">
        <v>1030</v>
      </c>
      <c r="D296" t="s">
        <v>1292</v>
      </c>
      <c r="E296" t="s">
        <v>1297</v>
      </c>
      <c r="F296" t="s">
        <v>1309</v>
      </c>
      <c r="G296" s="9">
        <v>68.13</v>
      </c>
      <c r="H296">
        <v>84.94</v>
      </c>
      <c r="I296">
        <v>16.809999999999999</v>
      </c>
      <c r="J296">
        <v>66.38</v>
      </c>
      <c r="K296">
        <f t="shared" si="32"/>
        <v>84.94</v>
      </c>
      <c r="L296">
        <f t="shared" si="33"/>
        <v>68.13</v>
      </c>
      <c r="M296">
        <f t="shared" si="34"/>
        <v>16.809999999999999</v>
      </c>
      <c r="N296" t="str">
        <f t="shared" si="35"/>
        <v>Olive Garden Gourmet</v>
      </c>
      <c r="O296" t="str">
        <f t="shared" si="36"/>
        <v>Dining Out</v>
      </c>
      <c r="P296" t="str">
        <f t="shared" si="37"/>
        <v>Deposit</v>
      </c>
      <c r="Q296">
        <f t="shared" si="38"/>
        <v>68.13</v>
      </c>
      <c r="R296">
        <f t="shared" si="39"/>
        <v>1.75</v>
      </c>
    </row>
    <row r="297" spans="1:18" x14ac:dyDescent="0.3">
      <c r="A297" t="s">
        <v>305</v>
      </c>
      <c r="B297" t="s">
        <v>793</v>
      </c>
      <c r="C297" s="4" t="s">
        <v>1144</v>
      </c>
      <c r="D297" t="s">
        <v>1291</v>
      </c>
      <c r="E297" t="s">
        <v>1293</v>
      </c>
      <c r="F297" t="s">
        <v>1320</v>
      </c>
      <c r="G297" s="9">
        <v>456.74</v>
      </c>
      <c r="H297">
        <v>559.14</v>
      </c>
      <c r="I297">
        <v>-83.87</v>
      </c>
      <c r="J297">
        <v>519.02</v>
      </c>
      <c r="K297">
        <f t="shared" si="32"/>
        <v>559.14</v>
      </c>
      <c r="L297">
        <f t="shared" si="33"/>
        <v>643.01</v>
      </c>
      <c r="M297">
        <f t="shared" si="34"/>
        <v>-83.87</v>
      </c>
      <c r="N297" t="str">
        <f t="shared" si="35"/>
        <v>City Power &amp; Gas Co</v>
      </c>
      <c r="O297" t="str">
        <f t="shared" si="36"/>
        <v>Utilities</v>
      </c>
      <c r="P297" t="str">
        <f t="shared" si="37"/>
        <v>Withdrawal</v>
      </c>
      <c r="Q297">
        <f t="shared" si="38"/>
        <v>456.74</v>
      </c>
      <c r="R297">
        <f t="shared" si="39"/>
        <v>-62.279999999999973</v>
      </c>
    </row>
    <row r="298" spans="1:18" x14ac:dyDescent="0.3">
      <c r="A298" t="s">
        <v>306</v>
      </c>
      <c r="B298" t="s">
        <v>786</v>
      </c>
      <c r="C298" s="4" t="s">
        <v>1010</v>
      </c>
      <c r="D298" t="s">
        <v>1292</v>
      </c>
      <c r="E298" t="s">
        <v>1297</v>
      </c>
      <c r="F298" t="s">
        <v>1309</v>
      </c>
      <c r="G298" s="9">
        <v>260.41000000000003</v>
      </c>
      <c r="H298">
        <v>360.78</v>
      </c>
      <c r="I298">
        <v>100.37</v>
      </c>
      <c r="J298">
        <v>305.57</v>
      </c>
      <c r="K298">
        <f t="shared" si="32"/>
        <v>360.78</v>
      </c>
      <c r="L298">
        <f t="shared" si="33"/>
        <v>260.40999999999997</v>
      </c>
      <c r="M298">
        <f t="shared" si="34"/>
        <v>100.37</v>
      </c>
      <c r="N298" t="str">
        <f t="shared" si="35"/>
        <v>Olive Garden Gourmet</v>
      </c>
      <c r="O298" t="str">
        <f t="shared" si="36"/>
        <v>Dining Out</v>
      </c>
      <c r="P298" t="str">
        <f t="shared" si="37"/>
        <v>Deposit</v>
      </c>
      <c r="Q298">
        <f t="shared" si="38"/>
        <v>260.41000000000003</v>
      </c>
      <c r="R298">
        <f t="shared" si="39"/>
        <v>-45.159999999999968</v>
      </c>
    </row>
    <row r="299" spans="1:18" x14ac:dyDescent="0.3">
      <c r="A299" t="s">
        <v>307</v>
      </c>
      <c r="B299" t="s">
        <v>899</v>
      </c>
      <c r="C299" s="4" t="s">
        <v>1145</v>
      </c>
      <c r="D299" t="s">
        <v>1291</v>
      </c>
      <c r="E299" t="s">
        <v>1299</v>
      </c>
      <c r="F299" t="s">
        <v>1311</v>
      </c>
      <c r="G299" s="9">
        <v>609.28</v>
      </c>
      <c r="H299">
        <v>701.24</v>
      </c>
      <c r="I299">
        <v>-105.19</v>
      </c>
      <c r="J299">
        <v>575.63</v>
      </c>
      <c r="K299">
        <f t="shared" si="32"/>
        <v>701.24</v>
      </c>
      <c r="L299">
        <f t="shared" si="33"/>
        <v>806.43000000000006</v>
      </c>
      <c r="M299">
        <f t="shared" si="34"/>
        <v>-105.19</v>
      </c>
      <c r="N299" t="str">
        <f t="shared" si="35"/>
        <v>Spotify Music Hub</v>
      </c>
      <c r="O299" t="str">
        <f t="shared" si="36"/>
        <v>Entertainment</v>
      </c>
      <c r="P299" t="str">
        <f t="shared" si="37"/>
        <v>Withdrawal</v>
      </c>
      <c r="Q299">
        <f t="shared" si="38"/>
        <v>609.28</v>
      </c>
      <c r="R299">
        <f t="shared" si="39"/>
        <v>33.649999999999977</v>
      </c>
    </row>
    <row r="300" spans="1:18" x14ac:dyDescent="0.3">
      <c r="A300" t="s">
        <v>308</v>
      </c>
      <c r="B300" t="s">
        <v>849</v>
      </c>
      <c r="C300" s="4" t="s">
        <v>1146</v>
      </c>
      <c r="D300" t="s">
        <v>1291</v>
      </c>
      <c r="E300" t="s">
        <v>1294</v>
      </c>
      <c r="F300" t="s">
        <v>1301</v>
      </c>
      <c r="G300" s="9">
        <v>920.85</v>
      </c>
      <c r="H300">
        <v>1065.73</v>
      </c>
      <c r="I300">
        <v>-159.86000000000001</v>
      </c>
      <c r="J300">
        <v>829.31</v>
      </c>
      <c r="K300">
        <f t="shared" si="32"/>
        <v>1065.73</v>
      </c>
      <c r="L300">
        <f t="shared" si="33"/>
        <v>1225.5900000000001</v>
      </c>
      <c r="M300">
        <f t="shared" si="34"/>
        <v>-159.86000000000001</v>
      </c>
      <c r="N300" t="str">
        <f t="shared" si="35"/>
        <v>Amazon Digital Supply</v>
      </c>
      <c r="O300" t="str">
        <f t="shared" si="36"/>
        <v>Online Shopping</v>
      </c>
      <c r="P300" t="str">
        <f t="shared" si="37"/>
        <v>Withdrawal</v>
      </c>
      <c r="Q300">
        <f t="shared" si="38"/>
        <v>920.85</v>
      </c>
      <c r="R300">
        <f t="shared" si="39"/>
        <v>91.540000000000077</v>
      </c>
    </row>
    <row r="301" spans="1:18" x14ac:dyDescent="0.3">
      <c r="A301" t="s">
        <v>309</v>
      </c>
      <c r="B301" t="s">
        <v>909</v>
      </c>
      <c r="C301" s="4" t="s">
        <v>1110</v>
      </c>
      <c r="D301" t="s">
        <v>1291</v>
      </c>
      <c r="E301" t="s">
        <v>1299</v>
      </c>
      <c r="F301" t="s">
        <v>1311</v>
      </c>
      <c r="G301" s="9">
        <v>547.02</v>
      </c>
      <c r="H301">
        <v>630.91999999999996</v>
      </c>
      <c r="I301">
        <v>-94.64</v>
      </c>
      <c r="J301">
        <v>543.26</v>
      </c>
      <c r="K301">
        <f t="shared" si="32"/>
        <v>630.91999999999996</v>
      </c>
      <c r="L301">
        <f t="shared" si="33"/>
        <v>725.56</v>
      </c>
      <c r="M301">
        <f t="shared" si="34"/>
        <v>-94.64</v>
      </c>
      <c r="N301" t="str">
        <f t="shared" si="35"/>
        <v>Spotify Music Hub</v>
      </c>
      <c r="O301" t="str">
        <f t="shared" si="36"/>
        <v>Entertainment</v>
      </c>
      <c r="P301" t="str">
        <f t="shared" si="37"/>
        <v>Withdrawal</v>
      </c>
      <c r="Q301">
        <f t="shared" si="38"/>
        <v>547.02</v>
      </c>
      <c r="R301">
        <f t="shared" si="39"/>
        <v>3.7599999999999909</v>
      </c>
    </row>
    <row r="302" spans="1:18" x14ac:dyDescent="0.3">
      <c r="A302" t="s">
        <v>310</v>
      </c>
      <c r="B302" t="s">
        <v>804</v>
      </c>
      <c r="C302" s="4" t="s">
        <v>1147</v>
      </c>
      <c r="D302" t="s">
        <v>1292</v>
      </c>
      <c r="E302" t="s">
        <v>1299</v>
      </c>
      <c r="F302" t="s">
        <v>1316</v>
      </c>
      <c r="G302" s="9">
        <v>486.05</v>
      </c>
      <c r="H302">
        <v>596.86</v>
      </c>
      <c r="I302">
        <v>110.81</v>
      </c>
      <c r="J302">
        <v>493.23</v>
      </c>
      <c r="K302">
        <f t="shared" si="32"/>
        <v>596.86</v>
      </c>
      <c r="L302">
        <f t="shared" si="33"/>
        <v>486.05</v>
      </c>
      <c r="M302">
        <f t="shared" si="34"/>
        <v>110.81</v>
      </c>
      <c r="N302" t="str">
        <f t="shared" si="35"/>
        <v>Amc Cinema Network</v>
      </c>
      <c r="O302" t="str">
        <f t="shared" si="36"/>
        <v>Entertainment</v>
      </c>
      <c r="P302" t="str">
        <f t="shared" si="37"/>
        <v>Deposit</v>
      </c>
      <c r="Q302">
        <f t="shared" si="38"/>
        <v>486.05</v>
      </c>
      <c r="R302">
        <f t="shared" si="39"/>
        <v>-7.1800000000000068</v>
      </c>
    </row>
    <row r="303" spans="1:18" x14ac:dyDescent="0.3">
      <c r="A303" t="s">
        <v>311</v>
      </c>
      <c r="B303" t="s">
        <v>877</v>
      </c>
      <c r="C303" s="4" t="s">
        <v>1148</v>
      </c>
      <c r="D303" t="s">
        <v>1291</v>
      </c>
      <c r="E303" t="s">
        <v>1294</v>
      </c>
      <c r="F303" t="s">
        <v>1315</v>
      </c>
      <c r="G303" s="9">
        <v>1121.49</v>
      </c>
      <c r="H303">
        <v>1378.14</v>
      </c>
      <c r="I303">
        <v>-206.72</v>
      </c>
      <c r="J303">
        <v>1183.08</v>
      </c>
      <c r="K303">
        <f t="shared" si="32"/>
        <v>1378.14</v>
      </c>
      <c r="L303">
        <f t="shared" si="33"/>
        <v>1584.8600000000001</v>
      </c>
      <c r="M303">
        <f t="shared" si="34"/>
        <v>-206.72</v>
      </c>
      <c r="N303" t="str">
        <f t="shared" si="35"/>
        <v>Ebay International</v>
      </c>
      <c r="O303" t="str">
        <f t="shared" si="36"/>
        <v>Online Shopping</v>
      </c>
      <c r="P303" t="str">
        <f t="shared" si="37"/>
        <v>Withdrawal</v>
      </c>
      <c r="Q303">
        <f t="shared" si="38"/>
        <v>1121.49</v>
      </c>
      <c r="R303">
        <f t="shared" si="39"/>
        <v>-61.589999999999918</v>
      </c>
    </row>
    <row r="304" spans="1:18" x14ac:dyDescent="0.3">
      <c r="A304" t="s">
        <v>312</v>
      </c>
      <c r="B304" t="s">
        <v>788</v>
      </c>
      <c r="C304" s="4" t="s">
        <v>1149</v>
      </c>
      <c r="D304" t="s">
        <v>1291</v>
      </c>
      <c r="E304" t="s">
        <v>1295</v>
      </c>
      <c r="F304" t="s">
        <v>1304</v>
      </c>
      <c r="G304" s="9">
        <v>244.66</v>
      </c>
      <c r="H304">
        <v>310.49</v>
      </c>
      <c r="I304">
        <v>-46.57</v>
      </c>
      <c r="J304">
        <v>240.06</v>
      </c>
      <c r="K304">
        <f t="shared" si="32"/>
        <v>310.49</v>
      </c>
      <c r="L304">
        <f t="shared" si="33"/>
        <v>357.06</v>
      </c>
      <c r="M304">
        <f t="shared" si="34"/>
        <v>-46.57</v>
      </c>
      <c r="N304" t="str">
        <f t="shared" si="35"/>
        <v>Whole Foods Store</v>
      </c>
      <c r="O304" t="str">
        <f t="shared" si="36"/>
        <v>Groceries</v>
      </c>
      <c r="P304" t="str">
        <f t="shared" si="37"/>
        <v>Withdrawal</v>
      </c>
      <c r="Q304">
        <f t="shared" si="38"/>
        <v>244.66</v>
      </c>
      <c r="R304">
        <f t="shared" si="39"/>
        <v>4.5999999999999943</v>
      </c>
    </row>
    <row r="305" spans="1:18" x14ac:dyDescent="0.3">
      <c r="A305" t="s">
        <v>313</v>
      </c>
      <c r="B305" t="s">
        <v>806</v>
      </c>
      <c r="C305" s="4" t="s">
        <v>1144</v>
      </c>
      <c r="D305" t="s">
        <v>1292</v>
      </c>
      <c r="E305" t="s">
        <v>1293</v>
      </c>
      <c r="F305" t="s">
        <v>1300</v>
      </c>
      <c r="G305" s="9">
        <v>1087.9100000000001</v>
      </c>
      <c r="H305">
        <v>1360.05</v>
      </c>
      <c r="I305">
        <v>272.14</v>
      </c>
      <c r="J305">
        <v>1224.3599999999999</v>
      </c>
      <c r="K305">
        <f t="shared" si="32"/>
        <v>1360.05</v>
      </c>
      <c r="L305">
        <f t="shared" si="33"/>
        <v>1087.9099999999999</v>
      </c>
      <c r="M305">
        <f t="shared" si="34"/>
        <v>272.14</v>
      </c>
      <c r="N305" t="str">
        <f t="shared" si="35"/>
        <v>State Hydro Grid</v>
      </c>
      <c r="O305" t="str">
        <f t="shared" si="36"/>
        <v>Utilities</v>
      </c>
      <c r="P305" t="str">
        <f t="shared" si="37"/>
        <v>Deposit</v>
      </c>
      <c r="Q305">
        <f t="shared" si="38"/>
        <v>1087.9100000000001</v>
      </c>
      <c r="R305">
        <f t="shared" si="39"/>
        <v>-136.44999999999982</v>
      </c>
    </row>
    <row r="306" spans="1:18" x14ac:dyDescent="0.3">
      <c r="A306" t="s">
        <v>314</v>
      </c>
      <c r="B306" t="s">
        <v>832</v>
      </c>
      <c r="C306" s="4" t="s">
        <v>1109</v>
      </c>
      <c r="D306" t="s">
        <v>1291</v>
      </c>
      <c r="E306" t="s">
        <v>1293</v>
      </c>
      <c r="F306" t="s">
        <v>1320</v>
      </c>
      <c r="G306" s="9">
        <v>42.56</v>
      </c>
      <c r="H306">
        <v>53.87</v>
      </c>
      <c r="I306">
        <v>-8.08</v>
      </c>
      <c r="J306">
        <v>42.33</v>
      </c>
      <c r="K306">
        <f t="shared" si="32"/>
        <v>53.87</v>
      </c>
      <c r="L306">
        <f t="shared" si="33"/>
        <v>61.949999999999996</v>
      </c>
      <c r="M306">
        <f t="shared" si="34"/>
        <v>-8.08</v>
      </c>
      <c r="N306" t="str">
        <f t="shared" si="35"/>
        <v>City Power &amp; Gas Co</v>
      </c>
      <c r="O306" t="str">
        <f t="shared" si="36"/>
        <v>Utilities</v>
      </c>
      <c r="P306" t="str">
        <f t="shared" si="37"/>
        <v>Withdrawal</v>
      </c>
      <c r="Q306">
        <f t="shared" si="38"/>
        <v>42.56</v>
      </c>
      <c r="R306">
        <f t="shared" si="39"/>
        <v>0.23000000000000398</v>
      </c>
    </row>
    <row r="307" spans="1:18" x14ac:dyDescent="0.3">
      <c r="A307" t="s">
        <v>315</v>
      </c>
      <c r="B307" t="s">
        <v>879</v>
      </c>
      <c r="C307" s="4" t="s">
        <v>992</v>
      </c>
      <c r="D307" t="s">
        <v>1292</v>
      </c>
      <c r="E307" t="s">
        <v>1296</v>
      </c>
      <c r="F307" t="s">
        <v>1308</v>
      </c>
      <c r="G307" s="9">
        <v>7348.47</v>
      </c>
      <c r="H307">
        <v>9029.4599999999991</v>
      </c>
      <c r="I307">
        <v>1680.99</v>
      </c>
      <c r="J307">
        <v>7365.87</v>
      </c>
      <c r="K307">
        <f t="shared" si="32"/>
        <v>9029.4599999999991</v>
      </c>
      <c r="L307">
        <f t="shared" si="33"/>
        <v>7348.4699999999993</v>
      </c>
      <c r="M307">
        <f t="shared" si="34"/>
        <v>1680.99</v>
      </c>
      <c r="N307" t="str">
        <f t="shared" si="35"/>
        <v>Stark Retail Labs</v>
      </c>
      <c r="O307" t="str">
        <f t="shared" si="36"/>
        <v>Salary</v>
      </c>
      <c r="P307" t="str">
        <f t="shared" si="37"/>
        <v>Deposit</v>
      </c>
      <c r="Q307">
        <f t="shared" si="38"/>
        <v>7348.47</v>
      </c>
      <c r="R307">
        <f t="shared" si="39"/>
        <v>-17.399999999999636</v>
      </c>
    </row>
    <row r="308" spans="1:18" x14ac:dyDescent="0.3">
      <c r="A308" t="s">
        <v>316</v>
      </c>
      <c r="B308" t="s">
        <v>809</v>
      </c>
      <c r="C308" s="4" t="s">
        <v>1062</v>
      </c>
      <c r="D308" t="s">
        <v>1292</v>
      </c>
      <c r="E308" t="s">
        <v>1294</v>
      </c>
      <c r="F308" t="s">
        <v>1301</v>
      </c>
      <c r="G308" s="9">
        <v>898.36</v>
      </c>
      <c r="H308">
        <v>1176.05</v>
      </c>
      <c r="I308">
        <v>277.69</v>
      </c>
      <c r="J308">
        <v>854.33</v>
      </c>
      <c r="K308">
        <f t="shared" si="32"/>
        <v>1176.05</v>
      </c>
      <c r="L308">
        <f t="shared" si="33"/>
        <v>898.3599999999999</v>
      </c>
      <c r="M308">
        <f t="shared" si="34"/>
        <v>277.69</v>
      </c>
      <c r="N308" t="str">
        <f t="shared" si="35"/>
        <v>Amazon Digital Supply</v>
      </c>
      <c r="O308" t="str">
        <f t="shared" si="36"/>
        <v>Online Shopping</v>
      </c>
      <c r="P308" t="str">
        <f t="shared" si="37"/>
        <v>Deposit</v>
      </c>
      <c r="Q308">
        <f t="shared" si="38"/>
        <v>898.36</v>
      </c>
      <c r="R308">
        <f t="shared" si="39"/>
        <v>44.029999999999973</v>
      </c>
    </row>
    <row r="309" spans="1:18" x14ac:dyDescent="0.3">
      <c r="A309" t="s">
        <v>317</v>
      </c>
      <c r="B309" t="s">
        <v>817</v>
      </c>
      <c r="C309" s="4" t="s">
        <v>1070</v>
      </c>
      <c r="D309" t="s">
        <v>1292</v>
      </c>
      <c r="E309" t="s">
        <v>1296</v>
      </c>
      <c r="F309" t="s">
        <v>1308</v>
      </c>
      <c r="G309" s="9">
        <v>5445.25</v>
      </c>
      <c r="H309">
        <v>6550.97</v>
      </c>
      <c r="I309">
        <v>1105.72</v>
      </c>
      <c r="J309">
        <v>6196.76</v>
      </c>
      <c r="K309">
        <f t="shared" si="32"/>
        <v>6550.97</v>
      </c>
      <c r="L309">
        <f t="shared" si="33"/>
        <v>5445.25</v>
      </c>
      <c r="M309">
        <f t="shared" si="34"/>
        <v>1105.72</v>
      </c>
      <c r="N309" t="str">
        <f t="shared" si="35"/>
        <v>Stark Retail Labs</v>
      </c>
      <c r="O309" t="str">
        <f t="shared" si="36"/>
        <v>Salary</v>
      </c>
      <c r="P309" t="str">
        <f t="shared" si="37"/>
        <v>Deposit</v>
      </c>
      <c r="Q309">
        <f t="shared" si="38"/>
        <v>5445.25</v>
      </c>
      <c r="R309">
        <f t="shared" si="39"/>
        <v>-751.51000000000022</v>
      </c>
    </row>
    <row r="310" spans="1:18" x14ac:dyDescent="0.3">
      <c r="A310" t="s">
        <v>318</v>
      </c>
      <c r="B310" t="s">
        <v>810</v>
      </c>
      <c r="C310" s="4" t="s">
        <v>1106</v>
      </c>
      <c r="D310" t="s">
        <v>1291</v>
      </c>
      <c r="E310" t="s">
        <v>1298</v>
      </c>
      <c r="F310" t="s">
        <v>1317</v>
      </c>
      <c r="G310" s="9">
        <v>456.03</v>
      </c>
      <c r="H310">
        <v>579.96</v>
      </c>
      <c r="I310">
        <v>-86.99</v>
      </c>
      <c r="J310">
        <v>502.9</v>
      </c>
      <c r="K310">
        <f t="shared" si="32"/>
        <v>579.96</v>
      </c>
      <c r="L310">
        <f t="shared" si="33"/>
        <v>666.95</v>
      </c>
      <c r="M310">
        <f t="shared" si="34"/>
        <v>-86.99</v>
      </c>
      <c r="N310" t="str">
        <f t="shared" si="35"/>
        <v>External Wire Clearance</v>
      </c>
      <c r="O310" t="str">
        <f t="shared" si="36"/>
        <v>Transfer</v>
      </c>
      <c r="P310" t="str">
        <f t="shared" si="37"/>
        <v>Withdrawal</v>
      </c>
      <c r="Q310">
        <f t="shared" si="38"/>
        <v>456.03</v>
      </c>
      <c r="R310">
        <f t="shared" si="39"/>
        <v>-46.870000000000005</v>
      </c>
    </row>
    <row r="311" spans="1:18" x14ac:dyDescent="0.3">
      <c r="A311" t="s">
        <v>319</v>
      </c>
      <c r="B311" t="s">
        <v>857</v>
      </c>
      <c r="C311" s="4" t="s">
        <v>1099</v>
      </c>
      <c r="D311" t="s">
        <v>1292</v>
      </c>
      <c r="E311" t="s">
        <v>1297</v>
      </c>
      <c r="F311" t="s">
        <v>1309</v>
      </c>
      <c r="G311" s="9">
        <v>409</v>
      </c>
      <c r="H311">
        <v>553.52</v>
      </c>
      <c r="I311">
        <v>144.52000000000001</v>
      </c>
      <c r="J311">
        <v>424.86</v>
      </c>
      <c r="K311">
        <f t="shared" si="32"/>
        <v>553.52</v>
      </c>
      <c r="L311">
        <f t="shared" si="33"/>
        <v>409</v>
      </c>
      <c r="M311">
        <f t="shared" si="34"/>
        <v>144.52000000000001</v>
      </c>
      <c r="N311" t="str">
        <f t="shared" si="35"/>
        <v>Olive Garden Gourmet</v>
      </c>
      <c r="O311" t="str">
        <f t="shared" si="36"/>
        <v>Dining Out</v>
      </c>
      <c r="P311" t="str">
        <f t="shared" si="37"/>
        <v>Deposit</v>
      </c>
      <c r="Q311">
        <f t="shared" si="38"/>
        <v>409</v>
      </c>
      <c r="R311">
        <f t="shared" si="39"/>
        <v>-15.860000000000014</v>
      </c>
    </row>
    <row r="312" spans="1:18" x14ac:dyDescent="0.3">
      <c r="A312" t="s">
        <v>320</v>
      </c>
      <c r="B312" t="s">
        <v>852</v>
      </c>
      <c r="C312" s="4" t="s">
        <v>951</v>
      </c>
      <c r="D312" t="s">
        <v>1291</v>
      </c>
      <c r="E312" t="s">
        <v>1298</v>
      </c>
      <c r="F312" t="s">
        <v>1310</v>
      </c>
      <c r="G312" s="9">
        <v>550.08000000000004</v>
      </c>
      <c r="H312">
        <v>660.37</v>
      </c>
      <c r="I312">
        <v>-99.06</v>
      </c>
      <c r="J312">
        <v>613.41999999999996</v>
      </c>
      <c r="K312">
        <f t="shared" si="32"/>
        <v>660.37</v>
      </c>
      <c r="L312">
        <f t="shared" si="33"/>
        <v>759.43000000000006</v>
      </c>
      <c r="M312">
        <f t="shared" si="34"/>
        <v>-99.06</v>
      </c>
      <c r="N312" t="str">
        <f t="shared" si="35"/>
        <v>Zelle Payment Engine</v>
      </c>
      <c r="O312" t="str">
        <f t="shared" si="36"/>
        <v>Transfer</v>
      </c>
      <c r="P312" t="str">
        <f t="shared" si="37"/>
        <v>Withdrawal</v>
      </c>
      <c r="Q312">
        <f t="shared" si="38"/>
        <v>550.08000000000004</v>
      </c>
      <c r="R312">
        <f t="shared" si="39"/>
        <v>-63.339999999999918</v>
      </c>
    </row>
    <row r="313" spans="1:18" x14ac:dyDescent="0.3">
      <c r="A313" t="s">
        <v>321</v>
      </c>
      <c r="B313" t="s">
        <v>795</v>
      </c>
      <c r="C313" s="4" t="s">
        <v>1150</v>
      </c>
      <c r="D313" t="s">
        <v>1291</v>
      </c>
      <c r="E313" t="s">
        <v>1297</v>
      </c>
      <c r="F313" t="s">
        <v>1309</v>
      </c>
      <c r="G313" s="9">
        <v>393.07</v>
      </c>
      <c r="H313">
        <v>537.48</v>
      </c>
      <c r="I313">
        <v>-80.62</v>
      </c>
      <c r="J313">
        <v>397.73</v>
      </c>
      <c r="K313">
        <f t="shared" si="32"/>
        <v>537.48</v>
      </c>
      <c r="L313">
        <f t="shared" si="33"/>
        <v>618.1</v>
      </c>
      <c r="M313">
        <f t="shared" si="34"/>
        <v>-80.62</v>
      </c>
      <c r="N313" t="str">
        <f t="shared" si="35"/>
        <v>Olive Garden Gourmet</v>
      </c>
      <c r="O313" t="str">
        <f t="shared" si="36"/>
        <v>Dining Out</v>
      </c>
      <c r="P313" t="str">
        <f t="shared" si="37"/>
        <v>Withdrawal</v>
      </c>
      <c r="Q313">
        <f t="shared" si="38"/>
        <v>393.07</v>
      </c>
      <c r="R313">
        <f t="shared" si="39"/>
        <v>-4.660000000000025</v>
      </c>
    </row>
    <row r="314" spans="1:18" x14ac:dyDescent="0.3">
      <c r="A314" t="s">
        <v>322</v>
      </c>
      <c r="B314" t="s">
        <v>900</v>
      </c>
      <c r="C314" s="4" t="s">
        <v>1151</v>
      </c>
      <c r="D314" t="s">
        <v>1291</v>
      </c>
      <c r="E314" t="s">
        <v>1296</v>
      </c>
      <c r="F314" t="s">
        <v>1308</v>
      </c>
      <c r="G314" s="9">
        <v>9137.4699999999993</v>
      </c>
      <c r="H314">
        <v>12370.75</v>
      </c>
      <c r="I314">
        <v>-1855.61</v>
      </c>
      <c r="J314">
        <v>10306.299999999999</v>
      </c>
      <c r="K314">
        <f t="shared" si="32"/>
        <v>12370.75</v>
      </c>
      <c r="L314">
        <f t="shared" si="33"/>
        <v>14226.36</v>
      </c>
      <c r="M314">
        <f t="shared" si="34"/>
        <v>-1855.61</v>
      </c>
      <c r="N314" t="str">
        <f t="shared" si="35"/>
        <v>Stark Retail Labs</v>
      </c>
      <c r="O314" t="str">
        <f t="shared" si="36"/>
        <v>Salary</v>
      </c>
      <c r="P314" t="str">
        <f t="shared" si="37"/>
        <v>Withdrawal</v>
      </c>
      <c r="Q314">
        <f t="shared" si="38"/>
        <v>9137.4699999999993</v>
      </c>
      <c r="R314">
        <f t="shared" si="39"/>
        <v>-1168.83</v>
      </c>
    </row>
    <row r="315" spans="1:18" x14ac:dyDescent="0.3">
      <c r="A315" t="s">
        <v>323</v>
      </c>
      <c r="B315" t="s">
        <v>910</v>
      </c>
      <c r="C315" s="4" t="s">
        <v>935</v>
      </c>
      <c r="D315" t="s">
        <v>1292</v>
      </c>
      <c r="E315" t="s">
        <v>1297</v>
      </c>
      <c r="F315" t="s">
        <v>1309</v>
      </c>
      <c r="G315" s="9">
        <v>394.47</v>
      </c>
      <c r="H315">
        <v>466.96</v>
      </c>
      <c r="I315">
        <v>72.489999999999995</v>
      </c>
      <c r="J315">
        <v>470.97</v>
      </c>
      <c r="K315">
        <f t="shared" si="32"/>
        <v>466.96</v>
      </c>
      <c r="L315">
        <f t="shared" si="33"/>
        <v>394.46999999999997</v>
      </c>
      <c r="M315">
        <f t="shared" si="34"/>
        <v>72.489999999999995</v>
      </c>
      <c r="N315" t="str">
        <f t="shared" si="35"/>
        <v>Olive Garden Gourmet</v>
      </c>
      <c r="O315" t="str">
        <f t="shared" si="36"/>
        <v>Dining Out</v>
      </c>
      <c r="P315" t="str">
        <f t="shared" si="37"/>
        <v>Deposit</v>
      </c>
      <c r="Q315">
        <f t="shared" si="38"/>
        <v>394.47</v>
      </c>
      <c r="R315">
        <f t="shared" si="39"/>
        <v>-76.5</v>
      </c>
    </row>
    <row r="316" spans="1:18" x14ac:dyDescent="0.3">
      <c r="A316" t="s">
        <v>324</v>
      </c>
      <c r="B316" t="s">
        <v>866</v>
      </c>
      <c r="C316" s="4" t="s">
        <v>1055</v>
      </c>
      <c r="D316" t="s">
        <v>1292</v>
      </c>
      <c r="E316" t="s">
        <v>1293</v>
      </c>
      <c r="F316" t="s">
        <v>1320</v>
      </c>
      <c r="G316" s="9">
        <v>906.71</v>
      </c>
      <c r="H316">
        <v>1130.77</v>
      </c>
      <c r="I316">
        <v>224.06</v>
      </c>
      <c r="J316">
        <v>1046.45</v>
      </c>
      <c r="K316">
        <f t="shared" si="32"/>
        <v>1130.77</v>
      </c>
      <c r="L316">
        <f t="shared" si="33"/>
        <v>906.71</v>
      </c>
      <c r="M316">
        <f t="shared" si="34"/>
        <v>224.06</v>
      </c>
      <c r="N316" t="str">
        <f t="shared" si="35"/>
        <v>City Power &amp; Gas Co</v>
      </c>
      <c r="O316" t="str">
        <f t="shared" si="36"/>
        <v>Utilities</v>
      </c>
      <c r="P316" t="str">
        <f t="shared" si="37"/>
        <v>Deposit</v>
      </c>
      <c r="Q316">
        <f t="shared" si="38"/>
        <v>906.71</v>
      </c>
      <c r="R316">
        <f t="shared" si="39"/>
        <v>-139.74</v>
      </c>
    </row>
    <row r="317" spans="1:18" x14ac:dyDescent="0.3">
      <c r="A317" t="s">
        <v>325</v>
      </c>
      <c r="B317" t="s">
        <v>884</v>
      </c>
      <c r="C317" s="4" t="s">
        <v>1083</v>
      </c>
      <c r="D317" t="s">
        <v>1291</v>
      </c>
      <c r="E317" t="s">
        <v>1295</v>
      </c>
      <c r="F317" t="s">
        <v>1313</v>
      </c>
      <c r="G317" s="9">
        <v>753.54</v>
      </c>
      <c r="H317">
        <v>1020.49</v>
      </c>
      <c r="I317">
        <v>-153.07</v>
      </c>
      <c r="J317">
        <v>684.36</v>
      </c>
      <c r="K317">
        <f t="shared" si="32"/>
        <v>1020.49</v>
      </c>
      <c r="L317">
        <f t="shared" si="33"/>
        <v>1173.56</v>
      </c>
      <c r="M317">
        <f t="shared" si="34"/>
        <v>-153.07</v>
      </c>
      <c r="N317" t="str">
        <f t="shared" si="35"/>
        <v>Fresh &amp; Fast Logistics</v>
      </c>
      <c r="O317" t="str">
        <f t="shared" si="36"/>
        <v>Groceries</v>
      </c>
      <c r="P317" t="str">
        <f t="shared" si="37"/>
        <v>Withdrawal</v>
      </c>
      <c r="Q317">
        <f t="shared" si="38"/>
        <v>753.54</v>
      </c>
      <c r="R317">
        <f t="shared" si="39"/>
        <v>69.17999999999995</v>
      </c>
    </row>
    <row r="318" spans="1:18" x14ac:dyDescent="0.3">
      <c r="A318" t="s">
        <v>326</v>
      </c>
      <c r="B318" t="s">
        <v>887</v>
      </c>
      <c r="C318" s="4" t="s">
        <v>1152</v>
      </c>
      <c r="D318" t="s">
        <v>1292</v>
      </c>
      <c r="E318" t="s">
        <v>1299</v>
      </c>
      <c r="F318" t="s">
        <v>1312</v>
      </c>
      <c r="G318" s="9">
        <v>598.87</v>
      </c>
      <c r="H318">
        <v>751.1</v>
      </c>
      <c r="I318">
        <v>152.22999999999999</v>
      </c>
      <c r="J318">
        <v>541.47</v>
      </c>
      <c r="K318">
        <f t="shared" si="32"/>
        <v>751.1</v>
      </c>
      <c r="L318">
        <f t="shared" si="33"/>
        <v>598.87</v>
      </c>
      <c r="M318">
        <f t="shared" si="34"/>
        <v>152.22999999999999</v>
      </c>
      <c r="N318" t="str">
        <f t="shared" si="35"/>
        <v>Netflix Streaming Premium</v>
      </c>
      <c r="O318" t="str">
        <f t="shared" si="36"/>
        <v>Entertainment</v>
      </c>
      <c r="P318" t="str">
        <f t="shared" si="37"/>
        <v>Deposit</v>
      </c>
      <c r="Q318">
        <f t="shared" si="38"/>
        <v>598.87</v>
      </c>
      <c r="R318">
        <f t="shared" si="39"/>
        <v>57.399999999999977</v>
      </c>
    </row>
    <row r="319" spans="1:18" x14ac:dyDescent="0.3">
      <c r="A319" t="s">
        <v>327</v>
      </c>
      <c r="B319" t="s">
        <v>905</v>
      </c>
      <c r="C319" s="4" t="s">
        <v>1153</v>
      </c>
      <c r="D319" t="s">
        <v>1291</v>
      </c>
      <c r="E319" t="s">
        <v>1295</v>
      </c>
      <c r="F319" t="s">
        <v>1313</v>
      </c>
      <c r="G319" s="9">
        <v>719.98</v>
      </c>
      <c r="H319">
        <v>888.83</v>
      </c>
      <c r="I319">
        <v>-133.32</v>
      </c>
      <c r="J319">
        <v>774.08</v>
      </c>
      <c r="K319">
        <f t="shared" si="32"/>
        <v>888.83</v>
      </c>
      <c r="L319">
        <f t="shared" si="33"/>
        <v>1022.1500000000001</v>
      </c>
      <c r="M319">
        <f t="shared" si="34"/>
        <v>-133.32</v>
      </c>
      <c r="N319" t="str">
        <f t="shared" si="35"/>
        <v>Fresh &amp; Fast Logistics</v>
      </c>
      <c r="O319" t="str">
        <f t="shared" si="36"/>
        <v>Groceries</v>
      </c>
      <c r="P319" t="str">
        <f t="shared" si="37"/>
        <v>Withdrawal</v>
      </c>
      <c r="Q319">
        <f t="shared" si="38"/>
        <v>719.98</v>
      </c>
      <c r="R319">
        <f t="shared" si="39"/>
        <v>-54.100000000000023</v>
      </c>
    </row>
    <row r="320" spans="1:18" x14ac:dyDescent="0.3">
      <c r="A320" t="s">
        <v>328</v>
      </c>
      <c r="B320" t="s">
        <v>910</v>
      </c>
      <c r="C320" s="4" t="s">
        <v>1017</v>
      </c>
      <c r="D320" t="s">
        <v>1292</v>
      </c>
      <c r="E320" t="s">
        <v>1295</v>
      </c>
      <c r="F320" t="s">
        <v>1313</v>
      </c>
      <c r="G320" s="9">
        <v>834.11</v>
      </c>
      <c r="H320">
        <v>1022.15</v>
      </c>
      <c r="I320">
        <v>188.04</v>
      </c>
      <c r="J320">
        <v>764.32</v>
      </c>
      <c r="K320">
        <f t="shared" si="32"/>
        <v>1022.15</v>
      </c>
      <c r="L320">
        <f t="shared" si="33"/>
        <v>834.11</v>
      </c>
      <c r="M320">
        <f t="shared" si="34"/>
        <v>188.04</v>
      </c>
      <c r="N320" t="str">
        <f t="shared" si="35"/>
        <v>Fresh &amp; Fast Logistics</v>
      </c>
      <c r="O320" t="str">
        <f t="shared" si="36"/>
        <v>Groceries</v>
      </c>
      <c r="P320" t="str">
        <f t="shared" si="37"/>
        <v>Deposit</v>
      </c>
      <c r="Q320">
        <f t="shared" si="38"/>
        <v>834.11</v>
      </c>
      <c r="R320">
        <f t="shared" si="39"/>
        <v>69.789999999999964</v>
      </c>
    </row>
    <row r="321" spans="1:18" x14ac:dyDescent="0.3">
      <c r="A321" t="s">
        <v>329</v>
      </c>
      <c r="B321" t="s">
        <v>882</v>
      </c>
      <c r="C321" s="4" t="s">
        <v>1154</v>
      </c>
      <c r="D321" t="s">
        <v>1291</v>
      </c>
      <c r="E321" t="s">
        <v>1296</v>
      </c>
      <c r="F321" t="s">
        <v>1303</v>
      </c>
      <c r="G321" s="9">
        <v>7296.32</v>
      </c>
      <c r="H321">
        <v>8457.56</v>
      </c>
      <c r="I321">
        <v>-1268.6300000000001</v>
      </c>
      <c r="J321">
        <v>6664.36</v>
      </c>
      <c r="K321">
        <f t="shared" si="32"/>
        <v>8457.56</v>
      </c>
      <c r="L321">
        <f t="shared" si="33"/>
        <v>9726.1899999999987</v>
      </c>
      <c r="M321">
        <f t="shared" si="34"/>
        <v>-1268.6300000000001</v>
      </c>
      <c r="N321" t="str">
        <f t="shared" si="35"/>
        <v>Global Industries Llc</v>
      </c>
      <c r="O321" t="str">
        <f t="shared" si="36"/>
        <v>Salary</v>
      </c>
      <c r="P321" t="str">
        <f t="shared" si="37"/>
        <v>Withdrawal</v>
      </c>
      <c r="Q321">
        <f t="shared" si="38"/>
        <v>7296.32</v>
      </c>
      <c r="R321">
        <f t="shared" si="39"/>
        <v>631.96</v>
      </c>
    </row>
    <row r="322" spans="1:18" x14ac:dyDescent="0.3">
      <c r="A322" t="s">
        <v>330</v>
      </c>
      <c r="B322" t="s">
        <v>883</v>
      </c>
      <c r="C322" s="4" t="s">
        <v>951</v>
      </c>
      <c r="D322" t="s">
        <v>1292</v>
      </c>
      <c r="E322" t="s">
        <v>1296</v>
      </c>
      <c r="F322" t="s">
        <v>1307</v>
      </c>
      <c r="G322" s="9">
        <v>9215.35</v>
      </c>
      <c r="H322">
        <v>12416.47</v>
      </c>
      <c r="I322">
        <v>3201.12</v>
      </c>
      <c r="J322">
        <v>10062.51</v>
      </c>
      <c r="K322">
        <f t="shared" si="32"/>
        <v>12416.47</v>
      </c>
      <c r="L322">
        <f t="shared" si="33"/>
        <v>9215.3499999999985</v>
      </c>
      <c r="M322">
        <f t="shared" si="34"/>
        <v>3201.12</v>
      </c>
      <c r="N322" t="str">
        <f t="shared" si="35"/>
        <v>Techcorp Payroll Inc</v>
      </c>
      <c r="O322" t="str">
        <f t="shared" si="36"/>
        <v>Salary</v>
      </c>
      <c r="P322" t="str">
        <f t="shared" si="37"/>
        <v>Deposit</v>
      </c>
      <c r="Q322">
        <f t="shared" si="38"/>
        <v>9215.35</v>
      </c>
      <c r="R322">
        <f t="shared" si="39"/>
        <v>-847.15999999999985</v>
      </c>
    </row>
    <row r="323" spans="1:18" x14ac:dyDescent="0.3">
      <c r="A323" t="s">
        <v>331</v>
      </c>
      <c r="B323" t="s">
        <v>870</v>
      </c>
      <c r="C323" s="4" t="s">
        <v>979</v>
      </c>
      <c r="D323" t="s">
        <v>1291</v>
      </c>
      <c r="E323" t="s">
        <v>1294</v>
      </c>
      <c r="F323" t="s">
        <v>1315</v>
      </c>
      <c r="G323" s="9">
        <v>190.79</v>
      </c>
      <c r="H323">
        <v>232.68</v>
      </c>
      <c r="I323">
        <v>-34.9</v>
      </c>
      <c r="J323">
        <v>195.29</v>
      </c>
      <c r="K323">
        <f t="shared" ref="K323:K386" si="40">IF(H323,H323,AVERAGE($H$2:$H$35))</f>
        <v>232.68</v>
      </c>
      <c r="L323">
        <f t="shared" ref="L323:L386" si="41">K323-M323</f>
        <v>267.58</v>
      </c>
      <c r="M323">
        <f t="shared" ref="M323:M386" si="42">IF(I323,I323,AVERAGE($I$2:$I$68))</f>
        <v>-34.9</v>
      </c>
      <c r="N323" t="str">
        <f t="shared" ref="N323:N386" si="43">PROPER(F323)</f>
        <v>Ebay International</v>
      </c>
      <c r="O323" t="str">
        <f t="shared" ref="O323:O386" si="44">PROPER(E323)</f>
        <v>Online Shopping</v>
      </c>
      <c r="P323" t="str">
        <f t="shared" ref="P323:P386" si="45">PROPER(D323)</f>
        <v>Withdrawal</v>
      </c>
      <c r="Q323">
        <f t="shared" ref="Q323:Q386" si="46">IF(G323,G323,AVERAGE($G$2:$G$31))</f>
        <v>190.79</v>
      </c>
      <c r="R323">
        <f t="shared" ref="R323:R386" si="47">Q323-J323</f>
        <v>-4.5</v>
      </c>
    </row>
    <row r="324" spans="1:18" x14ac:dyDescent="0.3">
      <c r="A324" t="s">
        <v>332</v>
      </c>
      <c r="B324" t="s">
        <v>911</v>
      </c>
      <c r="C324" s="4" t="s">
        <v>1084</v>
      </c>
      <c r="D324" t="s">
        <v>1291</v>
      </c>
      <c r="E324" t="s">
        <v>1295</v>
      </c>
      <c r="F324" t="s">
        <v>1304</v>
      </c>
      <c r="G324" s="9">
        <v>187.39</v>
      </c>
      <c r="H324">
        <v>249.11</v>
      </c>
      <c r="I324">
        <v>-37.369999999999997</v>
      </c>
      <c r="J324">
        <v>197.95</v>
      </c>
      <c r="K324">
        <f t="shared" si="40"/>
        <v>249.11</v>
      </c>
      <c r="L324">
        <f t="shared" si="41"/>
        <v>286.48</v>
      </c>
      <c r="M324">
        <f t="shared" si="42"/>
        <v>-37.369999999999997</v>
      </c>
      <c r="N324" t="str">
        <f t="shared" si="43"/>
        <v>Whole Foods Store</v>
      </c>
      <c r="O324" t="str">
        <f t="shared" si="44"/>
        <v>Groceries</v>
      </c>
      <c r="P324" t="str">
        <f t="shared" si="45"/>
        <v>Withdrawal</v>
      </c>
      <c r="Q324">
        <f t="shared" si="46"/>
        <v>187.39</v>
      </c>
      <c r="R324">
        <f t="shared" si="47"/>
        <v>-10.560000000000002</v>
      </c>
    </row>
    <row r="325" spans="1:18" x14ac:dyDescent="0.3">
      <c r="A325" t="s">
        <v>333</v>
      </c>
      <c r="B325" t="s">
        <v>879</v>
      </c>
      <c r="C325" s="4" t="s">
        <v>1070</v>
      </c>
      <c r="D325" t="s">
        <v>1291</v>
      </c>
      <c r="E325" t="s">
        <v>1294</v>
      </c>
      <c r="F325" t="s">
        <v>1301</v>
      </c>
      <c r="G325" s="9">
        <v>1053.8</v>
      </c>
      <c r="H325">
        <v>1288.05</v>
      </c>
      <c r="I325">
        <v>-193.21</v>
      </c>
      <c r="J325">
        <v>1233.8900000000001</v>
      </c>
      <c r="K325">
        <f t="shared" si="40"/>
        <v>1288.05</v>
      </c>
      <c r="L325">
        <f t="shared" si="41"/>
        <v>1481.26</v>
      </c>
      <c r="M325">
        <f t="shared" si="42"/>
        <v>-193.21</v>
      </c>
      <c r="N325" t="str">
        <f t="shared" si="43"/>
        <v>Amazon Digital Supply</v>
      </c>
      <c r="O325" t="str">
        <f t="shared" si="44"/>
        <v>Online Shopping</v>
      </c>
      <c r="P325" t="str">
        <f t="shared" si="45"/>
        <v>Withdrawal</v>
      </c>
      <c r="Q325">
        <f t="shared" si="46"/>
        <v>1053.8</v>
      </c>
      <c r="R325">
        <f t="shared" si="47"/>
        <v>-180.09000000000015</v>
      </c>
    </row>
    <row r="326" spans="1:18" x14ac:dyDescent="0.3">
      <c r="A326" t="s">
        <v>334</v>
      </c>
      <c r="B326" t="s">
        <v>873</v>
      </c>
      <c r="C326" s="4" t="s">
        <v>1155</v>
      </c>
      <c r="D326" t="s">
        <v>1291</v>
      </c>
      <c r="E326" t="s">
        <v>1297</v>
      </c>
      <c r="F326" t="s">
        <v>1309</v>
      </c>
      <c r="G326" s="9">
        <v>790.59</v>
      </c>
      <c r="H326">
        <v>924.67</v>
      </c>
      <c r="I326">
        <v>-138.69999999999999</v>
      </c>
      <c r="J326">
        <v>796.92</v>
      </c>
      <c r="K326">
        <f t="shared" si="40"/>
        <v>924.67</v>
      </c>
      <c r="L326">
        <f t="shared" si="41"/>
        <v>1063.3699999999999</v>
      </c>
      <c r="M326">
        <f t="shared" si="42"/>
        <v>-138.69999999999999</v>
      </c>
      <c r="N326" t="str">
        <f t="shared" si="43"/>
        <v>Olive Garden Gourmet</v>
      </c>
      <c r="O326" t="str">
        <f t="shared" si="44"/>
        <v>Dining Out</v>
      </c>
      <c r="P326" t="str">
        <f t="shared" si="45"/>
        <v>Withdrawal</v>
      </c>
      <c r="Q326">
        <f t="shared" si="46"/>
        <v>790.59</v>
      </c>
      <c r="R326">
        <f t="shared" si="47"/>
        <v>-6.3299999999999272</v>
      </c>
    </row>
    <row r="327" spans="1:18" x14ac:dyDescent="0.3">
      <c r="A327" t="s">
        <v>335</v>
      </c>
      <c r="B327" t="s">
        <v>905</v>
      </c>
      <c r="C327" s="4" t="s">
        <v>1062</v>
      </c>
      <c r="D327" t="s">
        <v>1292</v>
      </c>
      <c r="E327" t="s">
        <v>1294</v>
      </c>
      <c r="F327" t="s">
        <v>1314</v>
      </c>
      <c r="G327" s="9">
        <v>288.57</v>
      </c>
      <c r="H327">
        <v>400.31</v>
      </c>
      <c r="I327">
        <v>111.74</v>
      </c>
      <c r="J327">
        <v>320.02</v>
      </c>
      <c r="K327">
        <f t="shared" si="40"/>
        <v>400.31</v>
      </c>
      <c r="L327">
        <f t="shared" si="41"/>
        <v>288.57</v>
      </c>
      <c r="M327">
        <f t="shared" si="42"/>
        <v>111.74</v>
      </c>
      <c r="N327" t="str">
        <f t="shared" si="43"/>
        <v>Target Direct Online</v>
      </c>
      <c r="O327" t="str">
        <f t="shared" si="44"/>
        <v>Online Shopping</v>
      </c>
      <c r="P327" t="str">
        <f t="shared" si="45"/>
        <v>Deposit</v>
      </c>
      <c r="Q327">
        <f t="shared" si="46"/>
        <v>288.57</v>
      </c>
      <c r="R327">
        <f t="shared" si="47"/>
        <v>-31.449999999999989</v>
      </c>
    </row>
    <row r="328" spans="1:18" x14ac:dyDescent="0.3">
      <c r="A328" t="s">
        <v>336</v>
      </c>
      <c r="B328" t="s">
        <v>801</v>
      </c>
      <c r="C328" s="4" t="s">
        <v>1021</v>
      </c>
      <c r="D328" t="s">
        <v>1292</v>
      </c>
      <c r="E328" t="s">
        <v>1299</v>
      </c>
      <c r="F328" t="s">
        <v>1311</v>
      </c>
      <c r="G328" s="9">
        <v>126.75</v>
      </c>
      <c r="H328">
        <v>158.85</v>
      </c>
      <c r="I328">
        <v>32.1</v>
      </c>
      <c r="J328">
        <v>144.80000000000001</v>
      </c>
      <c r="K328">
        <f t="shared" si="40"/>
        <v>158.85</v>
      </c>
      <c r="L328">
        <f t="shared" si="41"/>
        <v>126.75</v>
      </c>
      <c r="M328">
        <f t="shared" si="42"/>
        <v>32.1</v>
      </c>
      <c r="N328" t="str">
        <f t="shared" si="43"/>
        <v>Spotify Music Hub</v>
      </c>
      <c r="O328" t="str">
        <f t="shared" si="44"/>
        <v>Entertainment</v>
      </c>
      <c r="P328" t="str">
        <f t="shared" si="45"/>
        <v>Deposit</v>
      </c>
      <c r="Q328">
        <f t="shared" si="46"/>
        <v>126.75</v>
      </c>
      <c r="R328">
        <f t="shared" si="47"/>
        <v>-18.050000000000011</v>
      </c>
    </row>
    <row r="329" spans="1:18" x14ac:dyDescent="0.3">
      <c r="A329" t="s">
        <v>337</v>
      </c>
      <c r="B329" t="s">
        <v>808</v>
      </c>
      <c r="C329" s="4" t="s">
        <v>1104</v>
      </c>
      <c r="D329" t="s">
        <v>1291</v>
      </c>
      <c r="E329" t="s">
        <v>1296</v>
      </c>
      <c r="F329" t="s">
        <v>1307</v>
      </c>
      <c r="G329" s="9">
        <v>5127.05</v>
      </c>
      <c r="H329">
        <v>6752.05</v>
      </c>
      <c r="I329">
        <v>-1012.81</v>
      </c>
      <c r="J329">
        <v>5714.81</v>
      </c>
      <c r="K329">
        <f t="shared" si="40"/>
        <v>6752.05</v>
      </c>
      <c r="L329">
        <f t="shared" si="41"/>
        <v>7764.8600000000006</v>
      </c>
      <c r="M329">
        <f t="shared" si="42"/>
        <v>-1012.81</v>
      </c>
      <c r="N329" t="str">
        <f t="shared" si="43"/>
        <v>Techcorp Payroll Inc</v>
      </c>
      <c r="O329" t="str">
        <f t="shared" si="44"/>
        <v>Salary</v>
      </c>
      <c r="P329" t="str">
        <f t="shared" si="45"/>
        <v>Withdrawal</v>
      </c>
      <c r="Q329">
        <f t="shared" si="46"/>
        <v>5127.05</v>
      </c>
      <c r="R329">
        <f t="shared" si="47"/>
        <v>-587.76000000000022</v>
      </c>
    </row>
    <row r="330" spans="1:18" x14ac:dyDescent="0.3">
      <c r="A330" t="s">
        <v>338</v>
      </c>
      <c r="B330" t="s">
        <v>910</v>
      </c>
      <c r="C330" s="4" t="s">
        <v>1068</v>
      </c>
      <c r="D330" t="s">
        <v>1292</v>
      </c>
      <c r="E330" t="s">
        <v>1298</v>
      </c>
      <c r="F330" t="s">
        <v>1310</v>
      </c>
      <c r="G330" s="9">
        <v>1173.9000000000001</v>
      </c>
      <c r="H330">
        <v>1431.78</v>
      </c>
      <c r="I330">
        <v>257.88</v>
      </c>
      <c r="J330">
        <v>1130.6500000000001</v>
      </c>
      <c r="K330">
        <f t="shared" si="40"/>
        <v>1431.78</v>
      </c>
      <c r="L330">
        <f t="shared" si="41"/>
        <v>1173.9000000000001</v>
      </c>
      <c r="M330">
        <f t="shared" si="42"/>
        <v>257.88</v>
      </c>
      <c r="N330" t="str">
        <f t="shared" si="43"/>
        <v>Zelle Payment Engine</v>
      </c>
      <c r="O330" t="str">
        <f t="shared" si="44"/>
        <v>Transfer</v>
      </c>
      <c r="P330" t="str">
        <f t="shared" si="45"/>
        <v>Deposit</v>
      </c>
      <c r="Q330">
        <f t="shared" si="46"/>
        <v>1173.9000000000001</v>
      </c>
      <c r="R330">
        <f t="shared" si="47"/>
        <v>43.25</v>
      </c>
    </row>
    <row r="331" spans="1:18" x14ac:dyDescent="0.3">
      <c r="A331" t="s">
        <v>339</v>
      </c>
      <c r="B331" t="s">
        <v>894</v>
      </c>
      <c r="C331" s="4" t="s">
        <v>964</v>
      </c>
      <c r="D331" t="s">
        <v>1291</v>
      </c>
      <c r="E331" t="s">
        <v>1297</v>
      </c>
      <c r="F331" t="s">
        <v>1319</v>
      </c>
      <c r="G331" s="9">
        <v>153.31</v>
      </c>
      <c r="H331">
        <v>182.5</v>
      </c>
      <c r="I331">
        <v>-27.38</v>
      </c>
      <c r="J331">
        <v>175.52</v>
      </c>
      <c r="K331">
        <f t="shared" si="40"/>
        <v>182.5</v>
      </c>
      <c r="L331">
        <f t="shared" si="41"/>
        <v>209.88</v>
      </c>
      <c r="M331">
        <f t="shared" si="42"/>
        <v>-27.38</v>
      </c>
      <c r="N331" t="str">
        <f t="shared" si="43"/>
        <v>Starbucks Hub Cafe</v>
      </c>
      <c r="O331" t="str">
        <f t="shared" si="44"/>
        <v>Dining Out</v>
      </c>
      <c r="P331" t="str">
        <f t="shared" si="45"/>
        <v>Withdrawal</v>
      </c>
      <c r="Q331">
        <f t="shared" si="46"/>
        <v>153.31</v>
      </c>
      <c r="R331">
        <f t="shared" si="47"/>
        <v>-22.210000000000008</v>
      </c>
    </row>
    <row r="332" spans="1:18" x14ac:dyDescent="0.3">
      <c r="A332" t="s">
        <v>340</v>
      </c>
      <c r="B332" t="s">
        <v>868</v>
      </c>
      <c r="C332" s="4" t="s">
        <v>1083</v>
      </c>
      <c r="D332" t="s">
        <v>1292</v>
      </c>
      <c r="E332" t="s">
        <v>1296</v>
      </c>
      <c r="F332" t="s">
        <v>1307</v>
      </c>
      <c r="G332" s="9">
        <v>4691.96</v>
      </c>
      <c r="H332">
        <v>5971.35</v>
      </c>
      <c r="I332">
        <v>1279.3900000000001</v>
      </c>
      <c r="J332">
        <v>5356.43</v>
      </c>
      <c r="K332">
        <f t="shared" si="40"/>
        <v>5971.35</v>
      </c>
      <c r="L332">
        <f t="shared" si="41"/>
        <v>4691.96</v>
      </c>
      <c r="M332">
        <f t="shared" si="42"/>
        <v>1279.3900000000001</v>
      </c>
      <c r="N332" t="str">
        <f t="shared" si="43"/>
        <v>Techcorp Payroll Inc</v>
      </c>
      <c r="O332" t="str">
        <f t="shared" si="44"/>
        <v>Salary</v>
      </c>
      <c r="P332" t="str">
        <f t="shared" si="45"/>
        <v>Deposit</v>
      </c>
      <c r="Q332">
        <f t="shared" si="46"/>
        <v>4691.96</v>
      </c>
      <c r="R332">
        <f t="shared" si="47"/>
        <v>-664.47000000000025</v>
      </c>
    </row>
    <row r="333" spans="1:18" x14ac:dyDescent="0.3">
      <c r="A333" t="s">
        <v>341</v>
      </c>
      <c r="B333" t="s">
        <v>899</v>
      </c>
      <c r="C333" s="4" t="s">
        <v>1156</v>
      </c>
      <c r="D333" t="s">
        <v>1291</v>
      </c>
      <c r="E333" t="s">
        <v>1297</v>
      </c>
      <c r="F333" t="s">
        <v>1309</v>
      </c>
      <c r="G333" s="9">
        <v>1038.03</v>
      </c>
      <c r="H333">
        <v>1225.1199999999999</v>
      </c>
      <c r="I333">
        <v>-183.77</v>
      </c>
      <c r="J333">
        <v>987.09</v>
      </c>
      <c r="K333">
        <f t="shared" si="40"/>
        <v>1225.1199999999999</v>
      </c>
      <c r="L333">
        <f t="shared" si="41"/>
        <v>1408.8899999999999</v>
      </c>
      <c r="M333">
        <f t="shared" si="42"/>
        <v>-183.77</v>
      </c>
      <c r="N333" t="str">
        <f t="shared" si="43"/>
        <v>Olive Garden Gourmet</v>
      </c>
      <c r="O333" t="str">
        <f t="shared" si="44"/>
        <v>Dining Out</v>
      </c>
      <c r="P333" t="str">
        <f t="shared" si="45"/>
        <v>Withdrawal</v>
      </c>
      <c r="Q333">
        <f t="shared" si="46"/>
        <v>1038.03</v>
      </c>
      <c r="R333">
        <f t="shared" si="47"/>
        <v>50.939999999999941</v>
      </c>
    </row>
    <row r="334" spans="1:18" x14ac:dyDescent="0.3">
      <c r="A334" t="s">
        <v>342</v>
      </c>
      <c r="B334" t="s">
        <v>864</v>
      </c>
      <c r="C334" s="4" t="s">
        <v>1011</v>
      </c>
      <c r="D334" t="s">
        <v>1292</v>
      </c>
      <c r="E334" t="s">
        <v>1297</v>
      </c>
      <c r="F334" t="s">
        <v>1309</v>
      </c>
      <c r="G334" s="9">
        <v>616.42999999999995</v>
      </c>
      <c r="H334">
        <v>761.56</v>
      </c>
      <c r="I334">
        <v>145.13</v>
      </c>
      <c r="J334">
        <v>586.98</v>
      </c>
      <c r="K334">
        <f t="shared" si="40"/>
        <v>761.56</v>
      </c>
      <c r="L334">
        <f t="shared" si="41"/>
        <v>616.42999999999995</v>
      </c>
      <c r="M334">
        <f t="shared" si="42"/>
        <v>145.13</v>
      </c>
      <c r="N334" t="str">
        <f t="shared" si="43"/>
        <v>Olive Garden Gourmet</v>
      </c>
      <c r="O334" t="str">
        <f t="shared" si="44"/>
        <v>Dining Out</v>
      </c>
      <c r="P334" t="str">
        <f t="shared" si="45"/>
        <v>Deposit</v>
      </c>
      <c r="Q334">
        <f t="shared" si="46"/>
        <v>616.42999999999995</v>
      </c>
      <c r="R334">
        <f t="shared" si="47"/>
        <v>29.449999999999932</v>
      </c>
    </row>
    <row r="335" spans="1:18" x14ac:dyDescent="0.3">
      <c r="A335" t="s">
        <v>343</v>
      </c>
      <c r="B335" t="s">
        <v>912</v>
      </c>
      <c r="C335" s="4" t="s">
        <v>1113</v>
      </c>
      <c r="D335" t="s">
        <v>1291</v>
      </c>
      <c r="E335" t="s">
        <v>1294</v>
      </c>
      <c r="F335" t="s">
        <v>1314</v>
      </c>
      <c r="G335" s="9">
        <v>743.45</v>
      </c>
      <c r="H335">
        <v>957.3</v>
      </c>
      <c r="I335">
        <v>-143.59</v>
      </c>
      <c r="J335">
        <v>843.11</v>
      </c>
      <c r="K335">
        <f t="shared" si="40"/>
        <v>957.3</v>
      </c>
      <c r="L335">
        <f t="shared" si="41"/>
        <v>1100.8899999999999</v>
      </c>
      <c r="M335">
        <f t="shared" si="42"/>
        <v>-143.59</v>
      </c>
      <c r="N335" t="str">
        <f t="shared" si="43"/>
        <v>Target Direct Online</v>
      </c>
      <c r="O335" t="str">
        <f t="shared" si="44"/>
        <v>Online Shopping</v>
      </c>
      <c r="P335" t="str">
        <f t="shared" si="45"/>
        <v>Withdrawal</v>
      </c>
      <c r="Q335">
        <f t="shared" si="46"/>
        <v>743.45</v>
      </c>
      <c r="R335">
        <f t="shared" si="47"/>
        <v>-99.659999999999968</v>
      </c>
    </row>
    <row r="336" spans="1:18" x14ac:dyDescent="0.3">
      <c r="A336" t="s">
        <v>344</v>
      </c>
      <c r="B336" t="s">
        <v>803</v>
      </c>
      <c r="C336" s="4" t="s">
        <v>1060</v>
      </c>
      <c r="D336" t="s">
        <v>1291</v>
      </c>
      <c r="E336" t="s">
        <v>1298</v>
      </c>
      <c r="F336" t="s">
        <v>1317</v>
      </c>
      <c r="G336" s="9">
        <v>166.11</v>
      </c>
      <c r="H336">
        <v>216.04</v>
      </c>
      <c r="I336">
        <v>-32.409999999999997</v>
      </c>
      <c r="J336">
        <v>188.93</v>
      </c>
      <c r="K336">
        <f t="shared" si="40"/>
        <v>216.04</v>
      </c>
      <c r="L336">
        <f t="shared" si="41"/>
        <v>248.45</v>
      </c>
      <c r="M336">
        <f t="shared" si="42"/>
        <v>-32.409999999999997</v>
      </c>
      <c r="N336" t="str">
        <f t="shared" si="43"/>
        <v>External Wire Clearance</v>
      </c>
      <c r="O336" t="str">
        <f t="shared" si="44"/>
        <v>Transfer</v>
      </c>
      <c r="P336" t="str">
        <f t="shared" si="45"/>
        <v>Withdrawal</v>
      </c>
      <c r="Q336">
        <f t="shared" si="46"/>
        <v>166.11</v>
      </c>
      <c r="R336">
        <f t="shared" si="47"/>
        <v>-22.819999999999993</v>
      </c>
    </row>
    <row r="337" spans="1:18" x14ac:dyDescent="0.3">
      <c r="A337" t="s">
        <v>345</v>
      </c>
      <c r="B337" t="s">
        <v>834</v>
      </c>
      <c r="C337" s="4" t="s">
        <v>1135</v>
      </c>
      <c r="D337" t="s">
        <v>1291</v>
      </c>
      <c r="E337" t="s">
        <v>1299</v>
      </c>
      <c r="F337" t="s">
        <v>1312</v>
      </c>
      <c r="G337" s="9">
        <v>1059.99</v>
      </c>
      <c r="H337">
        <v>1314.23</v>
      </c>
      <c r="I337">
        <v>-197.13</v>
      </c>
      <c r="J337">
        <v>1217.1099999999999</v>
      </c>
      <c r="K337">
        <f t="shared" si="40"/>
        <v>1314.23</v>
      </c>
      <c r="L337">
        <f t="shared" si="41"/>
        <v>1511.3600000000001</v>
      </c>
      <c r="M337">
        <f t="shared" si="42"/>
        <v>-197.13</v>
      </c>
      <c r="N337" t="str">
        <f t="shared" si="43"/>
        <v>Netflix Streaming Premium</v>
      </c>
      <c r="O337" t="str">
        <f t="shared" si="44"/>
        <v>Entertainment</v>
      </c>
      <c r="P337" t="str">
        <f t="shared" si="45"/>
        <v>Withdrawal</v>
      </c>
      <c r="Q337">
        <f t="shared" si="46"/>
        <v>1059.99</v>
      </c>
      <c r="R337">
        <f t="shared" si="47"/>
        <v>-157.11999999999989</v>
      </c>
    </row>
    <row r="338" spans="1:18" x14ac:dyDescent="0.3">
      <c r="A338" t="s">
        <v>346</v>
      </c>
      <c r="B338" t="s">
        <v>839</v>
      </c>
      <c r="C338" s="4" t="s">
        <v>1157</v>
      </c>
      <c r="D338" t="s">
        <v>1291</v>
      </c>
      <c r="E338" t="s">
        <v>1295</v>
      </c>
      <c r="F338" t="s">
        <v>1313</v>
      </c>
      <c r="H338">
        <v>119.33</v>
      </c>
      <c r="I338">
        <v>-17.899999999999999</v>
      </c>
      <c r="J338">
        <v>119.13</v>
      </c>
      <c r="K338">
        <f t="shared" si="40"/>
        <v>119.33</v>
      </c>
      <c r="L338">
        <f t="shared" si="41"/>
        <v>137.22999999999999</v>
      </c>
      <c r="M338">
        <f t="shared" si="42"/>
        <v>-17.899999999999999</v>
      </c>
      <c r="N338" t="str">
        <f t="shared" si="43"/>
        <v>Fresh &amp; Fast Logistics</v>
      </c>
      <c r="O338" t="str">
        <f t="shared" si="44"/>
        <v>Groceries</v>
      </c>
      <c r="P338" t="str">
        <f t="shared" si="45"/>
        <v>Withdrawal</v>
      </c>
      <c r="Q338">
        <f t="shared" si="46"/>
        <v>1219.4163333333336</v>
      </c>
      <c r="R338">
        <f t="shared" si="47"/>
        <v>1100.2863333333335</v>
      </c>
    </row>
    <row r="339" spans="1:18" x14ac:dyDescent="0.3">
      <c r="A339" t="s">
        <v>347</v>
      </c>
      <c r="B339" t="s">
        <v>864</v>
      </c>
      <c r="C339" s="4" t="s">
        <v>939</v>
      </c>
      <c r="D339" t="s">
        <v>1292</v>
      </c>
      <c r="E339" t="s">
        <v>1297</v>
      </c>
      <c r="F339" t="s">
        <v>1319</v>
      </c>
      <c r="G339" s="9">
        <v>189.22</v>
      </c>
      <c r="H339">
        <v>226.78</v>
      </c>
      <c r="I339">
        <v>37.56</v>
      </c>
      <c r="J339">
        <v>200.28</v>
      </c>
      <c r="K339">
        <f t="shared" si="40"/>
        <v>226.78</v>
      </c>
      <c r="L339">
        <f t="shared" si="41"/>
        <v>189.22</v>
      </c>
      <c r="M339">
        <f t="shared" si="42"/>
        <v>37.56</v>
      </c>
      <c r="N339" t="str">
        <f t="shared" si="43"/>
        <v>Starbucks Hub Cafe</v>
      </c>
      <c r="O339" t="str">
        <f t="shared" si="44"/>
        <v>Dining Out</v>
      </c>
      <c r="P339" t="str">
        <f t="shared" si="45"/>
        <v>Deposit</v>
      </c>
      <c r="Q339">
        <f t="shared" si="46"/>
        <v>189.22</v>
      </c>
      <c r="R339">
        <f t="shared" si="47"/>
        <v>-11.060000000000002</v>
      </c>
    </row>
    <row r="340" spans="1:18" x14ac:dyDescent="0.3">
      <c r="A340" t="s">
        <v>348</v>
      </c>
      <c r="B340" t="s">
        <v>821</v>
      </c>
      <c r="C340" s="4" t="s">
        <v>1019</v>
      </c>
      <c r="D340" t="s">
        <v>1291</v>
      </c>
      <c r="E340" t="s">
        <v>1293</v>
      </c>
      <c r="F340" t="s">
        <v>1318</v>
      </c>
      <c r="G340" s="9">
        <v>543.02</v>
      </c>
      <c r="H340">
        <v>638.65</v>
      </c>
      <c r="I340">
        <v>-95.8</v>
      </c>
      <c r="J340">
        <v>622.76</v>
      </c>
      <c r="K340">
        <f t="shared" si="40"/>
        <v>638.65</v>
      </c>
      <c r="L340">
        <f t="shared" si="41"/>
        <v>734.44999999999993</v>
      </c>
      <c r="M340">
        <f t="shared" si="42"/>
        <v>-95.8</v>
      </c>
      <c r="N340" t="str">
        <f t="shared" si="43"/>
        <v>Metropolitan Water Sewer</v>
      </c>
      <c r="O340" t="str">
        <f t="shared" si="44"/>
        <v>Utilities</v>
      </c>
      <c r="P340" t="str">
        <f t="shared" si="45"/>
        <v>Withdrawal</v>
      </c>
      <c r="Q340">
        <f t="shared" si="46"/>
        <v>543.02</v>
      </c>
      <c r="R340">
        <f t="shared" si="47"/>
        <v>-79.740000000000009</v>
      </c>
    </row>
    <row r="341" spans="1:18" x14ac:dyDescent="0.3">
      <c r="A341" t="s">
        <v>349</v>
      </c>
      <c r="B341" t="s">
        <v>803</v>
      </c>
      <c r="C341" s="4" t="s">
        <v>1158</v>
      </c>
      <c r="D341" t="s">
        <v>1291</v>
      </c>
      <c r="E341" t="s">
        <v>1299</v>
      </c>
      <c r="F341" t="s">
        <v>1312</v>
      </c>
      <c r="G341" s="9">
        <v>279.48</v>
      </c>
      <c r="H341">
        <v>384.73</v>
      </c>
      <c r="I341">
        <v>-57.71</v>
      </c>
      <c r="J341">
        <v>325.18</v>
      </c>
      <c r="K341">
        <f t="shared" si="40"/>
        <v>384.73</v>
      </c>
      <c r="L341">
        <f t="shared" si="41"/>
        <v>442.44</v>
      </c>
      <c r="M341">
        <f t="shared" si="42"/>
        <v>-57.71</v>
      </c>
      <c r="N341" t="str">
        <f t="shared" si="43"/>
        <v>Netflix Streaming Premium</v>
      </c>
      <c r="O341" t="str">
        <f t="shared" si="44"/>
        <v>Entertainment</v>
      </c>
      <c r="P341" t="str">
        <f t="shared" si="45"/>
        <v>Withdrawal</v>
      </c>
      <c r="Q341">
        <f t="shared" si="46"/>
        <v>279.48</v>
      </c>
      <c r="R341">
        <f t="shared" si="47"/>
        <v>-45.699999999999989</v>
      </c>
    </row>
    <row r="342" spans="1:18" x14ac:dyDescent="0.3">
      <c r="A342" t="s">
        <v>350</v>
      </c>
      <c r="B342" t="s">
        <v>913</v>
      </c>
      <c r="C342" s="4" t="s">
        <v>1159</v>
      </c>
      <c r="D342" t="s">
        <v>1291</v>
      </c>
      <c r="E342" t="s">
        <v>1296</v>
      </c>
      <c r="F342" t="s">
        <v>1308</v>
      </c>
      <c r="G342" s="9">
        <v>7450.72</v>
      </c>
      <c r="H342">
        <v>9216.08</v>
      </c>
      <c r="I342">
        <v>-1382.41</v>
      </c>
      <c r="J342">
        <v>6813.5</v>
      </c>
      <c r="K342">
        <f t="shared" si="40"/>
        <v>9216.08</v>
      </c>
      <c r="L342">
        <f t="shared" si="41"/>
        <v>10598.49</v>
      </c>
      <c r="M342">
        <f t="shared" si="42"/>
        <v>-1382.41</v>
      </c>
      <c r="N342" t="str">
        <f t="shared" si="43"/>
        <v>Stark Retail Labs</v>
      </c>
      <c r="O342" t="str">
        <f t="shared" si="44"/>
        <v>Salary</v>
      </c>
      <c r="P342" t="str">
        <f t="shared" si="45"/>
        <v>Withdrawal</v>
      </c>
      <c r="Q342">
        <f t="shared" si="46"/>
        <v>7450.72</v>
      </c>
      <c r="R342">
        <f t="shared" si="47"/>
        <v>637.22000000000025</v>
      </c>
    </row>
    <row r="343" spans="1:18" x14ac:dyDescent="0.3">
      <c r="A343" t="s">
        <v>351</v>
      </c>
      <c r="B343" t="s">
        <v>870</v>
      </c>
      <c r="C343" s="4" t="s">
        <v>1088</v>
      </c>
      <c r="D343" t="s">
        <v>1292</v>
      </c>
      <c r="E343" t="s">
        <v>1297</v>
      </c>
      <c r="F343" t="s">
        <v>1309</v>
      </c>
      <c r="G343" s="9">
        <v>786.87</v>
      </c>
      <c r="H343">
        <v>1089.78</v>
      </c>
      <c r="I343">
        <v>302.91000000000003</v>
      </c>
      <c r="J343">
        <v>862.53</v>
      </c>
      <c r="K343">
        <f t="shared" si="40"/>
        <v>1089.78</v>
      </c>
      <c r="L343">
        <f t="shared" si="41"/>
        <v>786.86999999999989</v>
      </c>
      <c r="M343">
        <f t="shared" si="42"/>
        <v>302.91000000000003</v>
      </c>
      <c r="N343" t="str">
        <f t="shared" si="43"/>
        <v>Olive Garden Gourmet</v>
      </c>
      <c r="O343" t="str">
        <f t="shared" si="44"/>
        <v>Dining Out</v>
      </c>
      <c r="P343" t="str">
        <f t="shared" si="45"/>
        <v>Deposit</v>
      </c>
      <c r="Q343">
        <f t="shared" si="46"/>
        <v>786.87</v>
      </c>
      <c r="R343">
        <f t="shared" si="47"/>
        <v>-75.659999999999968</v>
      </c>
    </row>
    <row r="344" spans="1:18" x14ac:dyDescent="0.3">
      <c r="A344" t="s">
        <v>352</v>
      </c>
      <c r="B344" t="s">
        <v>785</v>
      </c>
      <c r="C344" s="4" t="s">
        <v>1087</v>
      </c>
      <c r="D344" t="s">
        <v>1291</v>
      </c>
      <c r="E344" t="s">
        <v>1296</v>
      </c>
      <c r="F344" t="s">
        <v>1307</v>
      </c>
      <c r="G344" s="9">
        <v>8212.48</v>
      </c>
      <c r="H344">
        <v>10287.52</v>
      </c>
      <c r="I344">
        <v>-1543.13</v>
      </c>
      <c r="J344">
        <v>9316.0300000000007</v>
      </c>
      <c r="K344">
        <f t="shared" si="40"/>
        <v>10287.52</v>
      </c>
      <c r="L344">
        <f t="shared" si="41"/>
        <v>11830.650000000001</v>
      </c>
      <c r="M344">
        <f t="shared" si="42"/>
        <v>-1543.13</v>
      </c>
      <c r="N344" t="str">
        <f t="shared" si="43"/>
        <v>Techcorp Payroll Inc</v>
      </c>
      <c r="O344" t="str">
        <f t="shared" si="44"/>
        <v>Salary</v>
      </c>
      <c r="P344" t="str">
        <f t="shared" si="45"/>
        <v>Withdrawal</v>
      </c>
      <c r="Q344">
        <f t="shared" si="46"/>
        <v>8212.48</v>
      </c>
      <c r="R344">
        <f t="shared" si="47"/>
        <v>-1103.5500000000011</v>
      </c>
    </row>
    <row r="345" spans="1:18" x14ac:dyDescent="0.3">
      <c r="A345" t="s">
        <v>353</v>
      </c>
      <c r="B345" t="s">
        <v>914</v>
      </c>
      <c r="C345" s="4" t="s">
        <v>1160</v>
      </c>
      <c r="D345" t="s">
        <v>1291</v>
      </c>
      <c r="E345" t="s">
        <v>1295</v>
      </c>
      <c r="F345" t="s">
        <v>1304</v>
      </c>
      <c r="G345" s="9">
        <v>851.86</v>
      </c>
      <c r="H345">
        <v>1026.92</v>
      </c>
      <c r="I345">
        <v>-154.04</v>
      </c>
      <c r="J345">
        <v>894.05</v>
      </c>
      <c r="K345">
        <f t="shared" si="40"/>
        <v>1026.92</v>
      </c>
      <c r="L345">
        <f t="shared" si="41"/>
        <v>1180.96</v>
      </c>
      <c r="M345">
        <f t="shared" si="42"/>
        <v>-154.04</v>
      </c>
      <c r="N345" t="str">
        <f t="shared" si="43"/>
        <v>Whole Foods Store</v>
      </c>
      <c r="O345" t="str">
        <f t="shared" si="44"/>
        <v>Groceries</v>
      </c>
      <c r="P345" t="str">
        <f t="shared" si="45"/>
        <v>Withdrawal</v>
      </c>
      <c r="Q345">
        <f t="shared" si="46"/>
        <v>851.86</v>
      </c>
      <c r="R345">
        <f t="shared" si="47"/>
        <v>-42.189999999999941</v>
      </c>
    </row>
    <row r="346" spans="1:18" x14ac:dyDescent="0.3">
      <c r="A346" t="s">
        <v>354</v>
      </c>
      <c r="B346" t="s">
        <v>823</v>
      </c>
      <c r="C346" s="4" t="s">
        <v>1131</v>
      </c>
      <c r="D346" t="s">
        <v>1291</v>
      </c>
      <c r="E346" t="s">
        <v>1294</v>
      </c>
      <c r="F346" t="s">
        <v>1315</v>
      </c>
      <c r="G346" s="9">
        <v>25.09</v>
      </c>
      <c r="H346">
        <v>34.99</v>
      </c>
      <c r="I346">
        <v>-5.25</v>
      </c>
      <c r="J346">
        <v>29.51</v>
      </c>
      <c r="K346">
        <f t="shared" si="40"/>
        <v>34.99</v>
      </c>
      <c r="L346">
        <f t="shared" si="41"/>
        <v>40.24</v>
      </c>
      <c r="M346">
        <f t="shared" si="42"/>
        <v>-5.25</v>
      </c>
      <c r="N346" t="str">
        <f t="shared" si="43"/>
        <v>Ebay International</v>
      </c>
      <c r="O346" t="str">
        <f t="shared" si="44"/>
        <v>Online Shopping</v>
      </c>
      <c r="P346" t="str">
        <f t="shared" si="45"/>
        <v>Withdrawal</v>
      </c>
      <c r="Q346">
        <f t="shared" si="46"/>
        <v>25.09</v>
      </c>
      <c r="R346">
        <f t="shared" si="47"/>
        <v>-4.4200000000000017</v>
      </c>
    </row>
    <row r="347" spans="1:18" x14ac:dyDescent="0.3">
      <c r="A347" t="s">
        <v>355</v>
      </c>
      <c r="B347" t="s">
        <v>890</v>
      </c>
      <c r="C347" s="4" t="s">
        <v>1083</v>
      </c>
      <c r="D347" t="s">
        <v>1291</v>
      </c>
      <c r="E347" t="s">
        <v>1299</v>
      </c>
      <c r="F347" t="s">
        <v>1312</v>
      </c>
      <c r="G347" s="9">
        <v>1073.3699999999999</v>
      </c>
      <c r="H347">
        <v>1374.9</v>
      </c>
      <c r="I347">
        <v>-206.24</v>
      </c>
      <c r="J347">
        <v>1181.08</v>
      </c>
      <c r="K347">
        <f t="shared" si="40"/>
        <v>1374.9</v>
      </c>
      <c r="L347">
        <f t="shared" si="41"/>
        <v>1581.14</v>
      </c>
      <c r="M347">
        <f t="shared" si="42"/>
        <v>-206.24</v>
      </c>
      <c r="N347" t="str">
        <f t="shared" si="43"/>
        <v>Netflix Streaming Premium</v>
      </c>
      <c r="O347" t="str">
        <f t="shared" si="44"/>
        <v>Entertainment</v>
      </c>
      <c r="P347" t="str">
        <f t="shared" si="45"/>
        <v>Withdrawal</v>
      </c>
      <c r="Q347">
        <f t="shared" si="46"/>
        <v>1073.3699999999999</v>
      </c>
      <c r="R347">
        <f t="shared" si="47"/>
        <v>-107.71000000000004</v>
      </c>
    </row>
    <row r="348" spans="1:18" x14ac:dyDescent="0.3">
      <c r="A348" t="s">
        <v>356</v>
      </c>
      <c r="B348" t="s">
        <v>865</v>
      </c>
      <c r="C348" s="4" t="s">
        <v>1040</v>
      </c>
      <c r="D348" t="s">
        <v>1292</v>
      </c>
      <c r="E348" t="s">
        <v>1299</v>
      </c>
      <c r="F348" t="s">
        <v>1311</v>
      </c>
      <c r="G348" s="9">
        <v>446.77</v>
      </c>
      <c r="H348">
        <v>598.79999999999995</v>
      </c>
      <c r="I348">
        <v>152.03</v>
      </c>
      <c r="J348">
        <v>428.34</v>
      </c>
      <c r="K348">
        <f t="shared" si="40"/>
        <v>598.79999999999995</v>
      </c>
      <c r="L348">
        <f t="shared" si="41"/>
        <v>446.77</v>
      </c>
      <c r="M348">
        <f t="shared" si="42"/>
        <v>152.03</v>
      </c>
      <c r="N348" t="str">
        <f t="shared" si="43"/>
        <v>Spotify Music Hub</v>
      </c>
      <c r="O348" t="str">
        <f t="shared" si="44"/>
        <v>Entertainment</v>
      </c>
      <c r="P348" t="str">
        <f t="shared" si="45"/>
        <v>Deposit</v>
      </c>
      <c r="Q348">
        <f t="shared" si="46"/>
        <v>446.77</v>
      </c>
      <c r="R348">
        <f t="shared" si="47"/>
        <v>18.430000000000007</v>
      </c>
    </row>
    <row r="349" spans="1:18" x14ac:dyDescent="0.3">
      <c r="A349" t="s">
        <v>357</v>
      </c>
      <c r="B349" t="s">
        <v>816</v>
      </c>
      <c r="C349" s="4" t="s">
        <v>1161</v>
      </c>
      <c r="D349" t="s">
        <v>1291</v>
      </c>
      <c r="E349" t="s">
        <v>1296</v>
      </c>
      <c r="F349" t="s">
        <v>1303</v>
      </c>
      <c r="G349" s="9">
        <v>8880.89</v>
      </c>
      <c r="H349">
        <v>10466.36</v>
      </c>
      <c r="I349">
        <v>-1569.95</v>
      </c>
      <c r="J349">
        <v>9071.0300000000007</v>
      </c>
      <c r="K349">
        <f t="shared" si="40"/>
        <v>10466.36</v>
      </c>
      <c r="L349">
        <f t="shared" si="41"/>
        <v>12036.310000000001</v>
      </c>
      <c r="M349">
        <f t="shared" si="42"/>
        <v>-1569.95</v>
      </c>
      <c r="N349" t="str">
        <f t="shared" si="43"/>
        <v>Global Industries Llc</v>
      </c>
      <c r="O349" t="str">
        <f t="shared" si="44"/>
        <v>Salary</v>
      </c>
      <c r="P349" t="str">
        <f t="shared" si="45"/>
        <v>Withdrawal</v>
      </c>
      <c r="Q349">
        <f t="shared" si="46"/>
        <v>8880.89</v>
      </c>
      <c r="R349">
        <f t="shared" si="47"/>
        <v>-190.14000000000124</v>
      </c>
    </row>
    <row r="350" spans="1:18" x14ac:dyDescent="0.3">
      <c r="A350" t="s">
        <v>358</v>
      </c>
      <c r="B350" t="s">
        <v>828</v>
      </c>
      <c r="C350" s="4" t="s">
        <v>1002</v>
      </c>
      <c r="D350" t="s">
        <v>1291</v>
      </c>
      <c r="E350" t="s">
        <v>1297</v>
      </c>
      <c r="F350" t="s">
        <v>1309</v>
      </c>
      <c r="G350" s="9">
        <v>571.14</v>
      </c>
      <c r="H350">
        <v>666.5</v>
      </c>
      <c r="I350">
        <v>-99.97</v>
      </c>
      <c r="J350">
        <v>610.47</v>
      </c>
      <c r="K350">
        <f t="shared" si="40"/>
        <v>666.5</v>
      </c>
      <c r="L350">
        <f t="shared" si="41"/>
        <v>766.47</v>
      </c>
      <c r="M350">
        <f t="shared" si="42"/>
        <v>-99.97</v>
      </c>
      <c r="N350" t="str">
        <f t="shared" si="43"/>
        <v>Olive Garden Gourmet</v>
      </c>
      <c r="O350" t="str">
        <f t="shared" si="44"/>
        <v>Dining Out</v>
      </c>
      <c r="P350" t="str">
        <f t="shared" si="45"/>
        <v>Withdrawal</v>
      </c>
      <c r="Q350">
        <f t="shared" si="46"/>
        <v>571.14</v>
      </c>
      <c r="R350">
        <f t="shared" si="47"/>
        <v>-39.330000000000041</v>
      </c>
    </row>
    <row r="351" spans="1:18" x14ac:dyDescent="0.3">
      <c r="A351" t="s">
        <v>359</v>
      </c>
      <c r="B351" t="s">
        <v>860</v>
      </c>
      <c r="C351" s="4" t="s">
        <v>971</v>
      </c>
      <c r="D351" t="s">
        <v>1291</v>
      </c>
      <c r="E351" t="s">
        <v>1297</v>
      </c>
      <c r="F351" t="s">
        <v>1319</v>
      </c>
      <c r="G351" s="9">
        <v>671.95</v>
      </c>
      <c r="H351">
        <v>903.89</v>
      </c>
      <c r="I351">
        <v>-135.58000000000001</v>
      </c>
      <c r="J351">
        <v>620.92999999999995</v>
      </c>
      <c r="K351">
        <f t="shared" si="40"/>
        <v>903.89</v>
      </c>
      <c r="L351">
        <f t="shared" si="41"/>
        <v>1039.47</v>
      </c>
      <c r="M351">
        <f t="shared" si="42"/>
        <v>-135.58000000000001</v>
      </c>
      <c r="N351" t="str">
        <f t="shared" si="43"/>
        <v>Starbucks Hub Cafe</v>
      </c>
      <c r="O351" t="str">
        <f t="shared" si="44"/>
        <v>Dining Out</v>
      </c>
      <c r="P351" t="str">
        <f t="shared" si="45"/>
        <v>Withdrawal</v>
      </c>
      <c r="Q351">
        <f t="shared" si="46"/>
        <v>671.95</v>
      </c>
      <c r="R351">
        <f t="shared" si="47"/>
        <v>51.020000000000095</v>
      </c>
    </row>
    <row r="352" spans="1:18" x14ac:dyDescent="0.3">
      <c r="A352" t="s">
        <v>360</v>
      </c>
      <c r="B352" t="s">
        <v>860</v>
      </c>
      <c r="C352" s="4" t="s">
        <v>1162</v>
      </c>
      <c r="D352" t="s">
        <v>1292</v>
      </c>
      <c r="E352" t="s">
        <v>1294</v>
      </c>
      <c r="F352" t="s">
        <v>1315</v>
      </c>
      <c r="G352" s="9">
        <v>588.24</v>
      </c>
      <c r="H352">
        <v>717.13</v>
      </c>
      <c r="I352">
        <v>128.88999999999999</v>
      </c>
      <c r="J352">
        <v>573.21</v>
      </c>
      <c r="K352">
        <f t="shared" si="40"/>
        <v>717.13</v>
      </c>
      <c r="L352">
        <f t="shared" si="41"/>
        <v>588.24</v>
      </c>
      <c r="M352">
        <f t="shared" si="42"/>
        <v>128.88999999999999</v>
      </c>
      <c r="N352" t="str">
        <f t="shared" si="43"/>
        <v>Ebay International</v>
      </c>
      <c r="O352" t="str">
        <f t="shared" si="44"/>
        <v>Online Shopping</v>
      </c>
      <c r="P352" t="str">
        <f t="shared" si="45"/>
        <v>Deposit</v>
      </c>
      <c r="Q352">
        <f t="shared" si="46"/>
        <v>588.24</v>
      </c>
      <c r="R352">
        <f t="shared" si="47"/>
        <v>15.029999999999973</v>
      </c>
    </row>
    <row r="353" spans="1:18" x14ac:dyDescent="0.3">
      <c r="A353" t="s">
        <v>361</v>
      </c>
      <c r="B353" t="s">
        <v>848</v>
      </c>
      <c r="C353" s="4" t="s">
        <v>1163</v>
      </c>
      <c r="D353" t="s">
        <v>1291</v>
      </c>
      <c r="E353" t="s">
        <v>1297</v>
      </c>
      <c r="F353" t="s">
        <v>1305</v>
      </c>
      <c r="G353" s="9">
        <v>787.16</v>
      </c>
      <c r="H353">
        <v>1069.97</v>
      </c>
      <c r="I353">
        <v>-160.5</v>
      </c>
      <c r="J353">
        <v>879.09</v>
      </c>
      <c r="K353">
        <f t="shared" si="40"/>
        <v>1069.97</v>
      </c>
      <c r="L353">
        <f t="shared" si="41"/>
        <v>1230.47</v>
      </c>
      <c r="M353">
        <f t="shared" si="42"/>
        <v>-160.5</v>
      </c>
      <c r="N353" t="str">
        <f t="shared" si="43"/>
        <v>Mcdonalds Corp Express</v>
      </c>
      <c r="O353" t="str">
        <f t="shared" si="44"/>
        <v>Dining Out</v>
      </c>
      <c r="P353" t="str">
        <f t="shared" si="45"/>
        <v>Withdrawal</v>
      </c>
      <c r="Q353">
        <f t="shared" si="46"/>
        <v>787.16</v>
      </c>
      <c r="R353">
        <f t="shared" si="47"/>
        <v>-91.930000000000064</v>
      </c>
    </row>
    <row r="354" spans="1:18" x14ac:dyDescent="0.3">
      <c r="A354" t="s">
        <v>362</v>
      </c>
      <c r="B354" t="s">
        <v>897</v>
      </c>
      <c r="C354" s="4" t="s">
        <v>1008</v>
      </c>
      <c r="D354" t="s">
        <v>1292</v>
      </c>
      <c r="E354" t="s">
        <v>1296</v>
      </c>
      <c r="F354" t="s">
        <v>1308</v>
      </c>
      <c r="G354" s="9">
        <v>7466.6</v>
      </c>
      <c r="H354">
        <v>9445.7999999999993</v>
      </c>
      <c r="I354">
        <v>1979.2</v>
      </c>
      <c r="J354">
        <v>7306</v>
      </c>
      <c r="K354">
        <f t="shared" si="40"/>
        <v>9445.7999999999993</v>
      </c>
      <c r="L354">
        <f t="shared" si="41"/>
        <v>7466.5999999999995</v>
      </c>
      <c r="M354">
        <f t="shared" si="42"/>
        <v>1979.2</v>
      </c>
      <c r="N354" t="str">
        <f t="shared" si="43"/>
        <v>Stark Retail Labs</v>
      </c>
      <c r="O354" t="str">
        <f t="shared" si="44"/>
        <v>Salary</v>
      </c>
      <c r="P354" t="str">
        <f t="shared" si="45"/>
        <v>Deposit</v>
      </c>
      <c r="Q354">
        <f t="shared" si="46"/>
        <v>7466.6</v>
      </c>
      <c r="R354">
        <f t="shared" si="47"/>
        <v>160.60000000000036</v>
      </c>
    </row>
    <row r="355" spans="1:18" x14ac:dyDescent="0.3">
      <c r="A355" t="s">
        <v>363</v>
      </c>
      <c r="B355" t="s">
        <v>833</v>
      </c>
      <c r="C355" s="4" t="s">
        <v>1025</v>
      </c>
      <c r="D355" t="s">
        <v>1292</v>
      </c>
      <c r="E355" t="s">
        <v>1295</v>
      </c>
      <c r="F355" t="s">
        <v>1302</v>
      </c>
      <c r="G355" s="9">
        <v>695.37</v>
      </c>
      <c r="H355">
        <v>972.59</v>
      </c>
      <c r="I355">
        <v>277.22000000000003</v>
      </c>
      <c r="J355">
        <v>663.8</v>
      </c>
      <c r="K355">
        <f t="shared" si="40"/>
        <v>972.59</v>
      </c>
      <c r="L355">
        <f t="shared" si="41"/>
        <v>695.37</v>
      </c>
      <c r="M355">
        <f t="shared" si="42"/>
        <v>277.22000000000003</v>
      </c>
      <c r="N355" t="str">
        <f t="shared" si="43"/>
        <v>Supermart Marketplace</v>
      </c>
      <c r="O355" t="str">
        <f t="shared" si="44"/>
        <v>Groceries</v>
      </c>
      <c r="P355" t="str">
        <f t="shared" si="45"/>
        <v>Deposit</v>
      </c>
      <c r="Q355">
        <f t="shared" si="46"/>
        <v>695.37</v>
      </c>
      <c r="R355">
        <f t="shared" si="47"/>
        <v>31.57000000000005</v>
      </c>
    </row>
    <row r="356" spans="1:18" x14ac:dyDescent="0.3">
      <c r="A356" t="s">
        <v>364</v>
      </c>
      <c r="B356" t="s">
        <v>915</v>
      </c>
      <c r="C356" s="4" t="s">
        <v>1124</v>
      </c>
      <c r="D356" t="s">
        <v>1292</v>
      </c>
      <c r="E356" t="s">
        <v>1299</v>
      </c>
      <c r="F356" t="s">
        <v>1311</v>
      </c>
      <c r="G356" s="9">
        <v>951.33</v>
      </c>
      <c r="H356">
        <v>1259.47</v>
      </c>
      <c r="I356">
        <v>308.14</v>
      </c>
      <c r="J356">
        <v>875.48</v>
      </c>
      <c r="K356">
        <f t="shared" si="40"/>
        <v>1259.47</v>
      </c>
      <c r="L356">
        <f t="shared" si="41"/>
        <v>951.33</v>
      </c>
      <c r="M356">
        <f t="shared" si="42"/>
        <v>308.14</v>
      </c>
      <c r="N356" t="str">
        <f t="shared" si="43"/>
        <v>Spotify Music Hub</v>
      </c>
      <c r="O356" t="str">
        <f t="shared" si="44"/>
        <v>Entertainment</v>
      </c>
      <c r="P356" t="str">
        <f t="shared" si="45"/>
        <v>Deposit</v>
      </c>
      <c r="Q356">
        <f t="shared" si="46"/>
        <v>951.33</v>
      </c>
      <c r="R356">
        <f t="shared" si="47"/>
        <v>75.850000000000023</v>
      </c>
    </row>
    <row r="357" spans="1:18" x14ac:dyDescent="0.3">
      <c r="A357" t="s">
        <v>365</v>
      </c>
      <c r="B357" t="s">
        <v>905</v>
      </c>
      <c r="C357" s="4" t="s">
        <v>1113</v>
      </c>
      <c r="D357" t="s">
        <v>1292</v>
      </c>
      <c r="E357" t="s">
        <v>1295</v>
      </c>
      <c r="F357" t="s">
        <v>1302</v>
      </c>
      <c r="G357" s="9">
        <v>442.66</v>
      </c>
      <c r="H357">
        <v>543.13</v>
      </c>
      <c r="I357">
        <v>100.47</v>
      </c>
      <c r="J357">
        <v>497.11</v>
      </c>
      <c r="K357">
        <f t="shared" si="40"/>
        <v>543.13</v>
      </c>
      <c r="L357">
        <f t="shared" si="41"/>
        <v>442.65999999999997</v>
      </c>
      <c r="M357">
        <f t="shared" si="42"/>
        <v>100.47</v>
      </c>
      <c r="N357" t="str">
        <f t="shared" si="43"/>
        <v>Supermart Marketplace</v>
      </c>
      <c r="O357" t="str">
        <f t="shared" si="44"/>
        <v>Groceries</v>
      </c>
      <c r="P357" t="str">
        <f t="shared" si="45"/>
        <v>Deposit</v>
      </c>
      <c r="Q357">
        <f t="shared" si="46"/>
        <v>442.66</v>
      </c>
      <c r="R357">
        <f t="shared" si="47"/>
        <v>-54.449999999999989</v>
      </c>
    </row>
    <row r="358" spans="1:18" x14ac:dyDescent="0.3">
      <c r="A358" t="s">
        <v>366</v>
      </c>
      <c r="B358" t="s">
        <v>916</v>
      </c>
      <c r="C358" s="4" t="s">
        <v>1164</v>
      </c>
      <c r="D358" t="s">
        <v>1291</v>
      </c>
      <c r="E358" t="s">
        <v>1296</v>
      </c>
      <c r="F358" t="s">
        <v>1303</v>
      </c>
      <c r="G358" s="9">
        <v>9280.85</v>
      </c>
      <c r="H358">
        <v>12991.95</v>
      </c>
      <c r="J358">
        <v>9970.32</v>
      </c>
      <c r="K358">
        <f t="shared" si="40"/>
        <v>12991.95</v>
      </c>
      <c r="L358">
        <f t="shared" si="41"/>
        <v>13036.132985074628</v>
      </c>
      <c r="M358">
        <f t="shared" si="42"/>
        <v>-44.182985074626863</v>
      </c>
      <c r="N358" t="str">
        <f t="shared" si="43"/>
        <v>Global Industries Llc</v>
      </c>
      <c r="O358" t="str">
        <f t="shared" si="44"/>
        <v>Salary</v>
      </c>
      <c r="P358" t="str">
        <f t="shared" si="45"/>
        <v>Withdrawal</v>
      </c>
      <c r="Q358">
        <f t="shared" si="46"/>
        <v>9280.85</v>
      </c>
      <c r="R358">
        <f t="shared" si="47"/>
        <v>-689.46999999999935</v>
      </c>
    </row>
    <row r="359" spans="1:18" x14ac:dyDescent="0.3">
      <c r="A359" t="s">
        <v>367</v>
      </c>
      <c r="B359" t="s">
        <v>811</v>
      </c>
      <c r="C359" s="4" t="s">
        <v>980</v>
      </c>
      <c r="D359" t="s">
        <v>1292</v>
      </c>
      <c r="E359" t="s">
        <v>1293</v>
      </c>
      <c r="F359" t="s">
        <v>1300</v>
      </c>
      <c r="G359" s="9">
        <v>1007.52</v>
      </c>
      <c r="H359">
        <v>1311.72</v>
      </c>
      <c r="I359">
        <v>304.2</v>
      </c>
      <c r="J359">
        <v>980.25</v>
      </c>
      <c r="K359">
        <f t="shared" si="40"/>
        <v>1311.72</v>
      </c>
      <c r="L359">
        <f t="shared" si="41"/>
        <v>1007.52</v>
      </c>
      <c r="M359">
        <f t="shared" si="42"/>
        <v>304.2</v>
      </c>
      <c r="N359" t="str">
        <f t="shared" si="43"/>
        <v>State Hydro Grid</v>
      </c>
      <c r="O359" t="str">
        <f t="shared" si="44"/>
        <v>Utilities</v>
      </c>
      <c r="P359" t="str">
        <f t="shared" si="45"/>
        <v>Deposit</v>
      </c>
      <c r="Q359">
        <f t="shared" si="46"/>
        <v>1007.52</v>
      </c>
      <c r="R359">
        <f t="shared" si="47"/>
        <v>27.269999999999982</v>
      </c>
    </row>
    <row r="360" spans="1:18" x14ac:dyDescent="0.3">
      <c r="A360" t="s">
        <v>368</v>
      </c>
      <c r="B360" t="s">
        <v>898</v>
      </c>
      <c r="C360" s="4" t="s">
        <v>1078</v>
      </c>
      <c r="D360" t="s">
        <v>1292</v>
      </c>
      <c r="E360" t="s">
        <v>1298</v>
      </c>
      <c r="F360" t="s">
        <v>1306</v>
      </c>
      <c r="G360" s="9">
        <v>554.46</v>
      </c>
      <c r="H360">
        <v>671.47</v>
      </c>
      <c r="I360">
        <v>117.01</v>
      </c>
      <c r="J360">
        <v>563.32000000000005</v>
      </c>
      <c r="K360">
        <f t="shared" si="40"/>
        <v>671.47</v>
      </c>
      <c r="L360">
        <f t="shared" si="41"/>
        <v>554.46</v>
      </c>
      <c r="M360">
        <f t="shared" si="42"/>
        <v>117.01</v>
      </c>
      <c r="N360" t="str">
        <f t="shared" si="43"/>
        <v>Internal P2P Route</v>
      </c>
      <c r="O360" t="str">
        <f t="shared" si="44"/>
        <v>Transfer</v>
      </c>
      <c r="P360" t="str">
        <f t="shared" si="45"/>
        <v>Deposit</v>
      </c>
      <c r="Q360">
        <f t="shared" si="46"/>
        <v>554.46</v>
      </c>
      <c r="R360">
        <f t="shared" si="47"/>
        <v>-8.8600000000000136</v>
      </c>
    </row>
    <row r="361" spans="1:18" x14ac:dyDescent="0.3">
      <c r="A361" t="s">
        <v>369</v>
      </c>
      <c r="B361" t="s">
        <v>841</v>
      </c>
      <c r="C361" s="4" t="s">
        <v>1141</v>
      </c>
      <c r="D361" t="s">
        <v>1291</v>
      </c>
      <c r="E361" t="s">
        <v>1293</v>
      </c>
      <c r="F361" t="s">
        <v>1320</v>
      </c>
      <c r="G361" s="9">
        <v>660.32</v>
      </c>
      <c r="H361">
        <v>821.85</v>
      </c>
      <c r="I361">
        <v>-123.28</v>
      </c>
      <c r="J361">
        <v>631.41</v>
      </c>
      <c r="K361">
        <f t="shared" si="40"/>
        <v>821.85</v>
      </c>
      <c r="L361">
        <f t="shared" si="41"/>
        <v>945.13</v>
      </c>
      <c r="M361">
        <f t="shared" si="42"/>
        <v>-123.28</v>
      </c>
      <c r="N361" t="str">
        <f t="shared" si="43"/>
        <v>City Power &amp; Gas Co</v>
      </c>
      <c r="O361" t="str">
        <f t="shared" si="44"/>
        <v>Utilities</v>
      </c>
      <c r="P361" t="str">
        <f t="shared" si="45"/>
        <v>Withdrawal</v>
      </c>
      <c r="Q361">
        <f t="shared" si="46"/>
        <v>660.32</v>
      </c>
      <c r="R361">
        <f t="shared" si="47"/>
        <v>28.910000000000082</v>
      </c>
    </row>
    <row r="362" spans="1:18" x14ac:dyDescent="0.3">
      <c r="A362" t="s">
        <v>370</v>
      </c>
      <c r="B362" t="s">
        <v>866</v>
      </c>
      <c r="C362" s="4" t="s">
        <v>1165</v>
      </c>
      <c r="D362" t="s">
        <v>1292</v>
      </c>
      <c r="E362" t="s">
        <v>1299</v>
      </c>
      <c r="F362" t="s">
        <v>1311</v>
      </c>
      <c r="G362" s="9">
        <v>1169.19</v>
      </c>
      <c r="H362">
        <v>1475.76</v>
      </c>
      <c r="J362">
        <v>1379.91</v>
      </c>
      <c r="K362">
        <f t="shared" si="40"/>
        <v>1475.76</v>
      </c>
      <c r="L362">
        <f t="shared" si="41"/>
        <v>1519.9429850746269</v>
      </c>
      <c r="M362">
        <f t="shared" si="42"/>
        <v>-44.182985074626863</v>
      </c>
      <c r="N362" t="str">
        <f t="shared" si="43"/>
        <v>Spotify Music Hub</v>
      </c>
      <c r="O362" t="str">
        <f t="shared" si="44"/>
        <v>Entertainment</v>
      </c>
      <c r="P362" t="str">
        <f t="shared" si="45"/>
        <v>Deposit</v>
      </c>
      <c r="Q362">
        <f t="shared" si="46"/>
        <v>1169.19</v>
      </c>
      <c r="R362">
        <f t="shared" si="47"/>
        <v>-210.72000000000003</v>
      </c>
    </row>
    <row r="363" spans="1:18" x14ac:dyDescent="0.3">
      <c r="A363" t="s">
        <v>371</v>
      </c>
      <c r="B363" t="s">
        <v>818</v>
      </c>
      <c r="C363" s="4" t="s">
        <v>1166</v>
      </c>
      <c r="D363" t="s">
        <v>1292</v>
      </c>
      <c r="E363" t="s">
        <v>1297</v>
      </c>
      <c r="F363" t="s">
        <v>1319</v>
      </c>
      <c r="G363" s="9">
        <v>401.96</v>
      </c>
      <c r="H363">
        <v>497.8</v>
      </c>
      <c r="I363">
        <v>95.84</v>
      </c>
      <c r="J363">
        <v>444.56</v>
      </c>
      <c r="K363">
        <f t="shared" si="40"/>
        <v>497.8</v>
      </c>
      <c r="L363">
        <f t="shared" si="41"/>
        <v>401.96000000000004</v>
      </c>
      <c r="M363">
        <f t="shared" si="42"/>
        <v>95.84</v>
      </c>
      <c r="N363" t="str">
        <f t="shared" si="43"/>
        <v>Starbucks Hub Cafe</v>
      </c>
      <c r="O363" t="str">
        <f t="shared" si="44"/>
        <v>Dining Out</v>
      </c>
      <c r="P363" t="str">
        <f t="shared" si="45"/>
        <v>Deposit</v>
      </c>
      <c r="Q363">
        <f t="shared" si="46"/>
        <v>401.96</v>
      </c>
      <c r="R363">
        <f t="shared" si="47"/>
        <v>-42.600000000000023</v>
      </c>
    </row>
    <row r="364" spans="1:18" x14ac:dyDescent="0.3">
      <c r="A364" t="s">
        <v>372</v>
      </c>
      <c r="B364" t="s">
        <v>858</v>
      </c>
      <c r="C364" s="4" t="s">
        <v>974</v>
      </c>
      <c r="D364" t="s">
        <v>1292</v>
      </c>
      <c r="E364" t="s">
        <v>1295</v>
      </c>
      <c r="F364" t="s">
        <v>1313</v>
      </c>
      <c r="G364" s="9">
        <v>301.88</v>
      </c>
      <c r="H364">
        <v>354.1</v>
      </c>
      <c r="I364">
        <v>52.22</v>
      </c>
      <c r="J364">
        <v>320.36</v>
      </c>
      <c r="K364">
        <f t="shared" si="40"/>
        <v>354.1</v>
      </c>
      <c r="L364">
        <f t="shared" si="41"/>
        <v>301.88</v>
      </c>
      <c r="M364">
        <f t="shared" si="42"/>
        <v>52.22</v>
      </c>
      <c r="N364" t="str">
        <f t="shared" si="43"/>
        <v>Fresh &amp; Fast Logistics</v>
      </c>
      <c r="O364" t="str">
        <f t="shared" si="44"/>
        <v>Groceries</v>
      </c>
      <c r="P364" t="str">
        <f t="shared" si="45"/>
        <v>Deposit</v>
      </c>
      <c r="Q364">
        <f t="shared" si="46"/>
        <v>301.88</v>
      </c>
      <c r="R364">
        <f t="shared" si="47"/>
        <v>-18.480000000000018</v>
      </c>
    </row>
    <row r="365" spans="1:18" x14ac:dyDescent="0.3">
      <c r="A365" t="s">
        <v>373</v>
      </c>
      <c r="B365" t="s">
        <v>836</v>
      </c>
      <c r="C365" s="4" t="s">
        <v>1167</v>
      </c>
      <c r="D365" t="s">
        <v>1292</v>
      </c>
      <c r="E365" t="s">
        <v>1298</v>
      </c>
      <c r="F365" t="s">
        <v>1317</v>
      </c>
      <c r="G365" s="9">
        <v>551.38</v>
      </c>
      <c r="H365">
        <v>660.01</v>
      </c>
      <c r="I365">
        <v>108.63</v>
      </c>
      <c r="J365">
        <v>507.89</v>
      </c>
      <c r="K365">
        <f t="shared" si="40"/>
        <v>660.01</v>
      </c>
      <c r="L365">
        <f t="shared" si="41"/>
        <v>551.38</v>
      </c>
      <c r="M365">
        <f t="shared" si="42"/>
        <v>108.63</v>
      </c>
      <c r="N365" t="str">
        <f t="shared" si="43"/>
        <v>External Wire Clearance</v>
      </c>
      <c r="O365" t="str">
        <f t="shared" si="44"/>
        <v>Transfer</v>
      </c>
      <c r="P365" t="str">
        <f t="shared" si="45"/>
        <v>Deposit</v>
      </c>
      <c r="Q365">
        <f t="shared" si="46"/>
        <v>551.38</v>
      </c>
      <c r="R365">
        <f t="shared" si="47"/>
        <v>43.490000000000009</v>
      </c>
    </row>
    <row r="366" spans="1:18" x14ac:dyDescent="0.3">
      <c r="A366" t="s">
        <v>374</v>
      </c>
      <c r="B366" t="s">
        <v>907</v>
      </c>
      <c r="C366" s="4" t="s">
        <v>1168</v>
      </c>
      <c r="D366" t="s">
        <v>1291</v>
      </c>
      <c r="E366" t="s">
        <v>1295</v>
      </c>
      <c r="F366" t="s">
        <v>1313</v>
      </c>
      <c r="G366" s="9">
        <v>277.44</v>
      </c>
      <c r="H366">
        <v>320.83999999999997</v>
      </c>
      <c r="I366">
        <v>-48.13</v>
      </c>
      <c r="J366">
        <v>270.36</v>
      </c>
      <c r="K366">
        <f t="shared" si="40"/>
        <v>320.83999999999997</v>
      </c>
      <c r="L366">
        <f t="shared" si="41"/>
        <v>368.96999999999997</v>
      </c>
      <c r="M366">
        <f t="shared" si="42"/>
        <v>-48.13</v>
      </c>
      <c r="N366" t="str">
        <f t="shared" si="43"/>
        <v>Fresh &amp; Fast Logistics</v>
      </c>
      <c r="O366" t="str">
        <f t="shared" si="44"/>
        <v>Groceries</v>
      </c>
      <c r="P366" t="str">
        <f t="shared" si="45"/>
        <v>Withdrawal</v>
      </c>
      <c r="Q366">
        <f t="shared" si="46"/>
        <v>277.44</v>
      </c>
      <c r="R366">
        <f t="shared" si="47"/>
        <v>7.0799999999999841</v>
      </c>
    </row>
    <row r="367" spans="1:18" x14ac:dyDescent="0.3">
      <c r="A367" t="s">
        <v>375</v>
      </c>
      <c r="B367" t="s">
        <v>885</v>
      </c>
      <c r="C367" s="4" t="s">
        <v>1169</v>
      </c>
      <c r="D367" t="s">
        <v>1292</v>
      </c>
      <c r="E367" t="s">
        <v>1295</v>
      </c>
      <c r="F367" t="s">
        <v>1304</v>
      </c>
      <c r="G367" s="9">
        <v>1150.68</v>
      </c>
      <c r="H367">
        <v>1551.28</v>
      </c>
      <c r="I367">
        <v>400.6</v>
      </c>
      <c r="J367">
        <v>1159.8399999999999</v>
      </c>
      <c r="K367">
        <f t="shared" si="40"/>
        <v>1551.28</v>
      </c>
      <c r="L367">
        <f t="shared" si="41"/>
        <v>1150.6799999999998</v>
      </c>
      <c r="M367">
        <f t="shared" si="42"/>
        <v>400.6</v>
      </c>
      <c r="N367" t="str">
        <f t="shared" si="43"/>
        <v>Whole Foods Store</v>
      </c>
      <c r="O367" t="str">
        <f t="shared" si="44"/>
        <v>Groceries</v>
      </c>
      <c r="P367" t="str">
        <f t="shared" si="45"/>
        <v>Deposit</v>
      </c>
      <c r="Q367">
        <f t="shared" si="46"/>
        <v>1150.68</v>
      </c>
      <c r="R367">
        <f t="shared" si="47"/>
        <v>-9.1599999999998545</v>
      </c>
    </row>
    <row r="368" spans="1:18" x14ac:dyDescent="0.3">
      <c r="A368" t="s">
        <v>376</v>
      </c>
      <c r="B368" t="s">
        <v>804</v>
      </c>
      <c r="C368" s="4" t="s">
        <v>1170</v>
      </c>
      <c r="D368" t="s">
        <v>1291</v>
      </c>
      <c r="E368" t="s">
        <v>1297</v>
      </c>
      <c r="F368" t="s">
        <v>1319</v>
      </c>
      <c r="G368" s="9">
        <v>913.11</v>
      </c>
      <c r="H368">
        <v>1254.9000000000001</v>
      </c>
      <c r="I368">
        <v>-188.24</v>
      </c>
      <c r="J368">
        <v>1051.28</v>
      </c>
      <c r="K368">
        <f t="shared" si="40"/>
        <v>1254.9000000000001</v>
      </c>
      <c r="L368">
        <f t="shared" si="41"/>
        <v>1443.14</v>
      </c>
      <c r="M368">
        <f t="shared" si="42"/>
        <v>-188.24</v>
      </c>
      <c r="N368" t="str">
        <f t="shared" si="43"/>
        <v>Starbucks Hub Cafe</v>
      </c>
      <c r="O368" t="str">
        <f t="shared" si="44"/>
        <v>Dining Out</v>
      </c>
      <c r="P368" t="str">
        <f t="shared" si="45"/>
        <v>Withdrawal</v>
      </c>
      <c r="Q368">
        <f t="shared" si="46"/>
        <v>913.11</v>
      </c>
      <c r="R368">
        <f t="shared" si="47"/>
        <v>-138.16999999999996</v>
      </c>
    </row>
    <row r="369" spans="1:18" x14ac:dyDescent="0.3">
      <c r="A369" t="s">
        <v>377</v>
      </c>
      <c r="B369" t="s">
        <v>842</v>
      </c>
      <c r="C369" s="4" t="s">
        <v>1091</v>
      </c>
      <c r="D369" t="s">
        <v>1292</v>
      </c>
      <c r="E369" t="s">
        <v>1295</v>
      </c>
      <c r="F369" t="s">
        <v>1302</v>
      </c>
      <c r="G369" s="9">
        <v>576</v>
      </c>
      <c r="H369">
        <v>803.72</v>
      </c>
      <c r="I369">
        <v>227.72</v>
      </c>
      <c r="J369">
        <v>657.07</v>
      </c>
      <c r="K369">
        <f t="shared" si="40"/>
        <v>803.72</v>
      </c>
      <c r="L369">
        <f t="shared" si="41"/>
        <v>576</v>
      </c>
      <c r="M369">
        <f t="shared" si="42"/>
        <v>227.72</v>
      </c>
      <c r="N369" t="str">
        <f t="shared" si="43"/>
        <v>Supermart Marketplace</v>
      </c>
      <c r="O369" t="str">
        <f t="shared" si="44"/>
        <v>Groceries</v>
      </c>
      <c r="P369" t="str">
        <f t="shared" si="45"/>
        <v>Deposit</v>
      </c>
      <c r="Q369">
        <f t="shared" si="46"/>
        <v>576</v>
      </c>
      <c r="R369">
        <f t="shared" si="47"/>
        <v>-81.07000000000005</v>
      </c>
    </row>
    <row r="370" spans="1:18" x14ac:dyDescent="0.3">
      <c r="A370" t="s">
        <v>378</v>
      </c>
      <c r="B370" t="s">
        <v>794</v>
      </c>
      <c r="C370" s="4" t="s">
        <v>1171</v>
      </c>
      <c r="D370" t="s">
        <v>1291</v>
      </c>
      <c r="E370" t="s">
        <v>1298</v>
      </c>
      <c r="F370" t="s">
        <v>1310</v>
      </c>
      <c r="G370" s="9">
        <v>311.87</v>
      </c>
      <c r="H370">
        <v>413.93</v>
      </c>
      <c r="I370">
        <v>-62.09</v>
      </c>
      <c r="J370">
        <v>320.54000000000002</v>
      </c>
      <c r="K370">
        <f t="shared" si="40"/>
        <v>413.93</v>
      </c>
      <c r="L370">
        <f t="shared" si="41"/>
        <v>476.02</v>
      </c>
      <c r="M370">
        <f t="shared" si="42"/>
        <v>-62.09</v>
      </c>
      <c r="N370" t="str">
        <f t="shared" si="43"/>
        <v>Zelle Payment Engine</v>
      </c>
      <c r="O370" t="str">
        <f t="shared" si="44"/>
        <v>Transfer</v>
      </c>
      <c r="P370" t="str">
        <f t="shared" si="45"/>
        <v>Withdrawal</v>
      </c>
      <c r="Q370">
        <f t="shared" si="46"/>
        <v>311.87</v>
      </c>
      <c r="R370">
        <f t="shared" si="47"/>
        <v>-8.6700000000000159</v>
      </c>
    </row>
    <row r="371" spans="1:18" x14ac:dyDescent="0.3">
      <c r="A371" t="s">
        <v>379</v>
      </c>
      <c r="B371" t="s">
        <v>878</v>
      </c>
      <c r="C371" s="4" t="s">
        <v>1040</v>
      </c>
      <c r="D371" t="s">
        <v>1291</v>
      </c>
      <c r="E371" t="s">
        <v>1294</v>
      </c>
      <c r="F371" t="s">
        <v>1314</v>
      </c>
      <c r="G371" s="9">
        <v>340.14</v>
      </c>
      <c r="H371">
        <v>397.81</v>
      </c>
      <c r="I371">
        <v>-59.67</v>
      </c>
      <c r="J371">
        <v>386.45</v>
      </c>
      <c r="K371">
        <f t="shared" si="40"/>
        <v>397.81</v>
      </c>
      <c r="L371">
        <f t="shared" si="41"/>
        <v>457.48</v>
      </c>
      <c r="M371">
        <f t="shared" si="42"/>
        <v>-59.67</v>
      </c>
      <c r="N371" t="str">
        <f t="shared" si="43"/>
        <v>Target Direct Online</v>
      </c>
      <c r="O371" t="str">
        <f t="shared" si="44"/>
        <v>Online Shopping</v>
      </c>
      <c r="P371" t="str">
        <f t="shared" si="45"/>
        <v>Withdrawal</v>
      </c>
      <c r="Q371">
        <f t="shared" si="46"/>
        <v>340.14</v>
      </c>
      <c r="R371">
        <f t="shared" si="47"/>
        <v>-46.31</v>
      </c>
    </row>
    <row r="372" spans="1:18" x14ac:dyDescent="0.3">
      <c r="A372" t="s">
        <v>380</v>
      </c>
      <c r="B372" t="s">
        <v>799</v>
      </c>
      <c r="C372" s="4" t="s">
        <v>1076</v>
      </c>
      <c r="D372" t="s">
        <v>1291</v>
      </c>
      <c r="E372" t="s">
        <v>1298</v>
      </c>
      <c r="F372" t="s">
        <v>1317</v>
      </c>
      <c r="G372" s="9">
        <v>880.9</v>
      </c>
      <c r="H372">
        <v>1056.6300000000001</v>
      </c>
      <c r="I372">
        <v>-158.49</v>
      </c>
      <c r="J372">
        <v>835.51</v>
      </c>
      <c r="K372">
        <f t="shared" si="40"/>
        <v>1056.6300000000001</v>
      </c>
      <c r="L372">
        <f t="shared" si="41"/>
        <v>1215.1200000000001</v>
      </c>
      <c r="M372">
        <f t="shared" si="42"/>
        <v>-158.49</v>
      </c>
      <c r="N372" t="str">
        <f t="shared" si="43"/>
        <v>External Wire Clearance</v>
      </c>
      <c r="O372" t="str">
        <f t="shared" si="44"/>
        <v>Transfer</v>
      </c>
      <c r="P372" t="str">
        <f t="shared" si="45"/>
        <v>Withdrawal</v>
      </c>
      <c r="Q372">
        <f t="shared" si="46"/>
        <v>880.9</v>
      </c>
      <c r="R372">
        <f t="shared" si="47"/>
        <v>45.389999999999986</v>
      </c>
    </row>
    <row r="373" spans="1:18" x14ac:dyDescent="0.3">
      <c r="A373" t="s">
        <v>381</v>
      </c>
      <c r="B373" t="s">
        <v>819</v>
      </c>
      <c r="C373" s="4" t="s">
        <v>1172</v>
      </c>
      <c r="D373" t="s">
        <v>1291</v>
      </c>
      <c r="E373" t="s">
        <v>1296</v>
      </c>
      <c r="F373" t="s">
        <v>1303</v>
      </c>
      <c r="G373" s="9">
        <v>7025.07</v>
      </c>
      <c r="H373">
        <v>9578.01</v>
      </c>
      <c r="I373">
        <v>-1436.7</v>
      </c>
      <c r="J373">
        <v>6459.5</v>
      </c>
      <c r="K373">
        <f t="shared" si="40"/>
        <v>9578.01</v>
      </c>
      <c r="L373">
        <f t="shared" si="41"/>
        <v>11014.710000000001</v>
      </c>
      <c r="M373">
        <f t="shared" si="42"/>
        <v>-1436.7</v>
      </c>
      <c r="N373" t="str">
        <f t="shared" si="43"/>
        <v>Global Industries Llc</v>
      </c>
      <c r="O373" t="str">
        <f t="shared" si="44"/>
        <v>Salary</v>
      </c>
      <c r="P373" t="str">
        <f t="shared" si="45"/>
        <v>Withdrawal</v>
      </c>
      <c r="Q373">
        <f t="shared" si="46"/>
        <v>7025.07</v>
      </c>
      <c r="R373">
        <f t="shared" si="47"/>
        <v>565.56999999999971</v>
      </c>
    </row>
    <row r="374" spans="1:18" x14ac:dyDescent="0.3">
      <c r="A374" t="s">
        <v>382</v>
      </c>
      <c r="B374" t="s">
        <v>845</v>
      </c>
      <c r="C374" s="4" t="s">
        <v>993</v>
      </c>
      <c r="D374" t="s">
        <v>1291</v>
      </c>
      <c r="E374" t="s">
        <v>1298</v>
      </c>
      <c r="F374" t="s">
        <v>1310</v>
      </c>
      <c r="G374" s="9">
        <v>1138.68</v>
      </c>
      <c r="H374">
        <v>1394.12</v>
      </c>
      <c r="I374">
        <v>-209.12</v>
      </c>
      <c r="J374">
        <v>1049.5999999999999</v>
      </c>
      <c r="K374">
        <f t="shared" si="40"/>
        <v>1394.12</v>
      </c>
      <c r="L374">
        <f t="shared" si="41"/>
        <v>1603.2399999999998</v>
      </c>
      <c r="M374">
        <f t="shared" si="42"/>
        <v>-209.12</v>
      </c>
      <c r="N374" t="str">
        <f t="shared" si="43"/>
        <v>Zelle Payment Engine</v>
      </c>
      <c r="O374" t="str">
        <f t="shared" si="44"/>
        <v>Transfer</v>
      </c>
      <c r="P374" t="str">
        <f t="shared" si="45"/>
        <v>Withdrawal</v>
      </c>
      <c r="Q374">
        <f t="shared" si="46"/>
        <v>1138.68</v>
      </c>
      <c r="R374">
        <f t="shared" si="47"/>
        <v>89.080000000000155</v>
      </c>
    </row>
    <row r="375" spans="1:18" x14ac:dyDescent="0.3">
      <c r="A375" t="s">
        <v>383</v>
      </c>
      <c r="B375" t="s">
        <v>899</v>
      </c>
      <c r="C375" s="4" t="s">
        <v>984</v>
      </c>
      <c r="D375" t="s">
        <v>1292</v>
      </c>
      <c r="E375" t="s">
        <v>1293</v>
      </c>
      <c r="F375" t="s">
        <v>1320</v>
      </c>
      <c r="G375" s="9">
        <v>584.80999999999995</v>
      </c>
      <c r="H375">
        <v>797.23</v>
      </c>
      <c r="I375">
        <v>212.42</v>
      </c>
      <c r="J375">
        <v>567.29999999999995</v>
      </c>
      <c r="K375">
        <f t="shared" si="40"/>
        <v>797.23</v>
      </c>
      <c r="L375">
        <f t="shared" si="41"/>
        <v>584.81000000000006</v>
      </c>
      <c r="M375">
        <f t="shared" si="42"/>
        <v>212.42</v>
      </c>
      <c r="N375" t="str">
        <f t="shared" si="43"/>
        <v>City Power &amp; Gas Co</v>
      </c>
      <c r="O375" t="str">
        <f t="shared" si="44"/>
        <v>Utilities</v>
      </c>
      <c r="P375" t="str">
        <f t="shared" si="45"/>
        <v>Deposit</v>
      </c>
      <c r="Q375">
        <f t="shared" si="46"/>
        <v>584.80999999999995</v>
      </c>
      <c r="R375">
        <f t="shared" si="47"/>
        <v>17.509999999999991</v>
      </c>
    </row>
    <row r="376" spans="1:18" x14ac:dyDescent="0.3">
      <c r="A376" t="s">
        <v>384</v>
      </c>
      <c r="B376" t="s">
        <v>838</v>
      </c>
      <c r="C376" s="4" t="s">
        <v>1087</v>
      </c>
      <c r="D376" t="s">
        <v>1292</v>
      </c>
      <c r="E376" t="s">
        <v>1293</v>
      </c>
      <c r="F376" t="s">
        <v>1300</v>
      </c>
      <c r="G376" s="9">
        <v>55.08</v>
      </c>
      <c r="H376">
        <v>63.83</v>
      </c>
      <c r="I376">
        <v>8.75</v>
      </c>
      <c r="J376">
        <v>57.91</v>
      </c>
      <c r="K376">
        <f t="shared" si="40"/>
        <v>63.83</v>
      </c>
      <c r="L376">
        <f t="shared" si="41"/>
        <v>55.08</v>
      </c>
      <c r="M376">
        <f t="shared" si="42"/>
        <v>8.75</v>
      </c>
      <c r="N376" t="str">
        <f t="shared" si="43"/>
        <v>State Hydro Grid</v>
      </c>
      <c r="O376" t="str">
        <f t="shared" si="44"/>
        <v>Utilities</v>
      </c>
      <c r="P376" t="str">
        <f t="shared" si="45"/>
        <v>Deposit</v>
      </c>
      <c r="Q376">
        <f t="shared" si="46"/>
        <v>55.08</v>
      </c>
      <c r="R376">
        <f t="shared" si="47"/>
        <v>-2.8299999999999983</v>
      </c>
    </row>
    <row r="377" spans="1:18" x14ac:dyDescent="0.3">
      <c r="A377" t="s">
        <v>385</v>
      </c>
      <c r="B377" t="s">
        <v>912</v>
      </c>
      <c r="C377" s="4" t="s">
        <v>946</v>
      </c>
      <c r="D377" t="s">
        <v>1291</v>
      </c>
      <c r="E377" t="s">
        <v>1294</v>
      </c>
      <c r="F377" t="s">
        <v>1314</v>
      </c>
      <c r="G377" s="9">
        <v>799.44</v>
      </c>
      <c r="H377">
        <v>936.52</v>
      </c>
      <c r="I377">
        <v>-140.47999999999999</v>
      </c>
      <c r="J377">
        <v>815.53</v>
      </c>
      <c r="K377">
        <f t="shared" si="40"/>
        <v>936.52</v>
      </c>
      <c r="L377">
        <f t="shared" si="41"/>
        <v>1077</v>
      </c>
      <c r="M377">
        <f t="shared" si="42"/>
        <v>-140.47999999999999</v>
      </c>
      <c r="N377" t="str">
        <f t="shared" si="43"/>
        <v>Target Direct Online</v>
      </c>
      <c r="O377" t="str">
        <f t="shared" si="44"/>
        <v>Online Shopping</v>
      </c>
      <c r="P377" t="str">
        <f t="shared" si="45"/>
        <v>Withdrawal</v>
      </c>
      <c r="Q377">
        <f t="shared" si="46"/>
        <v>799.44</v>
      </c>
      <c r="R377">
        <f t="shared" si="47"/>
        <v>-16.089999999999918</v>
      </c>
    </row>
    <row r="378" spans="1:18" x14ac:dyDescent="0.3">
      <c r="A378" t="s">
        <v>386</v>
      </c>
      <c r="B378" t="s">
        <v>835</v>
      </c>
      <c r="C378" s="4" t="s">
        <v>940</v>
      </c>
      <c r="D378" t="s">
        <v>1291</v>
      </c>
      <c r="E378" t="s">
        <v>1297</v>
      </c>
      <c r="F378" t="s">
        <v>1305</v>
      </c>
      <c r="G378" s="9">
        <v>588.87</v>
      </c>
      <c r="H378">
        <v>744.31</v>
      </c>
      <c r="I378">
        <v>-111.65</v>
      </c>
      <c r="J378">
        <v>540.51</v>
      </c>
      <c r="K378">
        <f t="shared" si="40"/>
        <v>744.31</v>
      </c>
      <c r="L378">
        <f t="shared" si="41"/>
        <v>855.95999999999992</v>
      </c>
      <c r="M378">
        <f t="shared" si="42"/>
        <v>-111.65</v>
      </c>
      <c r="N378" t="str">
        <f t="shared" si="43"/>
        <v>Mcdonalds Corp Express</v>
      </c>
      <c r="O378" t="str">
        <f t="shared" si="44"/>
        <v>Dining Out</v>
      </c>
      <c r="P378" t="str">
        <f t="shared" si="45"/>
        <v>Withdrawal</v>
      </c>
      <c r="Q378">
        <f t="shared" si="46"/>
        <v>588.87</v>
      </c>
      <c r="R378">
        <f t="shared" si="47"/>
        <v>48.360000000000014</v>
      </c>
    </row>
    <row r="379" spans="1:18" x14ac:dyDescent="0.3">
      <c r="A379" t="s">
        <v>387</v>
      </c>
      <c r="B379" t="s">
        <v>917</v>
      </c>
      <c r="C379" s="4" t="s">
        <v>958</v>
      </c>
      <c r="D379" t="s">
        <v>1291</v>
      </c>
      <c r="E379" t="s">
        <v>1294</v>
      </c>
      <c r="F379" t="s">
        <v>1315</v>
      </c>
      <c r="G379" s="9">
        <v>742.62</v>
      </c>
      <c r="H379">
        <v>1025.78</v>
      </c>
      <c r="I379">
        <v>-153.87</v>
      </c>
      <c r="J379">
        <v>870.75</v>
      </c>
      <c r="K379">
        <f t="shared" si="40"/>
        <v>1025.78</v>
      </c>
      <c r="L379">
        <f t="shared" si="41"/>
        <v>1179.6500000000001</v>
      </c>
      <c r="M379">
        <f t="shared" si="42"/>
        <v>-153.87</v>
      </c>
      <c r="N379" t="str">
        <f t="shared" si="43"/>
        <v>Ebay International</v>
      </c>
      <c r="O379" t="str">
        <f t="shared" si="44"/>
        <v>Online Shopping</v>
      </c>
      <c r="P379" t="str">
        <f t="shared" si="45"/>
        <v>Withdrawal</v>
      </c>
      <c r="Q379">
        <f t="shared" si="46"/>
        <v>742.62</v>
      </c>
      <c r="R379">
        <f t="shared" si="47"/>
        <v>-128.13</v>
      </c>
    </row>
    <row r="380" spans="1:18" x14ac:dyDescent="0.3">
      <c r="A380" t="s">
        <v>388</v>
      </c>
      <c r="B380" t="s">
        <v>848</v>
      </c>
      <c r="C380" s="4" t="s">
        <v>936</v>
      </c>
      <c r="D380" t="s">
        <v>1291</v>
      </c>
      <c r="E380" t="s">
        <v>1299</v>
      </c>
      <c r="F380" t="s">
        <v>1311</v>
      </c>
      <c r="H380">
        <v>139.13999999999999</v>
      </c>
      <c r="I380">
        <v>-20.87</v>
      </c>
      <c r="J380">
        <v>104.39</v>
      </c>
      <c r="K380">
        <f t="shared" si="40"/>
        <v>139.13999999999999</v>
      </c>
      <c r="L380">
        <f t="shared" si="41"/>
        <v>160.01</v>
      </c>
      <c r="M380">
        <f t="shared" si="42"/>
        <v>-20.87</v>
      </c>
      <c r="N380" t="str">
        <f t="shared" si="43"/>
        <v>Spotify Music Hub</v>
      </c>
      <c r="O380" t="str">
        <f t="shared" si="44"/>
        <v>Entertainment</v>
      </c>
      <c r="P380" t="str">
        <f t="shared" si="45"/>
        <v>Withdrawal</v>
      </c>
      <c r="Q380">
        <f t="shared" si="46"/>
        <v>1219.4163333333336</v>
      </c>
      <c r="R380">
        <f t="shared" si="47"/>
        <v>1115.0263333333335</v>
      </c>
    </row>
    <row r="381" spans="1:18" x14ac:dyDescent="0.3">
      <c r="A381" t="s">
        <v>389</v>
      </c>
      <c r="B381" t="s">
        <v>801</v>
      </c>
      <c r="C381" s="4" t="s">
        <v>1173</v>
      </c>
      <c r="D381" t="s">
        <v>1292</v>
      </c>
      <c r="E381" t="s">
        <v>1298</v>
      </c>
      <c r="F381" t="s">
        <v>1310</v>
      </c>
      <c r="G381" s="9">
        <v>1074.2</v>
      </c>
      <c r="H381">
        <v>1308.1300000000001</v>
      </c>
      <c r="I381">
        <v>233.93</v>
      </c>
      <c r="J381">
        <v>1060.24</v>
      </c>
      <c r="K381">
        <f t="shared" si="40"/>
        <v>1308.1300000000001</v>
      </c>
      <c r="L381">
        <f t="shared" si="41"/>
        <v>1074.2</v>
      </c>
      <c r="M381">
        <f t="shared" si="42"/>
        <v>233.93</v>
      </c>
      <c r="N381" t="str">
        <f t="shared" si="43"/>
        <v>Zelle Payment Engine</v>
      </c>
      <c r="O381" t="str">
        <f t="shared" si="44"/>
        <v>Transfer</v>
      </c>
      <c r="P381" t="str">
        <f t="shared" si="45"/>
        <v>Deposit</v>
      </c>
      <c r="Q381">
        <f t="shared" si="46"/>
        <v>1074.2</v>
      </c>
      <c r="R381">
        <f t="shared" si="47"/>
        <v>13.960000000000036</v>
      </c>
    </row>
    <row r="382" spans="1:18" x14ac:dyDescent="0.3">
      <c r="A382" t="s">
        <v>390</v>
      </c>
      <c r="B382" t="s">
        <v>893</v>
      </c>
      <c r="C382" s="4" t="s">
        <v>1174</v>
      </c>
      <c r="D382" t="s">
        <v>1291</v>
      </c>
      <c r="E382" t="s">
        <v>1293</v>
      </c>
      <c r="F382" t="s">
        <v>1318</v>
      </c>
      <c r="G382" s="9">
        <v>388.61</v>
      </c>
      <c r="H382">
        <v>485.3</v>
      </c>
      <c r="I382">
        <v>-72.8</v>
      </c>
      <c r="J382">
        <v>357.62</v>
      </c>
      <c r="K382">
        <f t="shared" si="40"/>
        <v>485.3</v>
      </c>
      <c r="L382">
        <f t="shared" si="41"/>
        <v>558.1</v>
      </c>
      <c r="M382">
        <f t="shared" si="42"/>
        <v>-72.8</v>
      </c>
      <c r="N382" t="str">
        <f t="shared" si="43"/>
        <v>Metropolitan Water Sewer</v>
      </c>
      <c r="O382" t="str">
        <f t="shared" si="44"/>
        <v>Utilities</v>
      </c>
      <c r="P382" t="str">
        <f t="shared" si="45"/>
        <v>Withdrawal</v>
      </c>
      <c r="Q382">
        <f t="shared" si="46"/>
        <v>388.61</v>
      </c>
      <c r="R382">
        <f t="shared" si="47"/>
        <v>30.990000000000009</v>
      </c>
    </row>
    <row r="383" spans="1:18" x14ac:dyDescent="0.3">
      <c r="A383" t="s">
        <v>391</v>
      </c>
      <c r="B383" t="s">
        <v>869</v>
      </c>
      <c r="C383" s="4" t="s">
        <v>951</v>
      </c>
      <c r="D383" t="s">
        <v>1291</v>
      </c>
      <c r="E383" t="s">
        <v>1295</v>
      </c>
      <c r="F383" t="s">
        <v>1304</v>
      </c>
      <c r="G383" s="9">
        <v>429.71</v>
      </c>
      <c r="H383">
        <v>518.83000000000004</v>
      </c>
      <c r="I383">
        <v>-77.819999999999993</v>
      </c>
      <c r="J383">
        <v>500.5</v>
      </c>
      <c r="K383">
        <f t="shared" si="40"/>
        <v>518.83000000000004</v>
      </c>
      <c r="L383">
        <f t="shared" si="41"/>
        <v>596.65000000000009</v>
      </c>
      <c r="M383">
        <f t="shared" si="42"/>
        <v>-77.819999999999993</v>
      </c>
      <c r="N383" t="str">
        <f t="shared" si="43"/>
        <v>Whole Foods Store</v>
      </c>
      <c r="O383" t="str">
        <f t="shared" si="44"/>
        <v>Groceries</v>
      </c>
      <c r="P383" t="str">
        <f t="shared" si="45"/>
        <v>Withdrawal</v>
      </c>
      <c r="Q383">
        <f t="shared" si="46"/>
        <v>429.71</v>
      </c>
      <c r="R383">
        <f t="shared" si="47"/>
        <v>-70.79000000000002</v>
      </c>
    </row>
    <row r="384" spans="1:18" x14ac:dyDescent="0.3">
      <c r="A384" t="s">
        <v>392</v>
      </c>
      <c r="B384" t="s">
        <v>877</v>
      </c>
      <c r="C384" s="4" t="s">
        <v>1175</v>
      </c>
      <c r="D384" t="s">
        <v>1292</v>
      </c>
      <c r="E384" t="s">
        <v>1299</v>
      </c>
      <c r="F384" t="s">
        <v>1316</v>
      </c>
      <c r="G384" s="9">
        <v>995.44</v>
      </c>
      <c r="H384">
        <v>1391.58</v>
      </c>
      <c r="I384">
        <v>396.14</v>
      </c>
      <c r="J384">
        <v>918.06</v>
      </c>
      <c r="K384">
        <f t="shared" si="40"/>
        <v>1391.58</v>
      </c>
      <c r="L384">
        <f t="shared" si="41"/>
        <v>995.43999999999994</v>
      </c>
      <c r="M384">
        <f t="shared" si="42"/>
        <v>396.14</v>
      </c>
      <c r="N384" t="str">
        <f t="shared" si="43"/>
        <v>Amc Cinema Network</v>
      </c>
      <c r="O384" t="str">
        <f t="shared" si="44"/>
        <v>Entertainment</v>
      </c>
      <c r="P384" t="str">
        <f t="shared" si="45"/>
        <v>Deposit</v>
      </c>
      <c r="Q384">
        <f t="shared" si="46"/>
        <v>995.44</v>
      </c>
      <c r="R384">
        <f t="shared" si="47"/>
        <v>77.380000000000109</v>
      </c>
    </row>
    <row r="385" spans="1:18" x14ac:dyDescent="0.3">
      <c r="A385" t="s">
        <v>393</v>
      </c>
      <c r="B385" t="s">
        <v>856</v>
      </c>
      <c r="C385" s="4" t="s">
        <v>1031</v>
      </c>
      <c r="D385" t="s">
        <v>1292</v>
      </c>
      <c r="E385" t="s">
        <v>1298</v>
      </c>
      <c r="F385" t="s">
        <v>1317</v>
      </c>
      <c r="G385" s="9">
        <v>1040.8900000000001</v>
      </c>
      <c r="H385">
        <v>1300.9100000000001</v>
      </c>
      <c r="I385">
        <v>260.02</v>
      </c>
      <c r="J385">
        <v>1068.6199999999999</v>
      </c>
      <c r="K385">
        <f t="shared" si="40"/>
        <v>1300.9100000000001</v>
      </c>
      <c r="L385">
        <f t="shared" si="41"/>
        <v>1040.8900000000001</v>
      </c>
      <c r="M385">
        <f t="shared" si="42"/>
        <v>260.02</v>
      </c>
      <c r="N385" t="str">
        <f t="shared" si="43"/>
        <v>External Wire Clearance</v>
      </c>
      <c r="O385" t="str">
        <f t="shared" si="44"/>
        <v>Transfer</v>
      </c>
      <c r="P385" t="str">
        <f t="shared" si="45"/>
        <v>Deposit</v>
      </c>
      <c r="Q385">
        <f t="shared" si="46"/>
        <v>1040.8900000000001</v>
      </c>
      <c r="R385">
        <f t="shared" si="47"/>
        <v>-27.729999999999791</v>
      </c>
    </row>
    <row r="386" spans="1:18" x14ac:dyDescent="0.3">
      <c r="A386" t="s">
        <v>394</v>
      </c>
      <c r="B386" t="s">
        <v>918</v>
      </c>
      <c r="C386" s="4" t="s">
        <v>1176</v>
      </c>
      <c r="D386" t="s">
        <v>1291</v>
      </c>
      <c r="E386" t="s">
        <v>1296</v>
      </c>
      <c r="F386" t="s">
        <v>1303</v>
      </c>
      <c r="G386" s="9">
        <v>6237.65</v>
      </c>
      <c r="H386">
        <v>8490.7800000000007</v>
      </c>
      <c r="I386">
        <v>-1273.6199999999999</v>
      </c>
      <c r="J386">
        <v>6572.72</v>
      </c>
      <c r="K386">
        <f t="shared" si="40"/>
        <v>8490.7800000000007</v>
      </c>
      <c r="L386">
        <f t="shared" si="41"/>
        <v>9764.4000000000015</v>
      </c>
      <c r="M386">
        <f t="shared" si="42"/>
        <v>-1273.6199999999999</v>
      </c>
      <c r="N386" t="str">
        <f t="shared" si="43"/>
        <v>Global Industries Llc</v>
      </c>
      <c r="O386" t="str">
        <f t="shared" si="44"/>
        <v>Salary</v>
      </c>
      <c r="P386" t="str">
        <f t="shared" si="45"/>
        <v>Withdrawal</v>
      </c>
      <c r="Q386">
        <f t="shared" si="46"/>
        <v>6237.65</v>
      </c>
      <c r="R386">
        <f t="shared" si="47"/>
        <v>-335.07000000000062</v>
      </c>
    </row>
    <row r="387" spans="1:18" x14ac:dyDescent="0.3">
      <c r="A387" t="s">
        <v>395</v>
      </c>
      <c r="B387" t="s">
        <v>897</v>
      </c>
      <c r="C387" s="4" t="s">
        <v>1021</v>
      </c>
      <c r="D387" t="s">
        <v>1292</v>
      </c>
      <c r="E387" t="s">
        <v>1298</v>
      </c>
      <c r="F387" t="s">
        <v>1317</v>
      </c>
      <c r="G387" s="9">
        <v>1015.46</v>
      </c>
      <c r="H387">
        <v>1337.11</v>
      </c>
      <c r="I387">
        <v>321.64999999999998</v>
      </c>
      <c r="J387">
        <v>1216.2</v>
      </c>
      <c r="K387">
        <f t="shared" ref="K387:K450" si="48">IF(H387,H387,AVERAGE($H$2:$H$35))</f>
        <v>1337.11</v>
      </c>
      <c r="L387">
        <f t="shared" ref="L387:L450" si="49">K387-M387</f>
        <v>1015.4599999999999</v>
      </c>
      <c r="M387">
        <f t="shared" ref="M387:M450" si="50">IF(I387,I387,AVERAGE($I$2:$I$68))</f>
        <v>321.64999999999998</v>
      </c>
      <c r="N387" t="str">
        <f t="shared" ref="N387:N450" si="51">PROPER(F387)</f>
        <v>External Wire Clearance</v>
      </c>
      <c r="O387" t="str">
        <f t="shared" ref="O387:O450" si="52">PROPER(E387)</f>
        <v>Transfer</v>
      </c>
      <c r="P387" t="str">
        <f t="shared" ref="P387:P450" si="53">PROPER(D387)</f>
        <v>Deposit</v>
      </c>
      <c r="Q387">
        <f t="shared" ref="Q387:Q450" si="54">IF(G387,G387,AVERAGE($G$2:$G$31))</f>
        <v>1015.46</v>
      </c>
      <c r="R387">
        <f t="shared" ref="R387:R450" si="55">Q387-J387</f>
        <v>-200.74</v>
      </c>
    </row>
    <row r="388" spans="1:18" x14ac:dyDescent="0.3">
      <c r="A388" t="s">
        <v>396</v>
      </c>
      <c r="B388" t="s">
        <v>853</v>
      </c>
      <c r="C388" s="4" t="s">
        <v>1177</v>
      </c>
      <c r="D388" t="s">
        <v>1292</v>
      </c>
      <c r="E388" t="s">
        <v>1293</v>
      </c>
      <c r="F388" t="s">
        <v>1318</v>
      </c>
      <c r="G388" s="9">
        <v>630.45000000000005</v>
      </c>
      <c r="H388">
        <v>847.12</v>
      </c>
      <c r="I388">
        <v>216.67</v>
      </c>
      <c r="J388">
        <v>657.2</v>
      </c>
      <c r="K388">
        <f t="shared" si="48"/>
        <v>847.12</v>
      </c>
      <c r="L388">
        <f t="shared" si="49"/>
        <v>630.45000000000005</v>
      </c>
      <c r="M388">
        <f t="shared" si="50"/>
        <v>216.67</v>
      </c>
      <c r="N388" t="str">
        <f t="shared" si="51"/>
        <v>Metropolitan Water Sewer</v>
      </c>
      <c r="O388" t="str">
        <f t="shared" si="52"/>
        <v>Utilities</v>
      </c>
      <c r="P388" t="str">
        <f t="shared" si="53"/>
        <v>Deposit</v>
      </c>
      <c r="Q388">
        <f t="shared" si="54"/>
        <v>630.45000000000005</v>
      </c>
      <c r="R388">
        <f t="shared" si="55"/>
        <v>-26.75</v>
      </c>
    </row>
    <row r="389" spans="1:18" x14ac:dyDescent="0.3">
      <c r="A389" t="s">
        <v>397</v>
      </c>
      <c r="B389" t="s">
        <v>794</v>
      </c>
      <c r="C389" s="4" t="s">
        <v>977</v>
      </c>
      <c r="D389" t="s">
        <v>1291</v>
      </c>
      <c r="E389" t="s">
        <v>1298</v>
      </c>
      <c r="F389" t="s">
        <v>1306</v>
      </c>
      <c r="G389" s="9">
        <v>653.17999999999995</v>
      </c>
      <c r="H389">
        <v>845.36</v>
      </c>
      <c r="I389">
        <v>-126.8</v>
      </c>
      <c r="J389">
        <v>617.84</v>
      </c>
      <c r="K389">
        <f t="shared" si="48"/>
        <v>845.36</v>
      </c>
      <c r="L389">
        <f t="shared" si="49"/>
        <v>972.16</v>
      </c>
      <c r="M389">
        <f t="shared" si="50"/>
        <v>-126.8</v>
      </c>
      <c r="N389" t="str">
        <f t="shared" si="51"/>
        <v>Internal P2P Route</v>
      </c>
      <c r="O389" t="str">
        <f t="shared" si="52"/>
        <v>Transfer</v>
      </c>
      <c r="P389" t="str">
        <f t="shared" si="53"/>
        <v>Withdrawal</v>
      </c>
      <c r="Q389">
        <f t="shared" si="54"/>
        <v>653.17999999999995</v>
      </c>
      <c r="R389">
        <f t="shared" si="55"/>
        <v>35.339999999999918</v>
      </c>
    </row>
    <row r="390" spans="1:18" x14ac:dyDescent="0.3">
      <c r="A390" t="s">
        <v>398</v>
      </c>
      <c r="B390" t="s">
        <v>870</v>
      </c>
      <c r="C390" s="4" t="s">
        <v>1178</v>
      </c>
      <c r="D390" t="s">
        <v>1291</v>
      </c>
      <c r="E390" t="s">
        <v>1297</v>
      </c>
      <c r="F390" t="s">
        <v>1305</v>
      </c>
      <c r="G390" s="9">
        <v>1037.98</v>
      </c>
      <c r="H390">
        <v>1254.07</v>
      </c>
      <c r="I390">
        <v>-188.11</v>
      </c>
      <c r="J390">
        <v>1229.78</v>
      </c>
      <c r="K390">
        <f t="shared" si="48"/>
        <v>1254.07</v>
      </c>
      <c r="L390">
        <f t="shared" si="49"/>
        <v>1442.1799999999998</v>
      </c>
      <c r="M390">
        <f t="shared" si="50"/>
        <v>-188.11</v>
      </c>
      <c r="N390" t="str">
        <f t="shared" si="51"/>
        <v>Mcdonalds Corp Express</v>
      </c>
      <c r="O390" t="str">
        <f t="shared" si="52"/>
        <v>Dining Out</v>
      </c>
      <c r="P390" t="str">
        <f t="shared" si="53"/>
        <v>Withdrawal</v>
      </c>
      <c r="Q390">
        <f t="shared" si="54"/>
        <v>1037.98</v>
      </c>
      <c r="R390">
        <f t="shared" si="55"/>
        <v>-191.79999999999995</v>
      </c>
    </row>
    <row r="391" spans="1:18" x14ac:dyDescent="0.3">
      <c r="A391" t="s">
        <v>399</v>
      </c>
      <c r="B391" t="s">
        <v>846</v>
      </c>
      <c r="C391" s="4" t="s">
        <v>1086</v>
      </c>
      <c r="D391" t="s">
        <v>1292</v>
      </c>
      <c r="E391" t="s">
        <v>1294</v>
      </c>
      <c r="F391" t="s">
        <v>1315</v>
      </c>
      <c r="G391" s="9">
        <v>785.95</v>
      </c>
      <c r="H391">
        <v>1083.56</v>
      </c>
      <c r="I391">
        <v>297.61</v>
      </c>
      <c r="J391">
        <v>940.44</v>
      </c>
      <c r="K391">
        <f t="shared" si="48"/>
        <v>1083.56</v>
      </c>
      <c r="L391">
        <f t="shared" si="49"/>
        <v>785.94999999999993</v>
      </c>
      <c r="M391">
        <f t="shared" si="50"/>
        <v>297.61</v>
      </c>
      <c r="N391" t="str">
        <f t="shared" si="51"/>
        <v>Ebay International</v>
      </c>
      <c r="O391" t="str">
        <f t="shared" si="52"/>
        <v>Online Shopping</v>
      </c>
      <c r="P391" t="str">
        <f t="shared" si="53"/>
        <v>Deposit</v>
      </c>
      <c r="Q391">
        <f t="shared" si="54"/>
        <v>785.95</v>
      </c>
      <c r="R391">
        <f t="shared" si="55"/>
        <v>-154.49</v>
      </c>
    </row>
    <row r="392" spans="1:18" x14ac:dyDescent="0.3">
      <c r="A392" t="s">
        <v>400</v>
      </c>
      <c r="B392" t="s">
        <v>899</v>
      </c>
      <c r="C392" s="4" t="s">
        <v>1179</v>
      </c>
      <c r="D392" t="s">
        <v>1291</v>
      </c>
      <c r="E392" t="s">
        <v>1297</v>
      </c>
      <c r="F392" t="s">
        <v>1305</v>
      </c>
      <c r="G392" s="9">
        <v>939.75</v>
      </c>
      <c r="H392">
        <v>1274.74</v>
      </c>
      <c r="I392">
        <v>-191.21</v>
      </c>
      <c r="J392">
        <v>866.34</v>
      </c>
      <c r="K392">
        <f t="shared" si="48"/>
        <v>1274.74</v>
      </c>
      <c r="L392">
        <f t="shared" si="49"/>
        <v>1465.95</v>
      </c>
      <c r="M392">
        <f t="shared" si="50"/>
        <v>-191.21</v>
      </c>
      <c r="N392" t="str">
        <f t="shared" si="51"/>
        <v>Mcdonalds Corp Express</v>
      </c>
      <c r="O392" t="str">
        <f t="shared" si="52"/>
        <v>Dining Out</v>
      </c>
      <c r="P392" t="str">
        <f t="shared" si="53"/>
        <v>Withdrawal</v>
      </c>
      <c r="Q392">
        <f t="shared" si="54"/>
        <v>939.75</v>
      </c>
      <c r="R392">
        <f t="shared" si="55"/>
        <v>73.409999999999968</v>
      </c>
    </row>
    <row r="393" spans="1:18" x14ac:dyDescent="0.3">
      <c r="A393" t="s">
        <v>401</v>
      </c>
      <c r="B393" t="s">
        <v>806</v>
      </c>
      <c r="C393" s="4" t="s">
        <v>1180</v>
      </c>
      <c r="D393" t="s">
        <v>1292</v>
      </c>
      <c r="E393" t="s">
        <v>1299</v>
      </c>
      <c r="F393" t="s">
        <v>1311</v>
      </c>
      <c r="G393" s="9">
        <v>114.9</v>
      </c>
      <c r="H393">
        <v>147</v>
      </c>
      <c r="I393">
        <v>32.1</v>
      </c>
      <c r="J393">
        <v>131.01</v>
      </c>
      <c r="K393">
        <f t="shared" si="48"/>
        <v>147</v>
      </c>
      <c r="L393">
        <f t="shared" si="49"/>
        <v>114.9</v>
      </c>
      <c r="M393">
        <f t="shared" si="50"/>
        <v>32.1</v>
      </c>
      <c r="N393" t="str">
        <f t="shared" si="51"/>
        <v>Spotify Music Hub</v>
      </c>
      <c r="O393" t="str">
        <f t="shared" si="52"/>
        <v>Entertainment</v>
      </c>
      <c r="P393" t="str">
        <f t="shared" si="53"/>
        <v>Deposit</v>
      </c>
      <c r="Q393">
        <f t="shared" si="54"/>
        <v>114.9</v>
      </c>
      <c r="R393">
        <f t="shared" si="55"/>
        <v>-16.109999999999985</v>
      </c>
    </row>
    <row r="394" spans="1:18" x14ac:dyDescent="0.3">
      <c r="A394" t="s">
        <v>402</v>
      </c>
      <c r="B394" t="s">
        <v>823</v>
      </c>
      <c r="C394" s="4" t="s">
        <v>1088</v>
      </c>
      <c r="D394" t="s">
        <v>1291</v>
      </c>
      <c r="E394" t="s">
        <v>1298</v>
      </c>
      <c r="F394" t="s">
        <v>1306</v>
      </c>
      <c r="G394" s="9">
        <v>37.51</v>
      </c>
      <c r="H394">
        <v>47.94</v>
      </c>
      <c r="I394">
        <v>-7.19</v>
      </c>
      <c r="J394">
        <v>38.36</v>
      </c>
      <c r="K394">
        <f t="shared" si="48"/>
        <v>47.94</v>
      </c>
      <c r="L394">
        <f t="shared" si="49"/>
        <v>55.129999999999995</v>
      </c>
      <c r="M394">
        <f t="shared" si="50"/>
        <v>-7.19</v>
      </c>
      <c r="N394" t="str">
        <f t="shared" si="51"/>
        <v>Internal P2P Route</v>
      </c>
      <c r="O394" t="str">
        <f t="shared" si="52"/>
        <v>Transfer</v>
      </c>
      <c r="P394" t="str">
        <f t="shared" si="53"/>
        <v>Withdrawal</v>
      </c>
      <c r="Q394">
        <f t="shared" si="54"/>
        <v>37.51</v>
      </c>
      <c r="R394">
        <f t="shared" si="55"/>
        <v>-0.85000000000000142</v>
      </c>
    </row>
    <row r="395" spans="1:18" x14ac:dyDescent="0.3">
      <c r="A395" t="s">
        <v>403</v>
      </c>
      <c r="B395" t="s">
        <v>882</v>
      </c>
      <c r="C395" s="4" t="s">
        <v>1181</v>
      </c>
      <c r="D395" t="s">
        <v>1291</v>
      </c>
      <c r="E395" t="s">
        <v>1293</v>
      </c>
      <c r="F395" t="s">
        <v>1318</v>
      </c>
      <c r="G395" s="9">
        <v>1010.91</v>
      </c>
      <c r="H395">
        <v>1165.0899999999999</v>
      </c>
      <c r="I395">
        <v>-174.76</v>
      </c>
      <c r="J395">
        <v>1068.46</v>
      </c>
      <c r="K395">
        <f t="shared" si="48"/>
        <v>1165.0899999999999</v>
      </c>
      <c r="L395">
        <f t="shared" si="49"/>
        <v>1339.85</v>
      </c>
      <c r="M395">
        <f t="shared" si="50"/>
        <v>-174.76</v>
      </c>
      <c r="N395" t="str">
        <f t="shared" si="51"/>
        <v>Metropolitan Water Sewer</v>
      </c>
      <c r="O395" t="str">
        <f t="shared" si="52"/>
        <v>Utilities</v>
      </c>
      <c r="P395" t="str">
        <f t="shared" si="53"/>
        <v>Withdrawal</v>
      </c>
      <c r="Q395">
        <f t="shared" si="54"/>
        <v>1010.91</v>
      </c>
      <c r="R395">
        <f t="shared" si="55"/>
        <v>-57.550000000000068</v>
      </c>
    </row>
    <row r="396" spans="1:18" x14ac:dyDescent="0.3">
      <c r="A396" t="s">
        <v>404</v>
      </c>
      <c r="B396" t="s">
        <v>910</v>
      </c>
      <c r="C396" s="4" t="s">
        <v>1049</v>
      </c>
      <c r="D396" t="s">
        <v>1292</v>
      </c>
      <c r="E396" t="s">
        <v>1296</v>
      </c>
      <c r="F396" t="s">
        <v>1307</v>
      </c>
      <c r="G396" s="9">
        <v>8331.17</v>
      </c>
      <c r="H396">
        <v>10020.31</v>
      </c>
      <c r="I396">
        <v>1689.14</v>
      </c>
      <c r="J396">
        <v>9545.23</v>
      </c>
      <c r="K396">
        <f t="shared" si="48"/>
        <v>10020.31</v>
      </c>
      <c r="L396">
        <f t="shared" si="49"/>
        <v>8331.17</v>
      </c>
      <c r="M396">
        <f t="shared" si="50"/>
        <v>1689.14</v>
      </c>
      <c r="N396" t="str">
        <f t="shared" si="51"/>
        <v>Techcorp Payroll Inc</v>
      </c>
      <c r="O396" t="str">
        <f t="shared" si="52"/>
        <v>Salary</v>
      </c>
      <c r="P396" t="str">
        <f t="shared" si="53"/>
        <v>Deposit</v>
      </c>
      <c r="Q396">
        <f t="shared" si="54"/>
        <v>8331.17</v>
      </c>
      <c r="R396">
        <f t="shared" si="55"/>
        <v>-1214.0599999999995</v>
      </c>
    </row>
    <row r="397" spans="1:18" x14ac:dyDescent="0.3">
      <c r="A397" t="s">
        <v>405</v>
      </c>
      <c r="B397" t="s">
        <v>914</v>
      </c>
      <c r="C397" s="4" t="s">
        <v>1031</v>
      </c>
      <c r="D397" t="s">
        <v>1291</v>
      </c>
      <c r="E397" t="s">
        <v>1299</v>
      </c>
      <c r="F397" t="s">
        <v>1316</v>
      </c>
      <c r="G397" s="9">
        <v>365.85</v>
      </c>
      <c r="H397">
        <v>479.33</v>
      </c>
      <c r="I397">
        <v>-71.900000000000006</v>
      </c>
      <c r="J397">
        <v>422.48</v>
      </c>
      <c r="K397">
        <f t="shared" si="48"/>
        <v>479.33</v>
      </c>
      <c r="L397">
        <f t="shared" si="49"/>
        <v>551.23</v>
      </c>
      <c r="M397">
        <f t="shared" si="50"/>
        <v>-71.900000000000006</v>
      </c>
      <c r="N397" t="str">
        <f t="shared" si="51"/>
        <v>Amc Cinema Network</v>
      </c>
      <c r="O397" t="str">
        <f t="shared" si="52"/>
        <v>Entertainment</v>
      </c>
      <c r="P397" t="str">
        <f t="shared" si="53"/>
        <v>Withdrawal</v>
      </c>
      <c r="Q397">
        <f t="shared" si="54"/>
        <v>365.85</v>
      </c>
      <c r="R397">
        <f t="shared" si="55"/>
        <v>-56.629999999999995</v>
      </c>
    </row>
    <row r="398" spans="1:18" x14ac:dyDescent="0.3">
      <c r="A398" t="s">
        <v>406</v>
      </c>
      <c r="B398" t="s">
        <v>859</v>
      </c>
      <c r="C398" s="4" t="s">
        <v>1182</v>
      </c>
      <c r="D398" t="s">
        <v>1291</v>
      </c>
      <c r="E398" t="s">
        <v>1299</v>
      </c>
      <c r="F398" t="s">
        <v>1316</v>
      </c>
      <c r="G398" s="9">
        <v>360.57</v>
      </c>
      <c r="H398">
        <v>490.59</v>
      </c>
      <c r="I398">
        <v>-73.59</v>
      </c>
      <c r="J398">
        <v>355.15</v>
      </c>
      <c r="K398">
        <f t="shared" si="48"/>
        <v>490.59</v>
      </c>
      <c r="L398">
        <f t="shared" si="49"/>
        <v>564.17999999999995</v>
      </c>
      <c r="M398">
        <f t="shared" si="50"/>
        <v>-73.59</v>
      </c>
      <c r="N398" t="str">
        <f t="shared" si="51"/>
        <v>Amc Cinema Network</v>
      </c>
      <c r="O398" t="str">
        <f t="shared" si="52"/>
        <v>Entertainment</v>
      </c>
      <c r="P398" t="str">
        <f t="shared" si="53"/>
        <v>Withdrawal</v>
      </c>
      <c r="Q398">
        <f t="shared" si="54"/>
        <v>360.57</v>
      </c>
      <c r="R398">
        <f t="shared" si="55"/>
        <v>5.4200000000000159</v>
      </c>
    </row>
    <row r="399" spans="1:18" x14ac:dyDescent="0.3">
      <c r="A399" t="s">
        <v>407</v>
      </c>
      <c r="B399" t="s">
        <v>792</v>
      </c>
      <c r="C399" s="4" t="s">
        <v>1013</v>
      </c>
      <c r="D399" t="s">
        <v>1292</v>
      </c>
      <c r="E399" t="s">
        <v>1298</v>
      </c>
      <c r="F399" t="s">
        <v>1306</v>
      </c>
      <c r="G399" s="9">
        <v>393.3</v>
      </c>
      <c r="H399">
        <v>501.37</v>
      </c>
      <c r="I399">
        <v>108.07</v>
      </c>
      <c r="J399">
        <v>383.64</v>
      </c>
      <c r="K399">
        <f t="shared" si="48"/>
        <v>501.37</v>
      </c>
      <c r="L399">
        <f t="shared" si="49"/>
        <v>393.3</v>
      </c>
      <c r="M399">
        <f t="shared" si="50"/>
        <v>108.07</v>
      </c>
      <c r="N399" t="str">
        <f t="shared" si="51"/>
        <v>Internal P2P Route</v>
      </c>
      <c r="O399" t="str">
        <f t="shared" si="52"/>
        <v>Transfer</v>
      </c>
      <c r="P399" t="str">
        <f t="shared" si="53"/>
        <v>Deposit</v>
      </c>
      <c r="Q399">
        <f t="shared" si="54"/>
        <v>393.3</v>
      </c>
      <c r="R399">
        <f t="shared" si="55"/>
        <v>9.660000000000025</v>
      </c>
    </row>
    <row r="400" spans="1:18" x14ac:dyDescent="0.3">
      <c r="A400" t="s">
        <v>408</v>
      </c>
      <c r="B400" t="s">
        <v>845</v>
      </c>
      <c r="C400" s="4" t="s">
        <v>948</v>
      </c>
      <c r="D400" t="s">
        <v>1292</v>
      </c>
      <c r="E400" t="s">
        <v>1298</v>
      </c>
      <c r="F400" t="s">
        <v>1317</v>
      </c>
      <c r="G400" s="9">
        <v>297.81</v>
      </c>
      <c r="H400">
        <v>408.01</v>
      </c>
      <c r="I400">
        <v>110.2</v>
      </c>
      <c r="J400">
        <v>277.77</v>
      </c>
      <c r="K400">
        <f t="shared" si="48"/>
        <v>408.01</v>
      </c>
      <c r="L400">
        <f t="shared" si="49"/>
        <v>297.81</v>
      </c>
      <c r="M400">
        <f t="shared" si="50"/>
        <v>110.2</v>
      </c>
      <c r="N400" t="str">
        <f t="shared" si="51"/>
        <v>External Wire Clearance</v>
      </c>
      <c r="O400" t="str">
        <f t="shared" si="52"/>
        <v>Transfer</v>
      </c>
      <c r="P400" t="str">
        <f t="shared" si="53"/>
        <v>Deposit</v>
      </c>
      <c r="Q400">
        <f t="shared" si="54"/>
        <v>297.81</v>
      </c>
      <c r="R400">
        <f t="shared" si="55"/>
        <v>20.04000000000002</v>
      </c>
    </row>
    <row r="401" spans="1:18" x14ac:dyDescent="0.3">
      <c r="A401" t="s">
        <v>409</v>
      </c>
      <c r="B401" t="s">
        <v>919</v>
      </c>
      <c r="C401" s="4" t="s">
        <v>1183</v>
      </c>
      <c r="D401" t="s">
        <v>1291</v>
      </c>
      <c r="E401" t="s">
        <v>1296</v>
      </c>
      <c r="F401" t="s">
        <v>1307</v>
      </c>
      <c r="G401" s="9">
        <v>8045.37</v>
      </c>
      <c r="H401">
        <v>10044.049999999999</v>
      </c>
      <c r="I401">
        <v>-1506.61</v>
      </c>
      <c r="J401">
        <v>8551.82</v>
      </c>
      <c r="K401">
        <f t="shared" si="48"/>
        <v>10044.049999999999</v>
      </c>
      <c r="L401">
        <f t="shared" si="49"/>
        <v>11550.66</v>
      </c>
      <c r="M401">
        <f t="shared" si="50"/>
        <v>-1506.61</v>
      </c>
      <c r="N401" t="str">
        <f t="shared" si="51"/>
        <v>Techcorp Payroll Inc</v>
      </c>
      <c r="O401" t="str">
        <f t="shared" si="52"/>
        <v>Salary</v>
      </c>
      <c r="P401" t="str">
        <f t="shared" si="53"/>
        <v>Withdrawal</v>
      </c>
      <c r="Q401">
        <f t="shared" si="54"/>
        <v>8045.37</v>
      </c>
      <c r="R401">
        <f t="shared" si="55"/>
        <v>-506.44999999999982</v>
      </c>
    </row>
    <row r="402" spans="1:18" x14ac:dyDescent="0.3">
      <c r="A402" t="s">
        <v>410</v>
      </c>
      <c r="B402" t="s">
        <v>862</v>
      </c>
      <c r="C402" s="4" t="s">
        <v>1184</v>
      </c>
      <c r="D402" t="s">
        <v>1292</v>
      </c>
      <c r="E402" t="s">
        <v>1299</v>
      </c>
      <c r="F402" t="s">
        <v>1311</v>
      </c>
      <c r="G402" s="9">
        <v>1182.68</v>
      </c>
      <c r="H402">
        <v>1530.59</v>
      </c>
      <c r="J402">
        <v>1208.1199999999999</v>
      </c>
      <c r="K402">
        <f t="shared" si="48"/>
        <v>1530.59</v>
      </c>
      <c r="L402">
        <f t="shared" si="49"/>
        <v>1574.7729850746268</v>
      </c>
      <c r="M402">
        <f t="shared" si="50"/>
        <v>-44.182985074626863</v>
      </c>
      <c r="N402" t="str">
        <f t="shared" si="51"/>
        <v>Spotify Music Hub</v>
      </c>
      <c r="O402" t="str">
        <f t="shared" si="52"/>
        <v>Entertainment</v>
      </c>
      <c r="P402" t="str">
        <f t="shared" si="53"/>
        <v>Deposit</v>
      </c>
      <c r="Q402">
        <f t="shared" si="54"/>
        <v>1182.68</v>
      </c>
      <c r="R402">
        <f t="shared" si="55"/>
        <v>-25.439999999999827</v>
      </c>
    </row>
    <row r="403" spans="1:18" x14ac:dyDescent="0.3">
      <c r="A403" t="s">
        <v>411</v>
      </c>
      <c r="B403" t="s">
        <v>898</v>
      </c>
      <c r="C403" s="4" t="s">
        <v>1185</v>
      </c>
      <c r="D403" t="s">
        <v>1292</v>
      </c>
      <c r="E403" t="s">
        <v>1293</v>
      </c>
      <c r="F403" t="s">
        <v>1318</v>
      </c>
      <c r="G403" s="9">
        <v>874.93</v>
      </c>
      <c r="H403">
        <v>1122.9000000000001</v>
      </c>
      <c r="I403">
        <v>247.97</v>
      </c>
      <c r="J403">
        <v>921.95</v>
      </c>
      <c r="K403">
        <f t="shared" si="48"/>
        <v>1122.9000000000001</v>
      </c>
      <c r="L403">
        <f t="shared" si="49"/>
        <v>874.93000000000006</v>
      </c>
      <c r="M403">
        <f t="shared" si="50"/>
        <v>247.97</v>
      </c>
      <c r="N403" t="str">
        <f t="shared" si="51"/>
        <v>Metropolitan Water Sewer</v>
      </c>
      <c r="O403" t="str">
        <f t="shared" si="52"/>
        <v>Utilities</v>
      </c>
      <c r="P403" t="str">
        <f t="shared" si="53"/>
        <v>Deposit</v>
      </c>
      <c r="Q403">
        <f t="shared" si="54"/>
        <v>874.93</v>
      </c>
      <c r="R403">
        <f t="shared" si="55"/>
        <v>-47.020000000000095</v>
      </c>
    </row>
    <row r="404" spans="1:18" x14ac:dyDescent="0.3">
      <c r="A404" t="s">
        <v>412</v>
      </c>
      <c r="B404" t="s">
        <v>801</v>
      </c>
      <c r="C404" s="4" t="s">
        <v>1018</v>
      </c>
      <c r="D404" t="s">
        <v>1291</v>
      </c>
      <c r="E404" t="s">
        <v>1296</v>
      </c>
      <c r="F404" t="s">
        <v>1303</v>
      </c>
      <c r="G404" s="9">
        <v>9195.5499999999993</v>
      </c>
      <c r="H404">
        <v>11401.85</v>
      </c>
      <c r="I404">
        <v>-1710.28</v>
      </c>
      <c r="J404">
        <v>8844.3700000000008</v>
      </c>
      <c r="K404">
        <f t="shared" si="48"/>
        <v>11401.85</v>
      </c>
      <c r="L404">
        <f t="shared" si="49"/>
        <v>13112.130000000001</v>
      </c>
      <c r="M404">
        <f t="shared" si="50"/>
        <v>-1710.28</v>
      </c>
      <c r="N404" t="str">
        <f t="shared" si="51"/>
        <v>Global Industries Llc</v>
      </c>
      <c r="O404" t="str">
        <f t="shared" si="52"/>
        <v>Salary</v>
      </c>
      <c r="P404" t="str">
        <f t="shared" si="53"/>
        <v>Withdrawal</v>
      </c>
      <c r="Q404">
        <f t="shared" si="54"/>
        <v>9195.5499999999993</v>
      </c>
      <c r="R404">
        <f t="shared" si="55"/>
        <v>351.17999999999847</v>
      </c>
    </row>
    <row r="405" spans="1:18" x14ac:dyDescent="0.3">
      <c r="A405" t="s">
        <v>413</v>
      </c>
      <c r="B405" t="s">
        <v>797</v>
      </c>
      <c r="C405" s="4" t="s">
        <v>983</v>
      </c>
      <c r="D405" t="s">
        <v>1292</v>
      </c>
      <c r="E405" t="s">
        <v>1298</v>
      </c>
      <c r="F405" t="s">
        <v>1306</v>
      </c>
      <c r="G405" s="9">
        <v>713.36</v>
      </c>
      <c r="H405">
        <v>887.41</v>
      </c>
      <c r="I405">
        <v>174.05</v>
      </c>
      <c r="J405">
        <v>817.28</v>
      </c>
      <c r="K405">
        <f t="shared" si="48"/>
        <v>887.41</v>
      </c>
      <c r="L405">
        <f t="shared" si="49"/>
        <v>713.3599999999999</v>
      </c>
      <c r="M405">
        <f t="shared" si="50"/>
        <v>174.05</v>
      </c>
      <c r="N405" t="str">
        <f t="shared" si="51"/>
        <v>Internal P2P Route</v>
      </c>
      <c r="O405" t="str">
        <f t="shared" si="52"/>
        <v>Transfer</v>
      </c>
      <c r="P405" t="str">
        <f t="shared" si="53"/>
        <v>Deposit</v>
      </c>
      <c r="Q405">
        <f t="shared" si="54"/>
        <v>713.36</v>
      </c>
      <c r="R405">
        <f t="shared" si="55"/>
        <v>-103.91999999999996</v>
      </c>
    </row>
    <row r="406" spans="1:18" x14ac:dyDescent="0.3">
      <c r="A406" t="s">
        <v>414</v>
      </c>
      <c r="B406" t="s">
        <v>792</v>
      </c>
      <c r="C406" s="4" t="s">
        <v>937</v>
      </c>
      <c r="D406" t="s">
        <v>1291</v>
      </c>
      <c r="E406" t="s">
        <v>1299</v>
      </c>
      <c r="F406" t="s">
        <v>1316</v>
      </c>
      <c r="G406" s="9">
        <v>948.53</v>
      </c>
      <c r="H406">
        <v>1242.44</v>
      </c>
      <c r="I406">
        <v>-186.37</v>
      </c>
      <c r="J406">
        <v>946</v>
      </c>
      <c r="K406">
        <f t="shared" si="48"/>
        <v>1242.44</v>
      </c>
      <c r="L406">
        <f t="shared" si="49"/>
        <v>1428.81</v>
      </c>
      <c r="M406">
        <f t="shared" si="50"/>
        <v>-186.37</v>
      </c>
      <c r="N406" t="str">
        <f t="shared" si="51"/>
        <v>Amc Cinema Network</v>
      </c>
      <c r="O406" t="str">
        <f t="shared" si="52"/>
        <v>Entertainment</v>
      </c>
      <c r="P406" t="str">
        <f t="shared" si="53"/>
        <v>Withdrawal</v>
      </c>
      <c r="Q406">
        <f t="shared" si="54"/>
        <v>948.53</v>
      </c>
      <c r="R406">
        <f t="shared" si="55"/>
        <v>2.5299999999999727</v>
      </c>
    </row>
    <row r="407" spans="1:18" x14ac:dyDescent="0.3">
      <c r="A407" t="s">
        <v>415</v>
      </c>
      <c r="B407" t="s">
        <v>790</v>
      </c>
      <c r="C407" s="4" t="s">
        <v>1186</v>
      </c>
      <c r="D407" t="s">
        <v>1291</v>
      </c>
      <c r="E407" t="s">
        <v>1295</v>
      </c>
      <c r="F407" t="s">
        <v>1313</v>
      </c>
      <c r="G407" s="9">
        <v>1004.01</v>
      </c>
      <c r="H407">
        <v>1342.67</v>
      </c>
      <c r="I407">
        <v>-201.4</v>
      </c>
      <c r="J407">
        <v>1107.1099999999999</v>
      </c>
      <c r="K407">
        <f t="shared" si="48"/>
        <v>1342.67</v>
      </c>
      <c r="L407">
        <f t="shared" si="49"/>
        <v>1544.0700000000002</v>
      </c>
      <c r="M407">
        <f t="shared" si="50"/>
        <v>-201.4</v>
      </c>
      <c r="N407" t="str">
        <f t="shared" si="51"/>
        <v>Fresh &amp; Fast Logistics</v>
      </c>
      <c r="O407" t="str">
        <f t="shared" si="52"/>
        <v>Groceries</v>
      </c>
      <c r="P407" t="str">
        <f t="shared" si="53"/>
        <v>Withdrawal</v>
      </c>
      <c r="Q407">
        <f t="shared" si="54"/>
        <v>1004.01</v>
      </c>
      <c r="R407">
        <f t="shared" si="55"/>
        <v>-103.09999999999991</v>
      </c>
    </row>
    <row r="408" spans="1:18" x14ac:dyDescent="0.3">
      <c r="A408" t="s">
        <v>416</v>
      </c>
      <c r="B408" t="s">
        <v>852</v>
      </c>
      <c r="C408" s="4" t="s">
        <v>951</v>
      </c>
      <c r="D408" t="s">
        <v>1292</v>
      </c>
      <c r="E408" t="s">
        <v>1294</v>
      </c>
      <c r="F408" t="s">
        <v>1315</v>
      </c>
      <c r="G408" s="9">
        <v>835.57</v>
      </c>
      <c r="I408">
        <v>233.27</v>
      </c>
      <c r="J408">
        <v>978.25</v>
      </c>
      <c r="K408">
        <f t="shared" si="48"/>
        <v>1420.2638235294123</v>
      </c>
      <c r="L408">
        <f t="shared" si="49"/>
        <v>1186.9938235294123</v>
      </c>
      <c r="M408">
        <f t="shared" si="50"/>
        <v>233.27</v>
      </c>
      <c r="N408" t="str">
        <f t="shared" si="51"/>
        <v>Ebay International</v>
      </c>
      <c r="O408" t="str">
        <f t="shared" si="52"/>
        <v>Online Shopping</v>
      </c>
      <c r="P408" t="str">
        <f t="shared" si="53"/>
        <v>Deposit</v>
      </c>
      <c r="Q408">
        <f t="shared" si="54"/>
        <v>835.57</v>
      </c>
      <c r="R408">
        <f t="shared" si="55"/>
        <v>-142.67999999999995</v>
      </c>
    </row>
    <row r="409" spans="1:18" x14ac:dyDescent="0.3">
      <c r="A409" t="s">
        <v>417</v>
      </c>
      <c r="B409" t="s">
        <v>863</v>
      </c>
      <c r="C409" s="4" t="s">
        <v>1173</v>
      </c>
      <c r="D409" t="s">
        <v>1291</v>
      </c>
      <c r="E409" t="s">
        <v>1296</v>
      </c>
      <c r="F409" t="s">
        <v>1308</v>
      </c>
      <c r="G409" s="9">
        <v>4521.3100000000004</v>
      </c>
      <c r="H409">
        <v>6209.83</v>
      </c>
      <c r="I409">
        <v>-931.47</v>
      </c>
      <c r="J409">
        <v>4182.49</v>
      </c>
      <c r="K409">
        <f t="shared" si="48"/>
        <v>6209.83</v>
      </c>
      <c r="L409">
        <f t="shared" si="49"/>
        <v>7141.3</v>
      </c>
      <c r="M409">
        <f t="shared" si="50"/>
        <v>-931.47</v>
      </c>
      <c r="N409" t="str">
        <f t="shared" si="51"/>
        <v>Stark Retail Labs</v>
      </c>
      <c r="O409" t="str">
        <f t="shared" si="52"/>
        <v>Salary</v>
      </c>
      <c r="P409" t="str">
        <f t="shared" si="53"/>
        <v>Withdrawal</v>
      </c>
      <c r="Q409">
        <f t="shared" si="54"/>
        <v>4521.3100000000004</v>
      </c>
      <c r="R409">
        <f t="shared" si="55"/>
        <v>338.82000000000062</v>
      </c>
    </row>
    <row r="410" spans="1:18" x14ac:dyDescent="0.3">
      <c r="A410" t="s">
        <v>418</v>
      </c>
      <c r="B410" t="s">
        <v>806</v>
      </c>
      <c r="C410" s="4" t="s">
        <v>1151</v>
      </c>
      <c r="D410" t="s">
        <v>1291</v>
      </c>
      <c r="E410" t="s">
        <v>1296</v>
      </c>
      <c r="F410" t="s">
        <v>1303</v>
      </c>
      <c r="G410" s="9">
        <v>9011.26</v>
      </c>
      <c r="H410">
        <v>11794.27</v>
      </c>
      <c r="I410">
        <v>-1769.14</v>
      </c>
      <c r="J410">
        <v>9786.07</v>
      </c>
      <c r="K410">
        <f t="shared" si="48"/>
        <v>11794.27</v>
      </c>
      <c r="L410">
        <f t="shared" si="49"/>
        <v>13563.41</v>
      </c>
      <c r="M410">
        <f t="shared" si="50"/>
        <v>-1769.14</v>
      </c>
      <c r="N410" t="str">
        <f t="shared" si="51"/>
        <v>Global Industries Llc</v>
      </c>
      <c r="O410" t="str">
        <f t="shared" si="52"/>
        <v>Salary</v>
      </c>
      <c r="P410" t="str">
        <f t="shared" si="53"/>
        <v>Withdrawal</v>
      </c>
      <c r="Q410">
        <f t="shared" si="54"/>
        <v>9011.26</v>
      </c>
      <c r="R410">
        <f t="shared" si="55"/>
        <v>-774.80999999999949</v>
      </c>
    </row>
    <row r="411" spans="1:18" x14ac:dyDescent="0.3">
      <c r="A411" t="s">
        <v>419</v>
      </c>
      <c r="B411" t="s">
        <v>910</v>
      </c>
      <c r="C411" s="4" t="s">
        <v>957</v>
      </c>
      <c r="D411" t="s">
        <v>1291</v>
      </c>
      <c r="E411" t="s">
        <v>1298</v>
      </c>
      <c r="F411" t="s">
        <v>1310</v>
      </c>
      <c r="G411" s="9">
        <v>1180.3900000000001</v>
      </c>
      <c r="H411">
        <v>1447.82</v>
      </c>
      <c r="I411">
        <v>-217.17</v>
      </c>
      <c r="J411">
        <v>1257.24</v>
      </c>
      <c r="K411">
        <f t="shared" si="48"/>
        <v>1447.82</v>
      </c>
      <c r="L411">
        <f t="shared" si="49"/>
        <v>1664.99</v>
      </c>
      <c r="M411">
        <f t="shared" si="50"/>
        <v>-217.17</v>
      </c>
      <c r="N411" t="str">
        <f t="shared" si="51"/>
        <v>Zelle Payment Engine</v>
      </c>
      <c r="O411" t="str">
        <f t="shared" si="52"/>
        <v>Transfer</v>
      </c>
      <c r="P411" t="str">
        <f t="shared" si="53"/>
        <v>Withdrawal</v>
      </c>
      <c r="Q411">
        <f t="shared" si="54"/>
        <v>1180.3900000000001</v>
      </c>
      <c r="R411">
        <f t="shared" si="55"/>
        <v>-76.849999999999909</v>
      </c>
    </row>
    <row r="412" spans="1:18" x14ac:dyDescent="0.3">
      <c r="A412" t="s">
        <v>420</v>
      </c>
      <c r="B412" t="s">
        <v>797</v>
      </c>
      <c r="C412" s="4" t="s">
        <v>1187</v>
      </c>
      <c r="D412" t="s">
        <v>1291</v>
      </c>
      <c r="E412" t="s">
        <v>1294</v>
      </c>
      <c r="F412" t="s">
        <v>1314</v>
      </c>
      <c r="G412" s="9">
        <v>838.51</v>
      </c>
      <c r="H412">
        <v>1120.8399999999999</v>
      </c>
      <c r="I412">
        <v>-168.13</v>
      </c>
      <c r="J412">
        <v>943.58</v>
      </c>
      <c r="K412">
        <f t="shared" si="48"/>
        <v>1120.8399999999999</v>
      </c>
      <c r="L412">
        <f t="shared" si="49"/>
        <v>1288.9699999999998</v>
      </c>
      <c r="M412">
        <f t="shared" si="50"/>
        <v>-168.13</v>
      </c>
      <c r="N412" t="str">
        <f t="shared" si="51"/>
        <v>Target Direct Online</v>
      </c>
      <c r="O412" t="str">
        <f t="shared" si="52"/>
        <v>Online Shopping</v>
      </c>
      <c r="P412" t="str">
        <f t="shared" si="53"/>
        <v>Withdrawal</v>
      </c>
      <c r="Q412">
        <f t="shared" si="54"/>
        <v>838.51</v>
      </c>
      <c r="R412">
        <f t="shared" si="55"/>
        <v>-105.07000000000005</v>
      </c>
    </row>
    <row r="413" spans="1:18" x14ac:dyDescent="0.3">
      <c r="A413" t="s">
        <v>421</v>
      </c>
      <c r="B413" t="s">
        <v>813</v>
      </c>
      <c r="C413" s="4" t="s">
        <v>982</v>
      </c>
      <c r="D413" t="s">
        <v>1291</v>
      </c>
      <c r="E413" t="s">
        <v>1298</v>
      </c>
      <c r="F413" t="s">
        <v>1306</v>
      </c>
      <c r="G413" s="9">
        <v>1020.84</v>
      </c>
      <c r="H413">
        <v>1252.71</v>
      </c>
      <c r="I413">
        <v>-187.91</v>
      </c>
      <c r="J413">
        <v>932.54</v>
      </c>
      <c r="K413">
        <f t="shared" si="48"/>
        <v>1252.71</v>
      </c>
      <c r="L413">
        <f t="shared" si="49"/>
        <v>1440.6200000000001</v>
      </c>
      <c r="M413">
        <f t="shared" si="50"/>
        <v>-187.91</v>
      </c>
      <c r="N413" t="str">
        <f t="shared" si="51"/>
        <v>Internal P2P Route</v>
      </c>
      <c r="O413" t="str">
        <f t="shared" si="52"/>
        <v>Transfer</v>
      </c>
      <c r="P413" t="str">
        <f t="shared" si="53"/>
        <v>Withdrawal</v>
      </c>
      <c r="Q413">
        <f t="shared" si="54"/>
        <v>1020.84</v>
      </c>
      <c r="R413">
        <f t="shared" si="55"/>
        <v>88.300000000000068</v>
      </c>
    </row>
    <row r="414" spans="1:18" x14ac:dyDescent="0.3">
      <c r="A414" t="s">
        <v>422</v>
      </c>
      <c r="B414" t="s">
        <v>796</v>
      </c>
      <c r="C414" s="4" t="s">
        <v>1188</v>
      </c>
      <c r="D414" t="s">
        <v>1291</v>
      </c>
      <c r="E414" t="s">
        <v>1298</v>
      </c>
      <c r="F414" t="s">
        <v>1310</v>
      </c>
      <c r="G414" s="9">
        <v>429.49</v>
      </c>
      <c r="H414">
        <v>522.01</v>
      </c>
      <c r="I414">
        <v>-78.3</v>
      </c>
      <c r="J414">
        <v>391.32</v>
      </c>
      <c r="K414">
        <f t="shared" si="48"/>
        <v>522.01</v>
      </c>
      <c r="L414">
        <f t="shared" si="49"/>
        <v>600.30999999999995</v>
      </c>
      <c r="M414">
        <f t="shared" si="50"/>
        <v>-78.3</v>
      </c>
      <c r="N414" t="str">
        <f t="shared" si="51"/>
        <v>Zelle Payment Engine</v>
      </c>
      <c r="O414" t="str">
        <f t="shared" si="52"/>
        <v>Transfer</v>
      </c>
      <c r="P414" t="str">
        <f t="shared" si="53"/>
        <v>Withdrawal</v>
      </c>
      <c r="Q414">
        <f t="shared" si="54"/>
        <v>429.49</v>
      </c>
      <c r="R414">
        <f t="shared" si="55"/>
        <v>38.170000000000016</v>
      </c>
    </row>
    <row r="415" spans="1:18" x14ac:dyDescent="0.3">
      <c r="A415" t="s">
        <v>423</v>
      </c>
      <c r="B415" t="s">
        <v>918</v>
      </c>
      <c r="C415" s="4" t="s">
        <v>1014</v>
      </c>
      <c r="D415" t="s">
        <v>1291</v>
      </c>
      <c r="E415" t="s">
        <v>1299</v>
      </c>
      <c r="F415" t="s">
        <v>1311</v>
      </c>
      <c r="G415" s="9">
        <v>705.8</v>
      </c>
      <c r="H415">
        <v>886.25</v>
      </c>
      <c r="I415">
        <v>-132.94</v>
      </c>
      <c r="J415">
        <v>680.34</v>
      </c>
      <c r="K415">
        <f t="shared" si="48"/>
        <v>886.25</v>
      </c>
      <c r="L415">
        <f t="shared" si="49"/>
        <v>1019.19</v>
      </c>
      <c r="M415">
        <f t="shared" si="50"/>
        <v>-132.94</v>
      </c>
      <c r="N415" t="str">
        <f t="shared" si="51"/>
        <v>Spotify Music Hub</v>
      </c>
      <c r="O415" t="str">
        <f t="shared" si="52"/>
        <v>Entertainment</v>
      </c>
      <c r="P415" t="str">
        <f t="shared" si="53"/>
        <v>Withdrawal</v>
      </c>
      <c r="Q415">
        <f t="shared" si="54"/>
        <v>705.8</v>
      </c>
      <c r="R415">
        <f t="shared" si="55"/>
        <v>25.459999999999923</v>
      </c>
    </row>
    <row r="416" spans="1:18" x14ac:dyDescent="0.3">
      <c r="A416" t="s">
        <v>424</v>
      </c>
      <c r="B416" t="s">
        <v>881</v>
      </c>
      <c r="C416" s="4" t="s">
        <v>1189</v>
      </c>
      <c r="D416" t="s">
        <v>1292</v>
      </c>
      <c r="E416" t="s">
        <v>1297</v>
      </c>
      <c r="F416" t="s">
        <v>1309</v>
      </c>
      <c r="G416" s="9">
        <v>646.96</v>
      </c>
      <c r="H416">
        <v>823.43</v>
      </c>
      <c r="I416">
        <v>176.47</v>
      </c>
      <c r="J416">
        <v>608.16999999999996</v>
      </c>
      <c r="K416">
        <f t="shared" si="48"/>
        <v>823.43</v>
      </c>
      <c r="L416">
        <f t="shared" si="49"/>
        <v>646.95999999999992</v>
      </c>
      <c r="M416">
        <f t="shared" si="50"/>
        <v>176.47</v>
      </c>
      <c r="N416" t="str">
        <f t="shared" si="51"/>
        <v>Olive Garden Gourmet</v>
      </c>
      <c r="O416" t="str">
        <f t="shared" si="52"/>
        <v>Dining Out</v>
      </c>
      <c r="P416" t="str">
        <f t="shared" si="53"/>
        <v>Deposit</v>
      </c>
      <c r="Q416">
        <f t="shared" si="54"/>
        <v>646.96</v>
      </c>
      <c r="R416">
        <f t="shared" si="55"/>
        <v>38.790000000000077</v>
      </c>
    </row>
    <row r="417" spans="1:18" x14ac:dyDescent="0.3">
      <c r="A417" t="s">
        <v>425</v>
      </c>
      <c r="B417" t="s">
        <v>915</v>
      </c>
      <c r="C417" s="4" t="s">
        <v>1190</v>
      </c>
      <c r="D417" t="s">
        <v>1292</v>
      </c>
      <c r="E417" t="s">
        <v>1294</v>
      </c>
      <c r="F417" t="s">
        <v>1315</v>
      </c>
      <c r="G417" s="9">
        <v>483.36</v>
      </c>
      <c r="H417">
        <v>662.32</v>
      </c>
      <c r="I417">
        <v>178.96</v>
      </c>
      <c r="J417">
        <v>549.54</v>
      </c>
      <c r="K417">
        <f t="shared" si="48"/>
        <v>662.32</v>
      </c>
      <c r="L417">
        <f t="shared" si="49"/>
        <v>483.36</v>
      </c>
      <c r="M417">
        <f t="shared" si="50"/>
        <v>178.96</v>
      </c>
      <c r="N417" t="str">
        <f t="shared" si="51"/>
        <v>Ebay International</v>
      </c>
      <c r="O417" t="str">
        <f t="shared" si="52"/>
        <v>Online Shopping</v>
      </c>
      <c r="P417" t="str">
        <f t="shared" si="53"/>
        <v>Deposit</v>
      </c>
      <c r="Q417">
        <f t="shared" si="54"/>
        <v>483.36</v>
      </c>
      <c r="R417">
        <f t="shared" si="55"/>
        <v>-66.17999999999995</v>
      </c>
    </row>
    <row r="418" spans="1:18" x14ac:dyDescent="0.3">
      <c r="A418" t="s">
        <v>426</v>
      </c>
      <c r="B418" t="s">
        <v>905</v>
      </c>
      <c r="C418" s="4" t="s">
        <v>963</v>
      </c>
      <c r="D418" t="s">
        <v>1291</v>
      </c>
      <c r="E418" t="s">
        <v>1297</v>
      </c>
      <c r="F418" t="s">
        <v>1319</v>
      </c>
      <c r="G418" s="9">
        <v>998.21</v>
      </c>
      <c r="H418">
        <v>1288.8</v>
      </c>
      <c r="I418">
        <v>-193.32</v>
      </c>
      <c r="J418">
        <v>1093.83</v>
      </c>
      <c r="K418">
        <f t="shared" si="48"/>
        <v>1288.8</v>
      </c>
      <c r="L418">
        <f t="shared" si="49"/>
        <v>1482.12</v>
      </c>
      <c r="M418">
        <f t="shared" si="50"/>
        <v>-193.32</v>
      </c>
      <c r="N418" t="str">
        <f t="shared" si="51"/>
        <v>Starbucks Hub Cafe</v>
      </c>
      <c r="O418" t="str">
        <f t="shared" si="52"/>
        <v>Dining Out</v>
      </c>
      <c r="P418" t="str">
        <f t="shared" si="53"/>
        <v>Withdrawal</v>
      </c>
      <c r="Q418">
        <f t="shared" si="54"/>
        <v>998.21</v>
      </c>
      <c r="R418">
        <f t="shared" si="55"/>
        <v>-95.619999999999891</v>
      </c>
    </row>
    <row r="419" spans="1:18" x14ac:dyDescent="0.3">
      <c r="A419" t="s">
        <v>427</v>
      </c>
      <c r="B419" t="s">
        <v>853</v>
      </c>
      <c r="C419" s="4" t="s">
        <v>1012</v>
      </c>
      <c r="D419" t="s">
        <v>1291</v>
      </c>
      <c r="E419" t="s">
        <v>1299</v>
      </c>
      <c r="F419" t="s">
        <v>1311</v>
      </c>
      <c r="G419" s="9">
        <v>250.97</v>
      </c>
      <c r="H419">
        <v>328.04</v>
      </c>
      <c r="I419">
        <v>-49.21</v>
      </c>
      <c r="J419">
        <v>272.18</v>
      </c>
      <c r="K419">
        <f t="shared" si="48"/>
        <v>328.04</v>
      </c>
      <c r="L419">
        <f t="shared" si="49"/>
        <v>377.25</v>
      </c>
      <c r="M419">
        <f t="shared" si="50"/>
        <v>-49.21</v>
      </c>
      <c r="N419" t="str">
        <f t="shared" si="51"/>
        <v>Spotify Music Hub</v>
      </c>
      <c r="O419" t="str">
        <f t="shared" si="52"/>
        <v>Entertainment</v>
      </c>
      <c r="P419" t="str">
        <f t="shared" si="53"/>
        <v>Withdrawal</v>
      </c>
      <c r="Q419">
        <f t="shared" si="54"/>
        <v>250.97</v>
      </c>
      <c r="R419">
        <f t="shared" si="55"/>
        <v>-21.210000000000008</v>
      </c>
    </row>
    <row r="420" spans="1:18" x14ac:dyDescent="0.3">
      <c r="A420" t="s">
        <v>428</v>
      </c>
      <c r="B420" t="s">
        <v>920</v>
      </c>
      <c r="C420" s="4" t="s">
        <v>1095</v>
      </c>
      <c r="D420" t="s">
        <v>1292</v>
      </c>
      <c r="E420" t="s">
        <v>1296</v>
      </c>
      <c r="F420" t="s">
        <v>1308</v>
      </c>
      <c r="G420" s="9">
        <v>6929.34</v>
      </c>
      <c r="H420">
        <v>8341.91</v>
      </c>
      <c r="I420">
        <v>1412.57</v>
      </c>
      <c r="J420">
        <v>6414.79</v>
      </c>
      <c r="K420">
        <f t="shared" si="48"/>
        <v>8341.91</v>
      </c>
      <c r="L420">
        <f t="shared" si="49"/>
        <v>6929.34</v>
      </c>
      <c r="M420">
        <f t="shared" si="50"/>
        <v>1412.57</v>
      </c>
      <c r="N420" t="str">
        <f t="shared" si="51"/>
        <v>Stark Retail Labs</v>
      </c>
      <c r="O420" t="str">
        <f t="shared" si="52"/>
        <v>Salary</v>
      </c>
      <c r="P420" t="str">
        <f t="shared" si="53"/>
        <v>Deposit</v>
      </c>
      <c r="Q420">
        <f t="shared" si="54"/>
        <v>6929.34</v>
      </c>
      <c r="R420">
        <f t="shared" si="55"/>
        <v>514.55000000000018</v>
      </c>
    </row>
    <row r="421" spans="1:18" x14ac:dyDescent="0.3">
      <c r="A421" t="s">
        <v>429</v>
      </c>
      <c r="B421" t="s">
        <v>795</v>
      </c>
      <c r="C421" s="4" t="s">
        <v>1191</v>
      </c>
      <c r="D421" t="s">
        <v>1291</v>
      </c>
      <c r="E421" t="s">
        <v>1293</v>
      </c>
      <c r="F421" t="s">
        <v>1320</v>
      </c>
      <c r="H421">
        <v>123.96</v>
      </c>
      <c r="I421">
        <v>-18.59</v>
      </c>
      <c r="J421">
        <v>112.12</v>
      </c>
      <c r="K421">
        <f t="shared" si="48"/>
        <v>123.96</v>
      </c>
      <c r="L421">
        <f t="shared" si="49"/>
        <v>142.54999999999998</v>
      </c>
      <c r="M421">
        <f t="shared" si="50"/>
        <v>-18.59</v>
      </c>
      <c r="N421" t="str">
        <f t="shared" si="51"/>
        <v>City Power &amp; Gas Co</v>
      </c>
      <c r="O421" t="str">
        <f t="shared" si="52"/>
        <v>Utilities</v>
      </c>
      <c r="P421" t="str">
        <f t="shared" si="53"/>
        <v>Withdrawal</v>
      </c>
      <c r="Q421">
        <f t="shared" si="54"/>
        <v>1219.4163333333336</v>
      </c>
      <c r="R421">
        <f t="shared" si="55"/>
        <v>1107.2963333333337</v>
      </c>
    </row>
    <row r="422" spans="1:18" x14ac:dyDescent="0.3">
      <c r="A422" t="s">
        <v>430</v>
      </c>
      <c r="B422" t="s">
        <v>815</v>
      </c>
      <c r="C422" s="4" t="s">
        <v>1125</v>
      </c>
      <c r="D422" t="s">
        <v>1291</v>
      </c>
      <c r="E422" t="s">
        <v>1297</v>
      </c>
      <c r="F422" t="s">
        <v>1309</v>
      </c>
      <c r="G422" s="9">
        <v>178.41</v>
      </c>
      <c r="H422">
        <v>248.61</v>
      </c>
      <c r="I422">
        <v>-37.29</v>
      </c>
      <c r="J422">
        <v>175.13</v>
      </c>
      <c r="K422">
        <f t="shared" si="48"/>
        <v>248.61</v>
      </c>
      <c r="L422">
        <f t="shared" si="49"/>
        <v>285.90000000000003</v>
      </c>
      <c r="M422">
        <f t="shared" si="50"/>
        <v>-37.29</v>
      </c>
      <c r="N422" t="str">
        <f t="shared" si="51"/>
        <v>Olive Garden Gourmet</v>
      </c>
      <c r="O422" t="str">
        <f t="shared" si="52"/>
        <v>Dining Out</v>
      </c>
      <c r="P422" t="str">
        <f t="shared" si="53"/>
        <v>Withdrawal</v>
      </c>
      <c r="Q422">
        <f t="shared" si="54"/>
        <v>178.41</v>
      </c>
      <c r="R422">
        <f t="shared" si="55"/>
        <v>3.2800000000000011</v>
      </c>
    </row>
    <row r="423" spans="1:18" x14ac:dyDescent="0.3">
      <c r="A423" t="s">
        <v>431</v>
      </c>
      <c r="B423" t="s">
        <v>921</v>
      </c>
      <c r="C423" s="4" t="s">
        <v>1076</v>
      </c>
      <c r="D423" t="s">
        <v>1291</v>
      </c>
      <c r="E423" t="s">
        <v>1294</v>
      </c>
      <c r="F423" t="s">
        <v>1301</v>
      </c>
      <c r="G423" s="9">
        <v>1143.54</v>
      </c>
      <c r="H423">
        <v>1393.92</v>
      </c>
      <c r="J423">
        <v>1074.51</v>
      </c>
      <c r="K423">
        <f t="shared" si="48"/>
        <v>1393.92</v>
      </c>
      <c r="L423">
        <f t="shared" si="49"/>
        <v>1438.102985074627</v>
      </c>
      <c r="M423">
        <f t="shared" si="50"/>
        <v>-44.182985074626863</v>
      </c>
      <c r="N423" t="str">
        <f t="shared" si="51"/>
        <v>Amazon Digital Supply</v>
      </c>
      <c r="O423" t="str">
        <f t="shared" si="52"/>
        <v>Online Shopping</v>
      </c>
      <c r="P423" t="str">
        <f t="shared" si="53"/>
        <v>Withdrawal</v>
      </c>
      <c r="Q423">
        <f t="shared" si="54"/>
        <v>1143.54</v>
      </c>
      <c r="R423">
        <f t="shared" si="55"/>
        <v>69.029999999999973</v>
      </c>
    </row>
    <row r="424" spans="1:18" x14ac:dyDescent="0.3">
      <c r="A424" t="s">
        <v>432</v>
      </c>
      <c r="B424" t="s">
        <v>803</v>
      </c>
      <c r="C424" s="4" t="s">
        <v>1045</v>
      </c>
      <c r="D424" t="s">
        <v>1291</v>
      </c>
      <c r="E424" t="s">
        <v>1296</v>
      </c>
      <c r="F424" t="s">
        <v>1308</v>
      </c>
      <c r="G424" s="9">
        <v>5524.92</v>
      </c>
      <c r="H424">
        <v>6527.76</v>
      </c>
      <c r="I424">
        <v>-979.16</v>
      </c>
      <c r="J424">
        <v>5474.03</v>
      </c>
      <c r="K424">
        <f t="shared" si="48"/>
        <v>6527.76</v>
      </c>
      <c r="L424">
        <f t="shared" si="49"/>
        <v>7506.92</v>
      </c>
      <c r="M424">
        <f t="shared" si="50"/>
        <v>-979.16</v>
      </c>
      <c r="N424" t="str">
        <f t="shared" si="51"/>
        <v>Stark Retail Labs</v>
      </c>
      <c r="O424" t="str">
        <f t="shared" si="52"/>
        <v>Salary</v>
      </c>
      <c r="P424" t="str">
        <f t="shared" si="53"/>
        <v>Withdrawal</v>
      </c>
      <c r="Q424">
        <f t="shared" si="54"/>
        <v>5524.92</v>
      </c>
      <c r="R424">
        <f t="shared" si="55"/>
        <v>50.890000000000327</v>
      </c>
    </row>
    <row r="425" spans="1:18" x14ac:dyDescent="0.3">
      <c r="A425" t="s">
        <v>433</v>
      </c>
      <c r="B425" t="s">
        <v>791</v>
      </c>
      <c r="C425" s="4" t="s">
        <v>1063</v>
      </c>
      <c r="D425" t="s">
        <v>1292</v>
      </c>
      <c r="E425" t="s">
        <v>1297</v>
      </c>
      <c r="F425" t="s">
        <v>1305</v>
      </c>
      <c r="G425" s="9">
        <v>677.87</v>
      </c>
      <c r="H425">
        <v>803.84</v>
      </c>
      <c r="I425">
        <v>125.97</v>
      </c>
      <c r="J425">
        <v>717.7</v>
      </c>
      <c r="K425">
        <f t="shared" si="48"/>
        <v>803.84</v>
      </c>
      <c r="L425">
        <f t="shared" si="49"/>
        <v>677.87</v>
      </c>
      <c r="M425">
        <f t="shared" si="50"/>
        <v>125.97</v>
      </c>
      <c r="N425" t="str">
        <f t="shared" si="51"/>
        <v>Mcdonalds Corp Express</v>
      </c>
      <c r="O425" t="str">
        <f t="shared" si="52"/>
        <v>Dining Out</v>
      </c>
      <c r="P425" t="str">
        <f t="shared" si="53"/>
        <v>Deposit</v>
      </c>
      <c r="Q425">
        <f t="shared" si="54"/>
        <v>677.87</v>
      </c>
      <c r="R425">
        <f t="shared" si="55"/>
        <v>-39.830000000000041</v>
      </c>
    </row>
    <row r="426" spans="1:18" x14ac:dyDescent="0.3">
      <c r="A426" t="s">
        <v>434</v>
      </c>
      <c r="B426" t="s">
        <v>864</v>
      </c>
      <c r="C426" s="4" t="s">
        <v>1087</v>
      </c>
      <c r="D426" t="s">
        <v>1292</v>
      </c>
      <c r="E426" t="s">
        <v>1298</v>
      </c>
      <c r="F426" t="s">
        <v>1306</v>
      </c>
      <c r="G426" s="9">
        <v>537.57000000000005</v>
      </c>
      <c r="H426">
        <v>673.18</v>
      </c>
      <c r="I426">
        <v>135.61000000000001</v>
      </c>
      <c r="J426">
        <v>599.32000000000005</v>
      </c>
      <c r="K426">
        <f t="shared" si="48"/>
        <v>673.18</v>
      </c>
      <c r="L426">
        <f t="shared" si="49"/>
        <v>537.56999999999994</v>
      </c>
      <c r="M426">
        <f t="shared" si="50"/>
        <v>135.61000000000001</v>
      </c>
      <c r="N426" t="str">
        <f t="shared" si="51"/>
        <v>Internal P2P Route</v>
      </c>
      <c r="O426" t="str">
        <f t="shared" si="52"/>
        <v>Transfer</v>
      </c>
      <c r="P426" t="str">
        <f t="shared" si="53"/>
        <v>Deposit</v>
      </c>
      <c r="Q426">
        <f t="shared" si="54"/>
        <v>537.57000000000005</v>
      </c>
      <c r="R426">
        <f t="shared" si="55"/>
        <v>-61.75</v>
      </c>
    </row>
    <row r="427" spans="1:18" x14ac:dyDescent="0.3">
      <c r="A427" t="s">
        <v>435</v>
      </c>
      <c r="B427" t="s">
        <v>859</v>
      </c>
      <c r="C427" s="4" t="s">
        <v>1192</v>
      </c>
      <c r="D427" t="s">
        <v>1291</v>
      </c>
      <c r="E427" t="s">
        <v>1299</v>
      </c>
      <c r="F427" t="s">
        <v>1311</v>
      </c>
      <c r="G427" s="9">
        <v>442</v>
      </c>
      <c r="H427">
        <v>618.27</v>
      </c>
      <c r="I427">
        <v>-92.74</v>
      </c>
      <c r="J427">
        <v>514.22</v>
      </c>
      <c r="K427">
        <f t="shared" si="48"/>
        <v>618.27</v>
      </c>
      <c r="L427">
        <f t="shared" si="49"/>
        <v>711.01</v>
      </c>
      <c r="M427">
        <f t="shared" si="50"/>
        <v>-92.74</v>
      </c>
      <c r="N427" t="str">
        <f t="shared" si="51"/>
        <v>Spotify Music Hub</v>
      </c>
      <c r="O427" t="str">
        <f t="shared" si="52"/>
        <v>Entertainment</v>
      </c>
      <c r="P427" t="str">
        <f t="shared" si="53"/>
        <v>Withdrawal</v>
      </c>
      <c r="Q427">
        <f t="shared" si="54"/>
        <v>442</v>
      </c>
      <c r="R427">
        <f t="shared" si="55"/>
        <v>-72.220000000000027</v>
      </c>
    </row>
    <row r="428" spans="1:18" x14ac:dyDescent="0.3">
      <c r="A428" t="s">
        <v>436</v>
      </c>
      <c r="B428" t="s">
        <v>922</v>
      </c>
      <c r="C428" s="4" t="s">
        <v>965</v>
      </c>
      <c r="D428" t="s">
        <v>1291</v>
      </c>
      <c r="E428" t="s">
        <v>1295</v>
      </c>
      <c r="F428" t="s">
        <v>1302</v>
      </c>
      <c r="H428">
        <v>116.66</v>
      </c>
      <c r="I428">
        <v>-17.5</v>
      </c>
      <c r="J428">
        <v>111.44</v>
      </c>
      <c r="K428">
        <f t="shared" si="48"/>
        <v>116.66</v>
      </c>
      <c r="L428">
        <f t="shared" si="49"/>
        <v>134.16</v>
      </c>
      <c r="M428">
        <f t="shared" si="50"/>
        <v>-17.5</v>
      </c>
      <c r="N428" t="str">
        <f t="shared" si="51"/>
        <v>Supermart Marketplace</v>
      </c>
      <c r="O428" t="str">
        <f t="shared" si="52"/>
        <v>Groceries</v>
      </c>
      <c r="P428" t="str">
        <f t="shared" si="53"/>
        <v>Withdrawal</v>
      </c>
      <c r="Q428">
        <f t="shared" si="54"/>
        <v>1219.4163333333336</v>
      </c>
      <c r="R428">
        <f t="shared" si="55"/>
        <v>1107.9763333333335</v>
      </c>
    </row>
    <row r="429" spans="1:18" x14ac:dyDescent="0.3">
      <c r="A429" t="s">
        <v>437</v>
      </c>
      <c r="B429" t="s">
        <v>806</v>
      </c>
      <c r="C429" s="4" t="s">
        <v>1156</v>
      </c>
      <c r="D429" t="s">
        <v>1291</v>
      </c>
      <c r="E429" t="s">
        <v>1295</v>
      </c>
      <c r="F429" t="s">
        <v>1304</v>
      </c>
      <c r="G429" s="9">
        <v>1137.6600000000001</v>
      </c>
      <c r="H429">
        <v>1310.44</v>
      </c>
      <c r="I429">
        <v>-196.57</v>
      </c>
      <c r="J429">
        <v>1197.42</v>
      </c>
      <c r="K429">
        <f t="shared" si="48"/>
        <v>1310.44</v>
      </c>
      <c r="L429">
        <f t="shared" si="49"/>
        <v>1507.01</v>
      </c>
      <c r="M429">
        <f t="shared" si="50"/>
        <v>-196.57</v>
      </c>
      <c r="N429" t="str">
        <f t="shared" si="51"/>
        <v>Whole Foods Store</v>
      </c>
      <c r="O429" t="str">
        <f t="shared" si="52"/>
        <v>Groceries</v>
      </c>
      <c r="P429" t="str">
        <f t="shared" si="53"/>
        <v>Withdrawal</v>
      </c>
      <c r="Q429">
        <f t="shared" si="54"/>
        <v>1137.6600000000001</v>
      </c>
      <c r="R429">
        <f t="shared" si="55"/>
        <v>-59.759999999999991</v>
      </c>
    </row>
    <row r="430" spans="1:18" x14ac:dyDescent="0.3">
      <c r="A430" t="s">
        <v>438</v>
      </c>
      <c r="B430" t="s">
        <v>873</v>
      </c>
      <c r="C430" s="4" t="s">
        <v>1050</v>
      </c>
      <c r="D430" t="s">
        <v>1292</v>
      </c>
      <c r="E430" t="s">
        <v>1297</v>
      </c>
      <c r="F430" t="s">
        <v>1305</v>
      </c>
      <c r="G430" s="9">
        <v>158.63</v>
      </c>
      <c r="H430">
        <v>209.45</v>
      </c>
      <c r="I430">
        <v>50.82</v>
      </c>
      <c r="J430">
        <v>182.53</v>
      </c>
      <c r="K430">
        <f t="shared" si="48"/>
        <v>209.45</v>
      </c>
      <c r="L430">
        <f t="shared" si="49"/>
        <v>158.63</v>
      </c>
      <c r="M430">
        <f t="shared" si="50"/>
        <v>50.82</v>
      </c>
      <c r="N430" t="str">
        <f t="shared" si="51"/>
        <v>Mcdonalds Corp Express</v>
      </c>
      <c r="O430" t="str">
        <f t="shared" si="52"/>
        <v>Dining Out</v>
      </c>
      <c r="P430" t="str">
        <f t="shared" si="53"/>
        <v>Deposit</v>
      </c>
      <c r="Q430">
        <f t="shared" si="54"/>
        <v>158.63</v>
      </c>
      <c r="R430">
        <f t="shared" si="55"/>
        <v>-23.900000000000006</v>
      </c>
    </row>
    <row r="431" spans="1:18" x14ac:dyDescent="0.3">
      <c r="A431" t="s">
        <v>439</v>
      </c>
      <c r="B431" t="s">
        <v>870</v>
      </c>
      <c r="C431" s="4" t="s">
        <v>1021</v>
      </c>
      <c r="D431" t="s">
        <v>1291</v>
      </c>
      <c r="E431" t="s">
        <v>1295</v>
      </c>
      <c r="F431" t="s">
        <v>1302</v>
      </c>
      <c r="G431" s="9">
        <v>1034.51</v>
      </c>
      <c r="H431">
        <v>1406.03</v>
      </c>
      <c r="I431">
        <v>-210.9</v>
      </c>
      <c r="J431">
        <v>1007.89</v>
      </c>
      <c r="K431">
        <f t="shared" si="48"/>
        <v>1406.03</v>
      </c>
      <c r="L431">
        <f t="shared" si="49"/>
        <v>1616.93</v>
      </c>
      <c r="M431">
        <f t="shared" si="50"/>
        <v>-210.9</v>
      </c>
      <c r="N431" t="str">
        <f t="shared" si="51"/>
        <v>Supermart Marketplace</v>
      </c>
      <c r="O431" t="str">
        <f t="shared" si="52"/>
        <v>Groceries</v>
      </c>
      <c r="P431" t="str">
        <f t="shared" si="53"/>
        <v>Withdrawal</v>
      </c>
      <c r="Q431">
        <f t="shared" si="54"/>
        <v>1034.51</v>
      </c>
      <c r="R431">
        <f t="shared" si="55"/>
        <v>26.620000000000005</v>
      </c>
    </row>
    <row r="432" spans="1:18" x14ac:dyDescent="0.3">
      <c r="A432" t="s">
        <v>440</v>
      </c>
      <c r="B432" t="s">
        <v>887</v>
      </c>
      <c r="C432" s="4" t="s">
        <v>1134</v>
      </c>
      <c r="D432" t="s">
        <v>1291</v>
      </c>
      <c r="E432" t="s">
        <v>1294</v>
      </c>
      <c r="F432" t="s">
        <v>1315</v>
      </c>
      <c r="G432" s="9">
        <v>498.13</v>
      </c>
      <c r="H432">
        <v>641.22</v>
      </c>
      <c r="I432">
        <v>-96.18</v>
      </c>
      <c r="J432">
        <v>562.47</v>
      </c>
      <c r="K432">
        <f t="shared" si="48"/>
        <v>641.22</v>
      </c>
      <c r="L432">
        <f t="shared" si="49"/>
        <v>737.40000000000009</v>
      </c>
      <c r="M432">
        <f t="shared" si="50"/>
        <v>-96.18</v>
      </c>
      <c r="N432" t="str">
        <f t="shared" si="51"/>
        <v>Ebay International</v>
      </c>
      <c r="O432" t="str">
        <f t="shared" si="52"/>
        <v>Online Shopping</v>
      </c>
      <c r="P432" t="str">
        <f t="shared" si="53"/>
        <v>Withdrawal</v>
      </c>
      <c r="Q432">
        <f t="shared" si="54"/>
        <v>498.13</v>
      </c>
      <c r="R432">
        <f t="shared" si="55"/>
        <v>-64.340000000000032</v>
      </c>
    </row>
    <row r="433" spans="1:18" x14ac:dyDescent="0.3">
      <c r="A433" t="s">
        <v>441</v>
      </c>
      <c r="B433" t="s">
        <v>912</v>
      </c>
      <c r="C433" s="4" t="s">
        <v>1193</v>
      </c>
      <c r="D433" t="s">
        <v>1292</v>
      </c>
      <c r="E433" t="s">
        <v>1298</v>
      </c>
      <c r="F433" t="s">
        <v>1306</v>
      </c>
      <c r="G433" s="9">
        <v>848.24</v>
      </c>
      <c r="H433">
        <v>1014.08</v>
      </c>
      <c r="I433">
        <v>165.84</v>
      </c>
      <c r="J433">
        <v>920.29</v>
      </c>
      <c r="K433">
        <f t="shared" si="48"/>
        <v>1014.08</v>
      </c>
      <c r="L433">
        <f t="shared" si="49"/>
        <v>848.24</v>
      </c>
      <c r="M433">
        <f t="shared" si="50"/>
        <v>165.84</v>
      </c>
      <c r="N433" t="str">
        <f t="shared" si="51"/>
        <v>Internal P2P Route</v>
      </c>
      <c r="O433" t="str">
        <f t="shared" si="52"/>
        <v>Transfer</v>
      </c>
      <c r="P433" t="str">
        <f t="shared" si="53"/>
        <v>Deposit</v>
      </c>
      <c r="Q433">
        <f t="shared" si="54"/>
        <v>848.24</v>
      </c>
      <c r="R433">
        <f t="shared" si="55"/>
        <v>-72.049999999999955</v>
      </c>
    </row>
    <row r="434" spans="1:18" x14ac:dyDescent="0.3">
      <c r="A434" t="s">
        <v>442</v>
      </c>
      <c r="B434" t="s">
        <v>915</v>
      </c>
      <c r="C434" s="4" t="s">
        <v>1194</v>
      </c>
      <c r="D434" t="s">
        <v>1291</v>
      </c>
      <c r="E434" t="s">
        <v>1297</v>
      </c>
      <c r="F434" t="s">
        <v>1309</v>
      </c>
      <c r="G434" s="9">
        <v>1130.3599999999999</v>
      </c>
      <c r="H434">
        <v>1519.78</v>
      </c>
      <c r="I434">
        <v>-227.97</v>
      </c>
      <c r="J434">
        <v>1287.21</v>
      </c>
      <c r="K434">
        <f t="shared" si="48"/>
        <v>1519.78</v>
      </c>
      <c r="L434">
        <f t="shared" si="49"/>
        <v>1747.75</v>
      </c>
      <c r="M434">
        <f t="shared" si="50"/>
        <v>-227.97</v>
      </c>
      <c r="N434" t="str">
        <f t="shared" si="51"/>
        <v>Olive Garden Gourmet</v>
      </c>
      <c r="O434" t="str">
        <f t="shared" si="52"/>
        <v>Dining Out</v>
      </c>
      <c r="P434" t="str">
        <f t="shared" si="53"/>
        <v>Withdrawal</v>
      </c>
      <c r="Q434">
        <f t="shared" si="54"/>
        <v>1130.3599999999999</v>
      </c>
      <c r="R434">
        <f t="shared" si="55"/>
        <v>-156.85000000000014</v>
      </c>
    </row>
    <row r="435" spans="1:18" x14ac:dyDescent="0.3">
      <c r="A435" t="s">
        <v>443</v>
      </c>
      <c r="B435" t="s">
        <v>795</v>
      </c>
      <c r="C435" s="4" t="s">
        <v>1136</v>
      </c>
      <c r="D435" t="s">
        <v>1292</v>
      </c>
      <c r="E435" t="s">
        <v>1297</v>
      </c>
      <c r="F435" t="s">
        <v>1305</v>
      </c>
      <c r="G435" s="9">
        <v>944.98</v>
      </c>
      <c r="H435">
        <v>1110.6400000000001</v>
      </c>
      <c r="I435">
        <v>165.66</v>
      </c>
      <c r="J435">
        <v>886.57</v>
      </c>
      <c r="K435">
        <f t="shared" si="48"/>
        <v>1110.6400000000001</v>
      </c>
      <c r="L435">
        <f t="shared" si="49"/>
        <v>944.98000000000013</v>
      </c>
      <c r="M435">
        <f t="shared" si="50"/>
        <v>165.66</v>
      </c>
      <c r="N435" t="str">
        <f t="shared" si="51"/>
        <v>Mcdonalds Corp Express</v>
      </c>
      <c r="O435" t="str">
        <f t="shared" si="52"/>
        <v>Dining Out</v>
      </c>
      <c r="P435" t="str">
        <f t="shared" si="53"/>
        <v>Deposit</v>
      </c>
      <c r="Q435">
        <f t="shared" si="54"/>
        <v>944.98</v>
      </c>
      <c r="R435">
        <f t="shared" si="55"/>
        <v>58.409999999999968</v>
      </c>
    </row>
    <row r="436" spans="1:18" x14ac:dyDescent="0.3">
      <c r="A436" t="s">
        <v>444</v>
      </c>
      <c r="B436" t="s">
        <v>808</v>
      </c>
      <c r="C436" s="4" t="s">
        <v>1195</v>
      </c>
      <c r="D436" t="s">
        <v>1291</v>
      </c>
      <c r="E436" t="s">
        <v>1294</v>
      </c>
      <c r="F436" t="s">
        <v>1315</v>
      </c>
      <c r="G436" s="9">
        <v>1072.9100000000001</v>
      </c>
      <c r="H436">
        <v>1426.12</v>
      </c>
      <c r="I436">
        <v>-213.92</v>
      </c>
      <c r="J436">
        <v>1149.5899999999999</v>
      </c>
      <c r="K436">
        <f t="shared" si="48"/>
        <v>1426.12</v>
      </c>
      <c r="L436">
        <f t="shared" si="49"/>
        <v>1640.04</v>
      </c>
      <c r="M436">
        <f t="shared" si="50"/>
        <v>-213.92</v>
      </c>
      <c r="N436" t="str">
        <f t="shared" si="51"/>
        <v>Ebay International</v>
      </c>
      <c r="O436" t="str">
        <f t="shared" si="52"/>
        <v>Online Shopping</v>
      </c>
      <c r="P436" t="str">
        <f t="shared" si="53"/>
        <v>Withdrawal</v>
      </c>
      <c r="Q436">
        <f t="shared" si="54"/>
        <v>1072.9100000000001</v>
      </c>
      <c r="R436">
        <f t="shared" si="55"/>
        <v>-76.679999999999836</v>
      </c>
    </row>
    <row r="437" spans="1:18" x14ac:dyDescent="0.3">
      <c r="A437" t="s">
        <v>445</v>
      </c>
      <c r="B437" t="s">
        <v>815</v>
      </c>
      <c r="C437" s="4" t="s">
        <v>1196</v>
      </c>
      <c r="D437" t="s">
        <v>1292</v>
      </c>
      <c r="E437" t="s">
        <v>1296</v>
      </c>
      <c r="F437" t="s">
        <v>1307</v>
      </c>
      <c r="G437" s="9">
        <v>8966.81</v>
      </c>
      <c r="H437">
        <v>12523.95</v>
      </c>
      <c r="I437">
        <v>3557.14</v>
      </c>
      <c r="J437">
        <v>10715.86</v>
      </c>
      <c r="K437">
        <f t="shared" si="48"/>
        <v>12523.95</v>
      </c>
      <c r="L437">
        <f t="shared" si="49"/>
        <v>8966.8100000000013</v>
      </c>
      <c r="M437">
        <f t="shared" si="50"/>
        <v>3557.14</v>
      </c>
      <c r="N437" t="str">
        <f t="shared" si="51"/>
        <v>Techcorp Payroll Inc</v>
      </c>
      <c r="O437" t="str">
        <f t="shared" si="52"/>
        <v>Salary</v>
      </c>
      <c r="P437" t="str">
        <f t="shared" si="53"/>
        <v>Deposit</v>
      </c>
      <c r="Q437">
        <f t="shared" si="54"/>
        <v>8966.81</v>
      </c>
      <c r="R437">
        <f t="shared" si="55"/>
        <v>-1749.0500000000011</v>
      </c>
    </row>
    <row r="438" spans="1:18" x14ac:dyDescent="0.3">
      <c r="A438" t="s">
        <v>446</v>
      </c>
      <c r="B438" t="s">
        <v>814</v>
      </c>
      <c r="C438" s="4" t="s">
        <v>1197</v>
      </c>
      <c r="D438" t="s">
        <v>1292</v>
      </c>
      <c r="E438" t="s">
        <v>1299</v>
      </c>
      <c r="F438" t="s">
        <v>1316</v>
      </c>
      <c r="G438" s="9">
        <v>612.19000000000005</v>
      </c>
      <c r="H438">
        <v>748.58</v>
      </c>
      <c r="I438">
        <v>136.38999999999999</v>
      </c>
      <c r="J438">
        <v>693.56</v>
      </c>
      <c r="K438">
        <f t="shared" si="48"/>
        <v>748.58</v>
      </c>
      <c r="L438">
        <f t="shared" si="49"/>
        <v>612.19000000000005</v>
      </c>
      <c r="M438">
        <f t="shared" si="50"/>
        <v>136.38999999999999</v>
      </c>
      <c r="N438" t="str">
        <f t="shared" si="51"/>
        <v>Amc Cinema Network</v>
      </c>
      <c r="O438" t="str">
        <f t="shared" si="52"/>
        <v>Entertainment</v>
      </c>
      <c r="P438" t="str">
        <f t="shared" si="53"/>
        <v>Deposit</v>
      </c>
      <c r="Q438">
        <f t="shared" si="54"/>
        <v>612.19000000000005</v>
      </c>
      <c r="R438">
        <f t="shared" si="55"/>
        <v>-81.369999999999891</v>
      </c>
    </row>
    <row r="439" spans="1:18" x14ac:dyDescent="0.3">
      <c r="A439" t="s">
        <v>447</v>
      </c>
      <c r="B439" t="s">
        <v>826</v>
      </c>
      <c r="C439" s="4" t="s">
        <v>938</v>
      </c>
      <c r="D439" t="s">
        <v>1292</v>
      </c>
      <c r="E439" t="s">
        <v>1293</v>
      </c>
      <c r="F439" t="s">
        <v>1318</v>
      </c>
      <c r="G439" s="9">
        <v>126.64</v>
      </c>
      <c r="H439">
        <v>165.29</v>
      </c>
      <c r="I439">
        <v>38.65</v>
      </c>
      <c r="J439">
        <v>142.13999999999999</v>
      </c>
      <c r="K439">
        <f t="shared" si="48"/>
        <v>165.29</v>
      </c>
      <c r="L439">
        <f t="shared" si="49"/>
        <v>126.63999999999999</v>
      </c>
      <c r="M439">
        <f t="shared" si="50"/>
        <v>38.65</v>
      </c>
      <c r="N439" t="str">
        <f t="shared" si="51"/>
        <v>Metropolitan Water Sewer</v>
      </c>
      <c r="O439" t="str">
        <f t="shared" si="52"/>
        <v>Utilities</v>
      </c>
      <c r="P439" t="str">
        <f t="shared" si="53"/>
        <v>Deposit</v>
      </c>
      <c r="Q439">
        <f t="shared" si="54"/>
        <v>126.64</v>
      </c>
      <c r="R439">
        <f t="shared" si="55"/>
        <v>-15.499999999999986</v>
      </c>
    </row>
    <row r="440" spans="1:18" x14ac:dyDescent="0.3">
      <c r="A440" t="s">
        <v>448</v>
      </c>
      <c r="B440" t="s">
        <v>874</v>
      </c>
      <c r="C440" s="4" t="s">
        <v>1198</v>
      </c>
      <c r="D440" t="s">
        <v>1292</v>
      </c>
      <c r="E440" t="s">
        <v>1294</v>
      </c>
      <c r="F440" t="s">
        <v>1315</v>
      </c>
      <c r="G440" s="9">
        <v>775.92</v>
      </c>
      <c r="H440">
        <v>977.71</v>
      </c>
      <c r="I440">
        <v>201.79</v>
      </c>
      <c r="J440">
        <v>908.03</v>
      </c>
      <c r="K440">
        <f t="shared" si="48"/>
        <v>977.71</v>
      </c>
      <c r="L440">
        <f t="shared" si="49"/>
        <v>775.92000000000007</v>
      </c>
      <c r="M440">
        <f t="shared" si="50"/>
        <v>201.79</v>
      </c>
      <c r="N440" t="str">
        <f t="shared" si="51"/>
        <v>Ebay International</v>
      </c>
      <c r="O440" t="str">
        <f t="shared" si="52"/>
        <v>Online Shopping</v>
      </c>
      <c r="P440" t="str">
        <f t="shared" si="53"/>
        <v>Deposit</v>
      </c>
      <c r="Q440">
        <f t="shared" si="54"/>
        <v>775.92</v>
      </c>
      <c r="R440">
        <f t="shared" si="55"/>
        <v>-132.11000000000001</v>
      </c>
    </row>
    <row r="441" spans="1:18" x14ac:dyDescent="0.3">
      <c r="A441" t="s">
        <v>449</v>
      </c>
      <c r="B441" t="s">
        <v>923</v>
      </c>
      <c r="C441" s="4" t="s">
        <v>1199</v>
      </c>
      <c r="D441" t="s">
        <v>1291</v>
      </c>
      <c r="E441" t="s">
        <v>1293</v>
      </c>
      <c r="F441" t="s">
        <v>1318</v>
      </c>
      <c r="G441" s="9">
        <v>160.27000000000001</v>
      </c>
      <c r="H441">
        <v>203.76</v>
      </c>
      <c r="I441">
        <v>-30.56</v>
      </c>
      <c r="J441">
        <v>153.87</v>
      </c>
      <c r="K441">
        <f t="shared" si="48"/>
        <v>203.76</v>
      </c>
      <c r="L441">
        <f t="shared" si="49"/>
        <v>234.32</v>
      </c>
      <c r="M441">
        <f t="shared" si="50"/>
        <v>-30.56</v>
      </c>
      <c r="N441" t="str">
        <f t="shared" si="51"/>
        <v>Metropolitan Water Sewer</v>
      </c>
      <c r="O441" t="str">
        <f t="shared" si="52"/>
        <v>Utilities</v>
      </c>
      <c r="P441" t="str">
        <f t="shared" si="53"/>
        <v>Withdrawal</v>
      </c>
      <c r="Q441">
        <f t="shared" si="54"/>
        <v>160.27000000000001</v>
      </c>
      <c r="R441">
        <f t="shared" si="55"/>
        <v>6.4000000000000057</v>
      </c>
    </row>
    <row r="442" spans="1:18" x14ac:dyDescent="0.3">
      <c r="A442" t="s">
        <v>450</v>
      </c>
      <c r="B442" t="s">
        <v>843</v>
      </c>
      <c r="C442" s="4" t="s">
        <v>982</v>
      </c>
      <c r="D442" t="s">
        <v>1291</v>
      </c>
      <c r="E442" t="s">
        <v>1294</v>
      </c>
      <c r="F442" t="s">
        <v>1314</v>
      </c>
      <c r="G442" s="9">
        <v>847.82</v>
      </c>
      <c r="H442">
        <v>1126.07</v>
      </c>
      <c r="I442">
        <v>-168.91</v>
      </c>
      <c r="J442">
        <v>990.34</v>
      </c>
      <c r="K442">
        <f t="shared" si="48"/>
        <v>1126.07</v>
      </c>
      <c r="L442">
        <f t="shared" si="49"/>
        <v>1294.98</v>
      </c>
      <c r="M442">
        <f t="shared" si="50"/>
        <v>-168.91</v>
      </c>
      <c r="N442" t="str">
        <f t="shared" si="51"/>
        <v>Target Direct Online</v>
      </c>
      <c r="O442" t="str">
        <f t="shared" si="52"/>
        <v>Online Shopping</v>
      </c>
      <c r="P442" t="str">
        <f t="shared" si="53"/>
        <v>Withdrawal</v>
      </c>
      <c r="Q442">
        <f t="shared" si="54"/>
        <v>847.82</v>
      </c>
      <c r="R442">
        <f t="shared" si="55"/>
        <v>-142.51999999999998</v>
      </c>
    </row>
    <row r="443" spans="1:18" x14ac:dyDescent="0.3">
      <c r="A443" t="s">
        <v>451</v>
      </c>
      <c r="B443" t="s">
        <v>816</v>
      </c>
      <c r="C443" s="4" t="s">
        <v>1200</v>
      </c>
      <c r="D443" t="s">
        <v>1292</v>
      </c>
      <c r="E443" t="s">
        <v>1297</v>
      </c>
      <c r="F443" t="s">
        <v>1319</v>
      </c>
      <c r="G443" s="9">
        <v>922.69</v>
      </c>
      <c r="H443">
        <v>1209.8900000000001</v>
      </c>
      <c r="I443">
        <v>287.2</v>
      </c>
      <c r="J443">
        <v>1061.79</v>
      </c>
      <c r="K443">
        <f t="shared" si="48"/>
        <v>1209.8900000000001</v>
      </c>
      <c r="L443">
        <f t="shared" si="49"/>
        <v>922.69</v>
      </c>
      <c r="M443">
        <f t="shared" si="50"/>
        <v>287.2</v>
      </c>
      <c r="N443" t="str">
        <f t="shared" si="51"/>
        <v>Starbucks Hub Cafe</v>
      </c>
      <c r="O443" t="str">
        <f t="shared" si="52"/>
        <v>Dining Out</v>
      </c>
      <c r="P443" t="str">
        <f t="shared" si="53"/>
        <v>Deposit</v>
      </c>
      <c r="Q443">
        <f t="shared" si="54"/>
        <v>922.69</v>
      </c>
      <c r="R443">
        <f t="shared" si="55"/>
        <v>-139.09999999999991</v>
      </c>
    </row>
    <row r="444" spans="1:18" x14ac:dyDescent="0.3">
      <c r="A444" t="s">
        <v>452</v>
      </c>
      <c r="B444" t="s">
        <v>847</v>
      </c>
      <c r="C444" s="4" t="s">
        <v>1201</v>
      </c>
      <c r="D444" t="s">
        <v>1292</v>
      </c>
      <c r="E444" t="s">
        <v>1297</v>
      </c>
      <c r="F444" t="s">
        <v>1319</v>
      </c>
      <c r="G444" s="9">
        <v>1058.1099999999999</v>
      </c>
      <c r="H444">
        <v>1243.46</v>
      </c>
      <c r="I444">
        <v>185.35</v>
      </c>
      <c r="J444">
        <v>1082.78</v>
      </c>
      <c r="K444">
        <f t="shared" si="48"/>
        <v>1243.46</v>
      </c>
      <c r="L444">
        <f t="shared" si="49"/>
        <v>1058.1100000000001</v>
      </c>
      <c r="M444">
        <f t="shared" si="50"/>
        <v>185.35</v>
      </c>
      <c r="N444" t="str">
        <f t="shared" si="51"/>
        <v>Starbucks Hub Cafe</v>
      </c>
      <c r="O444" t="str">
        <f t="shared" si="52"/>
        <v>Dining Out</v>
      </c>
      <c r="P444" t="str">
        <f t="shared" si="53"/>
        <v>Deposit</v>
      </c>
      <c r="Q444">
        <f t="shared" si="54"/>
        <v>1058.1099999999999</v>
      </c>
      <c r="R444">
        <f t="shared" si="55"/>
        <v>-24.670000000000073</v>
      </c>
    </row>
    <row r="445" spans="1:18" x14ac:dyDescent="0.3">
      <c r="A445" t="s">
        <v>453</v>
      </c>
      <c r="B445" t="s">
        <v>862</v>
      </c>
      <c r="C445" s="4" t="s">
        <v>1080</v>
      </c>
      <c r="D445" t="s">
        <v>1292</v>
      </c>
      <c r="E445" t="s">
        <v>1293</v>
      </c>
      <c r="F445" t="s">
        <v>1300</v>
      </c>
      <c r="G445" s="9">
        <v>1002.92</v>
      </c>
      <c r="H445">
        <v>1202.2</v>
      </c>
      <c r="J445">
        <v>1190.4100000000001</v>
      </c>
      <c r="K445">
        <f t="shared" si="48"/>
        <v>1202.2</v>
      </c>
      <c r="L445">
        <f t="shared" si="49"/>
        <v>1246.382985074627</v>
      </c>
      <c r="M445">
        <f t="shared" si="50"/>
        <v>-44.182985074626863</v>
      </c>
      <c r="N445" t="str">
        <f t="shared" si="51"/>
        <v>State Hydro Grid</v>
      </c>
      <c r="O445" t="str">
        <f t="shared" si="52"/>
        <v>Utilities</v>
      </c>
      <c r="P445" t="str">
        <f t="shared" si="53"/>
        <v>Deposit</v>
      </c>
      <c r="Q445">
        <f t="shared" si="54"/>
        <v>1002.92</v>
      </c>
      <c r="R445">
        <f t="shared" si="55"/>
        <v>-187.49000000000012</v>
      </c>
    </row>
    <row r="446" spans="1:18" x14ac:dyDescent="0.3">
      <c r="A446" t="s">
        <v>454</v>
      </c>
      <c r="B446" t="s">
        <v>834</v>
      </c>
      <c r="C446" s="4" t="s">
        <v>1202</v>
      </c>
      <c r="D446" t="s">
        <v>1292</v>
      </c>
      <c r="E446" t="s">
        <v>1299</v>
      </c>
      <c r="F446" t="s">
        <v>1312</v>
      </c>
      <c r="G446" s="9">
        <v>909.51</v>
      </c>
      <c r="H446">
        <v>1068.23</v>
      </c>
      <c r="I446">
        <v>158.72</v>
      </c>
      <c r="J446">
        <v>1005.54</v>
      </c>
      <c r="K446">
        <f t="shared" si="48"/>
        <v>1068.23</v>
      </c>
      <c r="L446">
        <f t="shared" si="49"/>
        <v>909.51</v>
      </c>
      <c r="M446">
        <f t="shared" si="50"/>
        <v>158.72</v>
      </c>
      <c r="N446" t="str">
        <f t="shared" si="51"/>
        <v>Netflix Streaming Premium</v>
      </c>
      <c r="O446" t="str">
        <f t="shared" si="52"/>
        <v>Entertainment</v>
      </c>
      <c r="P446" t="str">
        <f t="shared" si="53"/>
        <v>Deposit</v>
      </c>
      <c r="Q446">
        <f t="shared" si="54"/>
        <v>909.51</v>
      </c>
      <c r="R446">
        <f t="shared" si="55"/>
        <v>-96.029999999999973</v>
      </c>
    </row>
    <row r="447" spans="1:18" x14ac:dyDescent="0.3">
      <c r="A447" t="s">
        <v>455</v>
      </c>
      <c r="B447" t="s">
        <v>886</v>
      </c>
      <c r="C447" s="4" t="s">
        <v>1053</v>
      </c>
      <c r="D447" t="s">
        <v>1291</v>
      </c>
      <c r="E447" t="s">
        <v>1298</v>
      </c>
      <c r="F447" t="s">
        <v>1317</v>
      </c>
      <c r="G447" s="9">
        <v>639.46</v>
      </c>
      <c r="H447">
        <v>801</v>
      </c>
      <c r="I447">
        <v>-120.15</v>
      </c>
      <c r="J447">
        <v>696.72</v>
      </c>
      <c r="K447">
        <f t="shared" si="48"/>
        <v>801</v>
      </c>
      <c r="L447">
        <f t="shared" si="49"/>
        <v>921.15</v>
      </c>
      <c r="M447">
        <f t="shared" si="50"/>
        <v>-120.15</v>
      </c>
      <c r="N447" t="str">
        <f t="shared" si="51"/>
        <v>External Wire Clearance</v>
      </c>
      <c r="O447" t="str">
        <f t="shared" si="52"/>
        <v>Transfer</v>
      </c>
      <c r="P447" t="str">
        <f t="shared" si="53"/>
        <v>Withdrawal</v>
      </c>
      <c r="Q447">
        <f t="shared" si="54"/>
        <v>639.46</v>
      </c>
      <c r="R447">
        <f t="shared" si="55"/>
        <v>-57.259999999999991</v>
      </c>
    </row>
    <row r="448" spans="1:18" x14ac:dyDescent="0.3">
      <c r="A448" t="s">
        <v>456</v>
      </c>
      <c r="B448" t="s">
        <v>892</v>
      </c>
      <c r="C448" s="4" t="s">
        <v>1203</v>
      </c>
      <c r="D448" t="s">
        <v>1291</v>
      </c>
      <c r="E448" t="s">
        <v>1294</v>
      </c>
      <c r="F448" t="s">
        <v>1314</v>
      </c>
      <c r="G448" s="9">
        <v>412.41</v>
      </c>
      <c r="H448">
        <v>577.21</v>
      </c>
      <c r="I448">
        <v>-86.58</v>
      </c>
      <c r="J448">
        <v>373.18</v>
      </c>
      <c r="K448">
        <f t="shared" si="48"/>
        <v>577.21</v>
      </c>
      <c r="L448">
        <f t="shared" si="49"/>
        <v>663.79000000000008</v>
      </c>
      <c r="M448">
        <f t="shared" si="50"/>
        <v>-86.58</v>
      </c>
      <c r="N448" t="str">
        <f t="shared" si="51"/>
        <v>Target Direct Online</v>
      </c>
      <c r="O448" t="str">
        <f t="shared" si="52"/>
        <v>Online Shopping</v>
      </c>
      <c r="P448" t="str">
        <f t="shared" si="53"/>
        <v>Withdrawal</v>
      </c>
      <c r="Q448">
        <f t="shared" si="54"/>
        <v>412.41</v>
      </c>
      <c r="R448">
        <f t="shared" si="55"/>
        <v>39.230000000000018</v>
      </c>
    </row>
    <row r="449" spans="1:18" x14ac:dyDescent="0.3">
      <c r="A449" t="s">
        <v>457</v>
      </c>
      <c r="B449" t="s">
        <v>809</v>
      </c>
      <c r="C449" s="4" t="s">
        <v>1000</v>
      </c>
      <c r="D449" t="s">
        <v>1291</v>
      </c>
      <c r="E449" t="s">
        <v>1298</v>
      </c>
      <c r="F449" t="s">
        <v>1310</v>
      </c>
      <c r="G449" s="9">
        <v>425.12</v>
      </c>
      <c r="H449">
        <v>489.97</v>
      </c>
      <c r="I449">
        <v>-73.5</v>
      </c>
      <c r="J449">
        <v>402.71</v>
      </c>
      <c r="K449">
        <f t="shared" si="48"/>
        <v>489.97</v>
      </c>
      <c r="L449">
        <f t="shared" si="49"/>
        <v>563.47</v>
      </c>
      <c r="M449">
        <f t="shared" si="50"/>
        <v>-73.5</v>
      </c>
      <c r="N449" t="str">
        <f t="shared" si="51"/>
        <v>Zelle Payment Engine</v>
      </c>
      <c r="O449" t="str">
        <f t="shared" si="52"/>
        <v>Transfer</v>
      </c>
      <c r="P449" t="str">
        <f t="shared" si="53"/>
        <v>Withdrawal</v>
      </c>
      <c r="Q449">
        <f t="shared" si="54"/>
        <v>425.12</v>
      </c>
      <c r="R449">
        <f t="shared" si="55"/>
        <v>22.410000000000025</v>
      </c>
    </row>
    <row r="450" spans="1:18" x14ac:dyDescent="0.3">
      <c r="A450" t="s">
        <v>458</v>
      </c>
      <c r="B450" t="s">
        <v>874</v>
      </c>
      <c r="C450" s="4" t="s">
        <v>1204</v>
      </c>
      <c r="D450" t="s">
        <v>1292</v>
      </c>
      <c r="E450" t="s">
        <v>1296</v>
      </c>
      <c r="F450" t="s">
        <v>1303</v>
      </c>
      <c r="G450" s="9">
        <v>7104.92</v>
      </c>
      <c r="H450">
        <v>9019.99</v>
      </c>
      <c r="I450">
        <v>1915.07</v>
      </c>
      <c r="J450">
        <v>7681.08</v>
      </c>
      <c r="K450">
        <f t="shared" si="48"/>
        <v>9019.99</v>
      </c>
      <c r="L450">
        <f t="shared" si="49"/>
        <v>7104.92</v>
      </c>
      <c r="M450">
        <f t="shared" si="50"/>
        <v>1915.07</v>
      </c>
      <c r="N450" t="str">
        <f t="shared" si="51"/>
        <v>Global Industries Llc</v>
      </c>
      <c r="O450" t="str">
        <f t="shared" si="52"/>
        <v>Salary</v>
      </c>
      <c r="P450" t="str">
        <f t="shared" si="53"/>
        <v>Deposit</v>
      </c>
      <c r="Q450">
        <f t="shared" si="54"/>
        <v>7104.92</v>
      </c>
      <c r="R450">
        <f t="shared" si="55"/>
        <v>-576.15999999999985</v>
      </c>
    </row>
    <row r="451" spans="1:18" x14ac:dyDescent="0.3">
      <c r="A451" t="s">
        <v>459</v>
      </c>
      <c r="B451" t="s">
        <v>826</v>
      </c>
      <c r="C451" s="4" t="s">
        <v>983</v>
      </c>
      <c r="D451" t="s">
        <v>1291</v>
      </c>
      <c r="E451" t="s">
        <v>1296</v>
      </c>
      <c r="F451" t="s">
        <v>1303</v>
      </c>
      <c r="G451" s="9">
        <v>6441.9</v>
      </c>
      <c r="H451">
        <v>8383.2900000000009</v>
      </c>
      <c r="I451">
        <v>-1257.49</v>
      </c>
      <c r="J451">
        <v>6303.76</v>
      </c>
      <c r="K451">
        <f t="shared" ref="K451:K514" si="56">IF(H451,H451,AVERAGE($H$2:$H$35))</f>
        <v>8383.2900000000009</v>
      </c>
      <c r="L451">
        <f t="shared" ref="L451:L514" si="57">K451-M451</f>
        <v>9640.7800000000007</v>
      </c>
      <c r="M451">
        <f t="shared" ref="M451:M514" si="58">IF(I451,I451,AVERAGE($I$2:$I$68))</f>
        <v>-1257.49</v>
      </c>
      <c r="N451" t="str">
        <f t="shared" ref="N451:N514" si="59">PROPER(F451)</f>
        <v>Global Industries Llc</v>
      </c>
      <c r="O451" t="str">
        <f t="shared" ref="O451:O514" si="60">PROPER(E451)</f>
        <v>Salary</v>
      </c>
      <c r="P451" t="str">
        <f t="shared" ref="P451:P514" si="61">PROPER(D451)</f>
        <v>Withdrawal</v>
      </c>
      <c r="Q451">
        <f t="shared" ref="Q451:Q514" si="62">IF(G451,G451,AVERAGE($G$2:$G$31))</f>
        <v>6441.9</v>
      </c>
      <c r="R451">
        <f t="shared" ref="R451:R514" si="63">Q451-J451</f>
        <v>138.13999999999942</v>
      </c>
    </row>
    <row r="452" spans="1:18" x14ac:dyDescent="0.3">
      <c r="A452" t="s">
        <v>460</v>
      </c>
      <c r="B452" t="s">
        <v>915</v>
      </c>
      <c r="C452" s="4" t="s">
        <v>1004</v>
      </c>
      <c r="D452" t="s">
        <v>1291</v>
      </c>
      <c r="E452" t="s">
        <v>1297</v>
      </c>
      <c r="F452" t="s">
        <v>1319</v>
      </c>
      <c r="G452" s="9">
        <v>298.26</v>
      </c>
      <c r="H452">
        <v>366.6</v>
      </c>
      <c r="I452">
        <v>-54.99</v>
      </c>
      <c r="J452">
        <v>283.73</v>
      </c>
      <c r="K452">
        <f t="shared" si="56"/>
        <v>366.6</v>
      </c>
      <c r="L452">
        <f t="shared" si="57"/>
        <v>421.59000000000003</v>
      </c>
      <c r="M452">
        <f t="shared" si="58"/>
        <v>-54.99</v>
      </c>
      <c r="N452" t="str">
        <f t="shared" si="59"/>
        <v>Starbucks Hub Cafe</v>
      </c>
      <c r="O452" t="str">
        <f t="shared" si="60"/>
        <v>Dining Out</v>
      </c>
      <c r="P452" t="str">
        <f t="shared" si="61"/>
        <v>Withdrawal</v>
      </c>
      <c r="Q452">
        <f t="shared" si="62"/>
        <v>298.26</v>
      </c>
      <c r="R452">
        <f t="shared" si="63"/>
        <v>14.529999999999973</v>
      </c>
    </row>
    <row r="453" spans="1:18" x14ac:dyDescent="0.3">
      <c r="A453" t="s">
        <v>461</v>
      </c>
      <c r="B453" t="s">
        <v>876</v>
      </c>
      <c r="C453" s="4" t="s">
        <v>1143</v>
      </c>
      <c r="D453" t="s">
        <v>1292</v>
      </c>
      <c r="E453" t="s">
        <v>1294</v>
      </c>
      <c r="F453" t="s">
        <v>1314</v>
      </c>
      <c r="G453" s="9">
        <v>827.26</v>
      </c>
      <c r="H453">
        <v>1112.1500000000001</v>
      </c>
      <c r="I453">
        <v>284.89</v>
      </c>
      <c r="J453">
        <v>885.37</v>
      </c>
      <c r="K453">
        <f t="shared" si="56"/>
        <v>1112.1500000000001</v>
      </c>
      <c r="L453">
        <f t="shared" si="57"/>
        <v>827.2600000000001</v>
      </c>
      <c r="M453">
        <f t="shared" si="58"/>
        <v>284.89</v>
      </c>
      <c r="N453" t="str">
        <f t="shared" si="59"/>
        <v>Target Direct Online</v>
      </c>
      <c r="O453" t="str">
        <f t="shared" si="60"/>
        <v>Online Shopping</v>
      </c>
      <c r="P453" t="str">
        <f t="shared" si="61"/>
        <v>Deposit</v>
      </c>
      <c r="Q453">
        <f t="shared" si="62"/>
        <v>827.26</v>
      </c>
      <c r="R453">
        <f t="shared" si="63"/>
        <v>-58.110000000000014</v>
      </c>
    </row>
    <row r="454" spans="1:18" x14ac:dyDescent="0.3">
      <c r="A454" t="s">
        <v>462</v>
      </c>
      <c r="B454" t="s">
        <v>859</v>
      </c>
      <c r="C454" s="4" t="s">
        <v>1140</v>
      </c>
      <c r="D454" t="s">
        <v>1292</v>
      </c>
      <c r="E454" t="s">
        <v>1299</v>
      </c>
      <c r="F454" t="s">
        <v>1311</v>
      </c>
      <c r="G454" s="9">
        <v>45.72</v>
      </c>
      <c r="H454">
        <v>60</v>
      </c>
      <c r="I454">
        <v>14.28</v>
      </c>
      <c r="J454">
        <v>54.07</v>
      </c>
      <c r="K454">
        <f t="shared" si="56"/>
        <v>60</v>
      </c>
      <c r="L454">
        <f t="shared" si="57"/>
        <v>45.72</v>
      </c>
      <c r="M454">
        <f t="shared" si="58"/>
        <v>14.28</v>
      </c>
      <c r="N454" t="str">
        <f t="shared" si="59"/>
        <v>Spotify Music Hub</v>
      </c>
      <c r="O454" t="str">
        <f t="shared" si="60"/>
        <v>Entertainment</v>
      </c>
      <c r="P454" t="str">
        <f t="shared" si="61"/>
        <v>Deposit</v>
      </c>
      <c r="Q454">
        <f t="shared" si="62"/>
        <v>45.72</v>
      </c>
      <c r="R454">
        <f t="shared" si="63"/>
        <v>-8.3500000000000014</v>
      </c>
    </row>
    <row r="455" spans="1:18" x14ac:dyDescent="0.3">
      <c r="A455" t="s">
        <v>463</v>
      </c>
      <c r="B455" t="s">
        <v>800</v>
      </c>
      <c r="C455" s="4" t="s">
        <v>1013</v>
      </c>
      <c r="D455" t="s">
        <v>1292</v>
      </c>
      <c r="E455" t="s">
        <v>1297</v>
      </c>
      <c r="F455" t="s">
        <v>1305</v>
      </c>
      <c r="G455" s="9">
        <v>556.26</v>
      </c>
      <c r="H455">
        <v>687.32</v>
      </c>
      <c r="I455">
        <v>131.06</v>
      </c>
      <c r="J455">
        <v>524.21</v>
      </c>
      <c r="K455">
        <f t="shared" si="56"/>
        <v>687.32</v>
      </c>
      <c r="L455">
        <f t="shared" si="57"/>
        <v>556.26</v>
      </c>
      <c r="M455">
        <f t="shared" si="58"/>
        <v>131.06</v>
      </c>
      <c r="N455" t="str">
        <f t="shared" si="59"/>
        <v>Mcdonalds Corp Express</v>
      </c>
      <c r="O455" t="str">
        <f t="shared" si="60"/>
        <v>Dining Out</v>
      </c>
      <c r="P455" t="str">
        <f t="shared" si="61"/>
        <v>Deposit</v>
      </c>
      <c r="Q455">
        <f t="shared" si="62"/>
        <v>556.26</v>
      </c>
      <c r="R455">
        <f t="shared" si="63"/>
        <v>32.049999999999955</v>
      </c>
    </row>
    <row r="456" spans="1:18" x14ac:dyDescent="0.3">
      <c r="A456" t="s">
        <v>464</v>
      </c>
      <c r="B456" t="s">
        <v>917</v>
      </c>
      <c r="C456" s="4" t="s">
        <v>1125</v>
      </c>
      <c r="D456" t="s">
        <v>1291</v>
      </c>
      <c r="E456" t="s">
        <v>1296</v>
      </c>
      <c r="F456" t="s">
        <v>1307</v>
      </c>
      <c r="G456" s="9">
        <v>5682.54</v>
      </c>
      <c r="H456">
        <v>6778.73</v>
      </c>
      <c r="I456">
        <v>-1016.81</v>
      </c>
      <c r="J456">
        <v>5154.87</v>
      </c>
      <c r="K456">
        <f t="shared" si="56"/>
        <v>6778.73</v>
      </c>
      <c r="L456">
        <f t="shared" si="57"/>
        <v>7795.5399999999991</v>
      </c>
      <c r="M456">
        <f t="shared" si="58"/>
        <v>-1016.81</v>
      </c>
      <c r="N456" t="str">
        <f t="shared" si="59"/>
        <v>Techcorp Payroll Inc</v>
      </c>
      <c r="O456" t="str">
        <f t="shared" si="60"/>
        <v>Salary</v>
      </c>
      <c r="P456" t="str">
        <f t="shared" si="61"/>
        <v>Withdrawal</v>
      </c>
      <c r="Q456">
        <f t="shared" si="62"/>
        <v>5682.54</v>
      </c>
      <c r="R456">
        <f t="shared" si="63"/>
        <v>527.67000000000007</v>
      </c>
    </row>
    <row r="457" spans="1:18" x14ac:dyDescent="0.3">
      <c r="A457" t="s">
        <v>465</v>
      </c>
      <c r="B457" t="s">
        <v>918</v>
      </c>
      <c r="C457" s="4" t="s">
        <v>951</v>
      </c>
      <c r="D457" t="s">
        <v>1292</v>
      </c>
      <c r="E457" t="s">
        <v>1294</v>
      </c>
      <c r="F457" t="s">
        <v>1301</v>
      </c>
      <c r="G457" s="9">
        <v>50.39</v>
      </c>
      <c r="H457">
        <v>62.46</v>
      </c>
      <c r="I457">
        <v>12.07</v>
      </c>
      <c r="J457">
        <v>47.38</v>
      </c>
      <c r="K457">
        <f t="shared" si="56"/>
        <v>62.46</v>
      </c>
      <c r="L457">
        <f t="shared" si="57"/>
        <v>50.39</v>
      </c>
      <c r="M457">
        <f t="shared" si="58"/>
        <v>12.07</v>
      </c>
      <c r="N457" t="str">
        <f t="shared" si="59"/>
        <v>Amazon Digital Supply</v>
      </c>
      <c r="O457" t="str">
        <f t="shared" si="60"/>
        <v>Online Shopping</v>
      </c>
      <c r="P457" t="str">
        <f t="shared" si="61"/>
        <v>Deposit</v>
      </c>
      <c r="Q457">
        <f t="shared" si="62"/>
        <v>50.39</v>
      </c>
      <c r="R457">
        <f t="shared" si="63"/>
        <v>3.009999999999998</v>
      </c>
    </row>
    <row r="458" spans="1:18" x14ac:dyDescent="0.3">
      <c r="A458" t="s">
        <v>466</v>
      </c>
      <c r="B458" t="s">
        <v>910</v>
      </c>
      <c r="C458" s="4" t="s">
        <v>1205</v>
      </c>
      <c r="D458" t="s">
        <v>1292</v>
      </c>
      <c r="E458" t="s">
        <v>1293</v>
      </c>
      <c r="F458" t="s">
        <v>1320</v>
      </c>
      <c r="G458" s="9">
        <v>976.62</v>
      </c>
      <c r="H458">
        <v>1344.54</v>
      </c>
      <c r="I458">
        <v>367.92</v>
      </c>
      <c r="J458">
        <v>1059.24</v>
      </c>
      <c r="K458">
        <f t="shared" si="56"/>
        <v>1344.54</v>
      </c>
      <c r="L458">
        <f t="shared" si="57"/>
        <v>976.61999999999989</v>
      </c>
      <c r="M458">
        <f t="shared" si="58"/>
        <v>367.92</v>
      </c>
      <c r="N458" t="str">
        <f t="shared" si="59"/>
        <v>City Power &amp; Gas Co</v>
      </c>
      <c r="O458" t="str">
        <f t="shared" si="60"/>
        <v>Utilities</v>
      </c>
      <c r="P458" t="str">
        <f t="shared" si="61"/>
        <v>Deposit</v>
      </c>
      <c r="Q458">
        <f t="shared" si="62"/>
        <v>976.62</v>
      </c>
      <c r="R458">
        <f t="shared" si="63"/>
        <v>-82.62</v>
      </c>
    </row>
    <row r="459" spans="1:18" x14ac:dyDescent="0.3">
      <c r="A459" t="s">
        <v>467</v>
      </c>
      <c r="B459" t="s">
        <v>895</v>
      </c>
      <c r="C459" s="4" t="s">
        <v>1206</v>
      </c>
      <c r="D459" t="s">
        <v>1292</v>
      </c>
      <c r="E459" t="s">
        <v>1296</v>
      </c>
      <c r="F459" t="s">
        <v>1307</v>
      </c>
      <c r="G459" s="9">
        <v>9013.9699999999993</v>
      </c>
      <c r="H459">
        <v>10413.450000000001</v>
      </c>
      <c r="I459">
        <v>1399.48</v>
      </c>
      <c r="J459">
        <v>9877.5499999999993</v>
      </c>
      <c r="K459">
        <f t="shared" si="56"/>
        <v>10413.450000000001</v>
      </c>
      <c r="L459">
        <f t="shared" si="57"/>
        <v>9013.9700000000012</v>
      </c>
      <c r="M459">
        <f t="shared" si="58"/>
        <v>1399.48</v>
      </c>
      <c r="N459" t="str">
        <f t="shared" si="59"/>
        <v>Techcorp Payroll Inc</v>
      </c>
      <c r="O459" t="str">
        <f t="shared" si="60"/>
        <v>Salary</v>
      </c>
      <c r="P459" t="str">
        <f t="shared" si="61"/>
        <v>Deposit</v>
      </c>
      <c r="Q459">
        <f t="shared" si="62"/>
        <v>9013.9699999999993</v>
      </c>
      <c r="R459">
        <f t="shared" si="63"/>
        <v>-863.57999999999993</v>
      </c>
    </row>
    <row r="460" spans="1:18" x14ac:dyDescent="0.3">
      <c r="A460" t="s">
        <v>468</v>
      </c>
      <c r="B460" t="s">
        <v>842</v>
      </c>
      <c r="C460" s="4" t="s">
        <v>1207</v>
      </c>
      <c r="D460" t="s">
        <v>1291</v>
      </c>
      <c r="E460" t="s">
        <v>1298</v>
      </c>
      <c r="F460" t="s">
        <v>1317</v>
      </c>
      <c r="G460" s="9">
        <v>869.67</v>
      </c>
      <c r="H460">
        <v>1129.1400000000001</v>
      </c>
      <c r="I460">
        <v>-169.37</v>
      </c>
      <c r="J460">
        <v>918.76</v>
      </c>
      <c r="K460">
        <f t="shared" si="56"/>
        <v>1129.1400000000001</v>
      </c>
      <c r="L460">
        <f t="shared" si="57"/>
        <v>1298.5100000000002</v>
      </c>
      <c r="M460">
        <f t="shared" si="58"/>
        <v>-169.37</v>
      </c>
      <c r="N460" t="str">
        <f t="shared" si="59"/>
        <v>External Wire Clearance</v>
      </c>
      <c r="O460" t="str">
        <f t="shared" si="60"/>
        <v>Transfer</v>
      </c>
      <c r="P460" t="str">
        <f t="shared" si="61"/>
        <v>Withdrawal</v>
      </c>
      <c r="Q460">
        <f t="shared" si="62"/>
        <v>869.67</v>
      </c>
      <c r="R460">
        <f t="shared" si="63"/>
        <v>-49.090000000000032</v>
      </c>
    </row>
    <row r="461" spans="1:18" x14ac:dyDescent="0.3">
      <c r="A461" t="s">
        <v>469</v>
      </c>
      <c r="B461" t="s">
        <v>874</v>
      </c>
      <c r="C461" s="4" t="s">
        <v>1208</v>
      </c>
      <c r="D461" t="s">
        <v>1292</v>
      </c>
      <c r="E461" t="s">
        <v>1299</v>
      </c>
      <c r="F461" t="s">
        <v>1311</v>
      </c>
      <c r="G461" s="9">
        <v>795.18</v>
      </c>
      <c r="H461">
        <v>982.24</v>
      </c>
      <c r="I461">
        <v>187.06</v>
      </c>
      <c r="J461">
        <v>945.96</v>
      </c>
      <c r="K461">
        <f t="shared" si="56"/>
        <v>982.24</v>
      </c>
      <c r="L461">
        <f t="shared" si="57"/>
        <v>795.18000000000006</v>
      </c>
      <c r="M461">
        <f t="shared" si="58"/>
        <v>187.06</v>
      </c>
      <c r="N461" t="str">
        <f t="shared" si="59"/>
        <v>Spotify Music Hub</v>
      </c>
      <c r="O461" t="str">
        <f t="shared" si="60"/>
        <v>Entertainment</v>
      </c>
      <c r="P461" t="str">
        <f t="shared" si="61"/>
        <v>Deposit</v>
      </c>
      <c r="Q461">
        <f t="shared" si="62"/>
        <v>795.18</v>
      </c>
      <c r="R461">
        <f t="shared" si="63"/>
        <v>-150.78000000000009</v>
      </c>
    </row>
    <row r="462" spans="1:18" x14ac:dyDescent="0.3">
      <c r="A462" t="s">
        <v>470</v>
      </c>
      <c r="B462" t="s">
        <v>826</v>
      </c>
      <c r="C462" s="4" t="s">
        <v>1209</v>
      </c>
      <c r="D462" t="s">
        <v>1291</v>
      </c>
      <c r="E462" t="s">
        <v>1296</v>
      </c>
      <c r="F462" t="s">
        <v>1308</v>
      </c>
      <c r="G462" s="9">
        <v>8416.2000000000007</v>
      </c>
      <c r="H462">
        <v>10819.32</v>
      </c>
      <c r="I462">
        <v>-1622.9</v>
      </c>
      <c r="J462">
        <v>8046.41</v>
      </c>
      <c r="K462">
        <f t="shared" si="56"/>
        <v>10819.32</v>
      </c>
      <c r="L462">
        <f t="shared" si="57"/>
        <v>12442.22</v>
      </c>
      <c r="M462">
        <f t="shared" si="58"/>
        <v>-1622.9</v>
      </c>
      <c r="N462" t="str">
        <f t="shared" si="59"/>
        <v>Stark Retail Labs</v>
      </c>
      <c r="O462" t="str">
        <f t="shared" si="60"/>
        <v>Salary</v>
      </c>
      <c r="P462" t="str">
        <f t="shared" si="61"/>
        <v>Withdrawal</v>
      </c>
      <c r="Q462">
        <f t="shared" si="62"/>
        <v>8416.2000000000007</v>
      </c>
      <c r="R462">
        <f t="shared" si="63"/>
        <v>369.79000000000087</v>
      </c>
    </row>
    <row r="463" spans="1:18" x14ac:dyDescent="0.3">
      <c r="A463" t="s">
        <v>471</v>
      </c>
      <c r="B463" t="s">
        <v>904</v>
      </c>
      <c r="C463" s="4" t="s">
        <v>981</v>
      </c>
      <c r="D463" t="s">
        <v>1291</v>
      </c>
      <c r="E463" t="s">
        <v>1299</v>
      </c>
      <c r="F463" t="s">
        <v>1316</v>
      </c>
      <c r="G463" s="9">
        <v>1143.8699999999999</v>
      </c>
      <c r="H463">
        <v>1557.28</v>
      </c>
      <c r="I463">
        <v>-233.59</v>
      </c>
      <c r="J463">
        <v>1362.67</v>
      </c>
      <c r="K463">
        <f t="shared" si="56"/>
        <v>1557.28</v>
      </c>
      <c r="L463">
        <f t="shared" si="57"/>
        <v>1790.87</v>
      </c>
      <c r="M463">
        <f t="shared" si="58"/>
        <v>-233.59</v>
      </c>
      <c r="N463" t="str">
        <f t="shared" si="59"/>
        <v>Amc Cinema Network</v>
      </c>
      <c r="O463" t="str">
        <f t="shared" si="60"/>
        <v>Entertainment</v>
      </c>
      <c r="P463" t="str">
        <f t="shared" si="61"/>
        <v>Withdrawal</v>
      </c>
      <c r="Q463">
        <f t="shared" si="62"/>
        <v>1143.8699999999999</v>
      </c>
      <c r="R463">
        <f t="shared" si="63"/>
        <v>-218.80000000000018</v>
      </c>
    </row>
    <row r="464" spans="1:18" x14ac:dyDescent="0.3">
      <c r="A464" t="s">
        <v>472</v>
      </c>
      <c r="B464" t="s">
        <v>808</v>
      </c>
      <c r="C464" s="4" t="s">
        <v>935</v>
      </c>
      <c r="D464" t="s">
        <v>1292</v>
      </c>
      <c r="E464" t="s">
        <v>1297</v>
      </c>
      <c r="F464" t="s">
        <v>1305</v>
      </c>
      <c r="G464" s="9">
        <v>954.99</v>
      </c>
      <c r="H464">
        <v>1179.78</v>
      </c>
      <c r="I464">
        <v>224.79</v>
      </c>
      <c r="J464">
        <v>1077.27</v>
      </c>
      <c r="K464">
        <f t="shared" si="56"/>
        <v>1179.78</v>
      </c>
      <c r="L464">
        <f t="shared" si="57"/>
        <v>954.99</v>
      </c>
      <c r="M464">
        <f t="shared" si="58"/>
        <v>224.79</v>
      </c>
      <c r="N464" t="str">
        <f t="shared" si="59"/>
        <v>Mcdonalds Corp Express</v>
      </c>
      <c r="O464" t="str">
        <f t="shared" si="60"/>
        <v>Dining Out</v>
      </c>
      <c r="P464" t="str">
        <f t="shared" si="61"/>
        <v>Deposit</v>
      </c>
      <c r="Q464">
        <f t="shared" si="62"/>
        <v>954.99</v>
      </c>
      <c r="R464">
        <f t="shared" si="63"/>
        <v>-122.27999999999997</v>
      </c>
    </row>
    <row r="465" spans="1:18" x14ac:dyDescent="0.3">
      <c r="A465" t="s">
        <v>473</v>
      </c>
      <c r="B465" t="s">
        <v>904</v>
      </c>
      <c r="C465" s="4" t="s">
        <v>1009</v>
      </c>
      <c r="D465" t="s">
        <v>1292</v>
      </c>
      <c r="E465" t="s">
        <v>1295</v>
      </c>
      <c r="F465" t="s">
        <v>1313</v>
      </c>
      <c r="H465">
        <v>132.15</v>
      </c>
      <c r="I465">
        <v>32.15</v>
      </c>
      <c r="J465">
        <v>95.58</v>
      </c>
      <c r="K465">
        <f t="shared" si="56"/>
        <v>132.15</v>
      </c>
      <c r="L465">
        <f t="shared" si="57"/>
        <v>100</v>
      </c>
      <c r="M465">
        <f t="shared" si="58"/>
        <v>32.15</v>
      </c>
      <c r="N465" t="str">
        <f t="shared" si="59"/>
        <v>Fresh &amp; Fast Logistics</v>
      </c>
      <c r="O465" t="str">
        <f t="shared" si="60"/>
        <v>Groceries</v>
      </c>
      <c r="P465" t="str">
        <f t="shared" si="61"/>
        <v>Deposit</v>
      </c>
      <c r="Q465">
        <f t="shared" si="62"/>
        <v>1219.4163333333336</v>
      </c>
      <c r="R465">
        <f t="shared" si="63"/>
        <v>1123.8363333333336</v>
      </c>
    </row>
    <row r="466" spans="1:18" x14ac:dyDescent="0.3">
      <c r="A466" t="s">
        <v>474</v>
      </c>
      <c r="B466" t="s">
        <v>924</v>
      </c>
      <c r="C466" s="4" t="s">
        <v>1199</v>
      </c>
      <c r="D466" t="s">
        <v>1291</v>
      </c>
      <c r="E466" t="s">
        <v>1294</v>
      </c>
      <c r="F466" t="s">
        <v>1314</v>
      </c>
      <c r="G466" s="9">
        <v>742.95</v>
      </c>
      <c r="H466">
        <v>941.87</v>
      </c>
      <c r="I466">
        <v>-141.28</v>
      </c>
      <c r="J466">
        <v>724.45</v>
      </c>
      <c r="K466">
        <f t="shared" si="56"/>
        <v>941.87</v>
      </c>
      <c r="L466">
        <f t="shared" si="57"/>
        <v>1083.1500000000001</v>
      </c>
      <c r="M466">
        <f t="shared" si="58"/>
        <v>-141.28</v>
      </c>
      <c r="N466" t="str">
        <f t="shared" si="59"/>
        <v>Target Direct Online</v>
      </c>
      <c r="O466" t="str">
        <f t="shared" si="60"/>
        <v>Online Shopping</v>
      </c>
      <c r="P466" t="str">
        <f t="shared" si="61"/>
        <v>Withdrawal</v>
      </c>
      <c r="Q466">
        <f t="shared" si="62"/>
        <v>742.95</v>
      </c>
      <c r="R466">
        <f t="shared" si="63"/>
        <v>18.5</v>
      </c>
    </row>
    <row r="467" spans="1:18" x14ac:dyDescent="0.3">
      <c r="A467" t="s">
        <v>475</v>
      </c>
      <c r="B467" t="s">
        <v>913</v>
      </c>
      <c r="C467" s="4" t="s">
        <v>981</v>
      </c>
      <c r="D467" t="s">
        <v>1292</v>
      </c>
      <c r="E467" t="s">
        <v>1297</v>
      </c>
      <c r="F467" t="s">
        <v>1309</v>
      </c>
      <c r="G467" s="9">
        <v>1064.1600000000001</v>
      </c>
      <c r="H467">
        <v>1459.28</v>
      </c>
      <c r="I467">
        <v>395.12</v>
      </c>
      <c r="J467">
        <v>1073.5</v>
      </c>
      <c r="K467">
        <f t="shared" si="56"/>
        <v>1459.28</v>
      </c>
      <c r="L467">
        <f t="shared" si="57"/>
        <v>1064.1599999999999</v>
      </c>
      <c r="M467">
        <f t="shared" si="58"/>
        <v>395.12</v>
      </c>
      <c r="N467" t="str">
        <f t="shared" si="59"/>
        <v>Olive Garden Gourmet</v>
      </c>
      <c r="O467" t="str">
        <f t="shared" si="60"/>
        <v>Dining Out</v>
      </c>
      <c r="P467" t="str">
        <f t="shared" si="61"/>
        <v>Deposit</v>
      </c>
      <c r="Q467">
        <f t="shared" si="62"/>
        <v>1064.1600000000001</v>
      </c>
      <c r="R467">
        <f t="shared" si="63"/>
        <v>-9.3399999999999181</v>
      </c>
    </row>
    <row r="468" spans="1:18" x14ac:dyDescent="0.3">
      <c r="A468" t="s">
        <v>476</v>
      </c>
      <c r="B468" t="s">
        <v>847</v>
      </c>
      <c r="C468" s="4" t="s">
        <v>1104</v>
      </c>
      <c r="D468" t="s">
        <v>1291</v>
      </c>
      <c r="E468" t="s">
        <v>1295</v>
      </c>
      <c r="F468" t="s">
        <v>1304</v>
      </c>
      <c r="G468" s="9">
        <v>1062.93</v>
      </c>
      <c r="H468">
        <v>1319.45</v>
      </c>
      <c r="I468">
        <v>-197.92</v>
      </c>
      <c r="J468">
        <v>966.3</v>
      </c>
      <c r="K468">
        <f t="shared" si="56"/>
        <v>1319.45</v>
      </c>
      <c r="L468">
        <f t="shared" si="57"/>
        <v>1517.3700000000001</v>
      </c>
      <c r="M468">
        <f t="shared" si="58"/>
        <v>-197.92</v>
      </c>
      <c r="N468" t="str">
        <f t="shared" si="59"/>
        <v>Whole Foods Store</v>
      </c>
      <c r="O468" t="str">
        <f t="shared" si="60"/>
        <v>Groceries</v>
      </c>
      <c r="P468" t="str">
        <f t="shared" si="61"/>
        <v>Withdrawal</v>
      </c>
      <c r="Q468">
        <f t="shared" si="62"/>
        <v>1062.93</v>
      </c>
      <c r="R468">
        <f t="shared" si="63"/>
        <v>96.630000000000109</v>
      </c>
    </row>
    <row r="469" spans="1:18" x14ac:dyDescent="0.3">
      <c r="A469" t="s">
        <v>477</v>
      </c>
      <c r="B469" t="s">
        <v>924</v>
      </c>
      <c r="C469" s="4" t="s">
        <v>1210</v>
      </c>
      <c r="D469" t="s">
        <v>1292</v>
      </c>
      <c r="E469" t="s">
        <v>1299</v>
      </c>
      <c r="F469" t="s">
        <v>1311</v>
      </c>
      <c r="G469" s="9">
        <v>565.32000000000005</v>
      </c>
      <c r="H469">
        <v>679.2</v>
      </c>
      <c r="I469">
        <v>113.88</v>
      </c>
      <c r="J469">
        <v>535.63</v>
      </c>
      <c r="K469">
        <f t="shared" si="56"/>
        <v>679.2</v>
      </c>
      <c r="L469">
        <f t="shared" si="57"/>
        <v>565.32000000000005</v>
      </c>
      <c r="M469">
        <f t="shared" si="58"/>
        <v>113.88</v>
      </c>
      <c r="N469" t="str">
        <f t="shared" si="59"/>
        <v>Spotify Music Hub</v>
      </c>
      <c r="O469" t="str">
        <f t="shared" si="60"/>
        <v>Entertainment</v>
      </c>
      <c r="P469" t="str">
        <f t="shared" si="61"/>
        <v>Deposit</v>
      </c>
      <c r="Q469">
        <f t="shared" si="62"/>
        <v>565.32000000000005</v>
      </c>
      <c r="R469">
        <f t="shared" si="63"/>
        <v>29.690000000000055</v>
      </c>
    </row>
    <row r="470" spans="1:18" x14ac:dyDescent="0.3">
      <c r="A470" t="s">
        <v>478</v>
      </c>
      <c r="B470" t="s">
        <v>902</v>
      </c>
      <c r="C470" s="4" t="s">
        <v>1211</v>
      </c>
      <c r="D470" t="s">
        <v>1292</v>
      </c>
      <c r="E470" t="s">
        <v>1298</v>
      </c>
      <c r="F470" t="s">
        <v>1310</v>
      </c>
      <c r="G470" s="9">
        <v>181.49</v>
      </c>
      <c r="H470">
        <v>250.22</v>
      </c>
      <c r="I470">
        <v>68.73</v>
      </c>
      <c r="J470">
        <v>188.33</v>
      </c>
      <c r="K470">
        <f t="shared" si="56"/>
        <v>250.22</v>
      </c>
      <c r="L470">
        <f t="shared" si="57"/>
        <v>181.49</v>
      </c>
      <c r="M470">
        <f t="shared" si="58"/>
        <v>68.73</v>
      </c>
      <c r="N470" t="str">
        <f t="shared" si="59"/>
        <v>Zelle Payment Engine</v>
      </c>
      <c r="O470" t="str">
        <f t="shared" si="60"/>
        <v>Transfer</v>
      </c>
      <c r="P470" t="str">
        <f t="shared" si="61"/>
        <v>Deposit</v>
      </c>
      <c r="Q470">
        <f t="shared" si="62"/>
        <v>181.49</v>
      </c>
      <c r="R470">
        <f t="shared" si="63"/>
        <v>-6.8400000000000034</v>
      </c>
    </row>
    <row r="471" spans="1:18" x14ac:dyDescent="0.3">
      <c r="A471" t="s">
        <v>479</v>
      </c>
      <c r="B471" t="s">
        <v>912</v>
      </c>
      <c r="C471" s="4" t="s">
        <v>1176</v>
      </c>
      <c r="D471" t="s">
        <v>1291</v>
      </c>
      <c r="E471" t="s">
        <v>1295</v>
      </c>
      <c r="F471" t="s">
        <v>1304</v>
      </c>
      <c r="G471" s="9">
        <v>621.22</v>
      </c>
      <c r="H471">
        <v>863.55</v>
      </c>
      <c r="I471">
        <v>-129.53</v>
      </c>
      <c r="J471">
        <v>564.59</v>
      </c>
      <c r="K471">
        <f t="shared" si="56"/>
        <v>863.55</v>
      </c>
      <c r="L471">
        <f t="shared" si="57"/>
        <v>993.07999999999993</v>
      </c>
      <c r="M471">
        <f t="shared" si="58"/>
        <v>-129.53</v>
      </c>
      <c r="N471" t="str">
        <f t="shared" si="59"/>
        <v>Whole Foods Store</v>
      </c>
      <c r="O471" t="str">
        <f t="shared" si="60"/>
        <v>Groceries</v>
      </c>
      <c r="P471" t="str">
        <f t="shared" si="61"/>
        <v>Withdrawal</v>
      </c>
      <c r="Q471">
        <f t="shared" si="62"/>
        <v>621.22</v>
      </c>
      <c r="R471">
        <f t="shared" si="63"/>
        <v>56.629999999999995</v>
      </c>
    </row>
    <row r="472" spans="1:18" x14ac:dyDescent="0.3">
      <c r="A472" t="s">
        <v>480</v>
      </c>
      <c r="B472" t="s">
        <v>888</v>
      </c>
      <c r="C472" s="4" t="s">
        <v>1016</v>
      </c>
      <c r="D472" t="s">
        <v>1291</v>
      </c>
      <c r="E472" t="s">
        <v>1296</v>
      </c>
      <c r="F472" t="s">
        <v>1303</v>
      </c>
      <c r="G472" s="9">
        <v>4744.78</v>
      </c>
      <c r="H472">
        <v>6627.52</v>
      </c>
      <c r="I472">
        <v>-994.13</v>
      </c>
      <c r="J472">
        <v>4783.12</v>
      </c>
      <c r="K472">
        <f t="shared" si="56"/>
        <v>6627.52</v>
      </c>
      <c r="L472">
        <f t="shared" si="57"/>
        <v>7621.6500000000005</v>
      </c>
      <c r="M472">
        <f t="shared" si="58"/>
        <v>-994.13</v>
      </c>
      <c r="N472" t="str">
        <f t="shared" si="59"/>
        <v>Global Industries Llc</v>
      </c>
      <c r="O472" t="str">
        <f t="shared" si="60"/>
        <v>Salary</v>
      </c>
      <c r="P472" t="str">
        <f t="shared" si="61"/>
        <v>Withdrawal</v>
      </c>
      <c r="Q472">
        <f t="shared" si="62"/>
        <v>4744.78</v>
      </c>
      <c r="R472">
        <f t="shared" si="63"/>
        <v>-38.340000000000146</v>
      </c>
    </row>
    <row r="473" spans="1:18" x14ac:dyDescent="0.3">
      <c r="A473" t="s">
        <v>481</v>
      </c>
      <c r="B473" t="s">
        <v>806</v>
      </c>
      <c r="C473" s="4" t="s">
        <v>1128</v>
      </c>
      <c r="D473" t="s">
        <v>1292</v>
      </c>
      <c r="E473" t="s">
        <v>1293</v>
      </c>
      <c r="F473" t="s">
        <v>1318</v>
      </c>
      <c r="G473" s="9">
        <v>664.72</v>
      </c>
      <c r="H473">
        <v>869.03</v>
      </c>
      <c r="I473">
        <v>204.31</v>
      </c>
      <c r="J473">
        <v>796.97</v>
      </c>
      <c r="K473">
        <f t="shared" si="56"/>
        <v>869.03</v>
      </c>
      <c r="L473">
        <f t="shared" si="57"/>
        <v>664.72</v>
      </c>
      <c r="M473">
        <f t="shared" si="58"/>
        <v>204.31</v>
      </c>
      <c r="N473" t="str">
        <f t="shared" si="59"/>
        <v>Metropolitan Water Sewer</v>
      </c>
      <c r="O473" t="str">
        <f t="shared" si="60"/>
        <v>Utilities</v>
      </c>
      <c r="P473" t="str">
        <f t="shared" si="61"/>
        <v>Deposit</v>
      </c>
      <c r="Q473">
        <f t="shared" si="62"/>
        <v>664.72</v>
      </c>
      <c r="R473">
        <f t="shared" si="63"/>
        <v>-132.25</v>
      </c>
    </row>
    <row r="474" spans="1:18" x14ac:dyDescent="0.3">
      <c r="A474" t="s">
        <v>482</v>
      </c>
      <c r="B474" t="s">
        <v>878</v>
      </c>
      <c r="C474" s="4" t="s">
        <v>1212</v>
      </c>
      <c r="D474" t="s">
        <v>1292</v>
      </c>
      <c r="E474" t="s">
        <v>1295</v>
      </c>
      <c r="F474" t="s">
        <v>1304</v>
      </c>
      <c r="G474" s="9">
        <v>969.1</v>
      </c>
      <c r="H474">
        <v>1228.8599999999999</v>
      </c>
      <c r="I474">
        <v>259.76</v>
      </c>
      <c r="J474">
        <v>1028.9100000000001</v>
      </c>
      <c r="K474">
        <f t="shared" si="56"/>
        <v>1228.8599999999999</v>
      </c>
      <c r="L474">
        <f t="shared" si="57"/>
        <v>969.09999999999991</v>
      </c>
      <c r="M474">
        <f t="shared" si="58"/>
        <v>259.76</v>
      </c>
      <c r="N474" t="str">
        <f t="shared" si="59"/>
        <v>Whole Foods Store</v>
      </c>
      <c r="O474" t="str">
        <f t="shared" si="60"/>
        <v>Groceries</v>
      </c>
      <c r="P474" t="str">
        <f t="shared" si="61"/>
        <v>Deposit</v>
      </c>
      <c r="Q474">
        <f t="shared" si="62"/>
        <v>969.1</v>
      </c>
      <c r="R474">
        <f t="shared" si="63"/>
        <v>-59.810000000000059</v>
      </c>
    </row>
    <row r="475" spans="1:18" x14ac:dyDescent="0.3">
      <c r="A475" t="s">
        <v>483</v>
      </c>
      <c r="B475" t="s">
        <v>844</v>
      </c>
      <c r="C475" s="4" t="s">
        <v>991</v>
      </c>
      <c r="D475" t="s">
        <v>1291</v>
      </c>
      <c r="E475" t="s">
        <v>1294</v>
      </c>
      <c r="F475" t="s">
        <v>1315</v>
      </c>
      <c r="G475" s="9">
        <v>873</v>
      </c>
      <c r="H475">
        <v>1071.27</v>
      </c>
      <c r="I475">
        <v>-160.69</v>
      </c>
      <c r="J475">
        <v>820.67</v>
      </c>
      <c r="K475">
        <f t="shared" si="56"/>
        <v>1071.27</v>
      </c>
      <c r="L475">
        <f t="shared" si="57"/>
        <v>1231.96</v>
      </c>
      <c r="M475">
        <f t="shared" si="58"/>
        <v>-160.69</v>
      </c>
      <c r="N475" t="str">
        <f t="shared" si="59"/>
        <v>Ebay International</v>
      </c>
      <c r="O475" t="str">
        <f t="shared" si="60"/>
        <v>Online Shopping</v>
      </c>
      <c r="P475" t="str">
        <f t="shared" si="61"/>
        <v>Withdrawal</v>
      </c>
      <c r="Q475">
        <f t="shared" si="62"/>
        <v>873</v>
      </c>
      <c r="R475">
        <f t="shared" si="63"/>
        <v>52.330000000000041</v>
      </c>
    </row>
    <row r="476" spans="1:18" x14ac:dyDescent="0.3">
      <c r="A476" t="s">
        <v>484</v>
      </c>
      <c r="B476" t="s">
        <v>833</v>
      </c>
      <c r="C476" s="4" t="s">
        <v>951</v>
      </c>
      <c r="D476" t="s">
        <v>1291</v>
      </c>
      <c r="E476" t="s">
        <v>1297</v>
      </c>
      <c r="F476" t="s">
        <v>1309</v>
      </c>
      <c r="G476" s="9">
        <v>448.35</v>
      </c>
      <c r="H476">
        <v>621.05999999999995</v>
      </c>
      <c r="I476">
        <v>-93.16</v>
      </c>
      <c r="J476">
        <v>533.61</v>
      </c>
      <c r="K476">
        <f t="shared" si="56"/>
        <v>621.05999999999995</v>
      </c>
      <c r="L476">
        <f t="shared" si="57"/>
        <v>714.21999999999991</v>
      </c>
      <c r="M476">
        <f t="shared" si="58"/>
        <v>-93.16</v>
      </c>
      <c r="N476" t="str">
        <f t="shared" si="59"/>
        <v>Olive Garden Gourmet</v>
      </c>
      <c r="O476" t="str">
        <f t="shared" si="60"/>
        <v>Dining Out</v>
      </c>
      <c r="P476" t="str">
        <f t="shared" si="61"/>
        <v>Withdrawal</v>
      </c>
      <c r="Q476">
        <f t="shared" si="62"/>
        <v>448.35</v>
      </c>
      <c r="R476">
        <f t="shared" si="63"/>
        <v>-85.259999999999991</v>
      </c>
    </row>
    <row r="477" spans="1:18" x14ac:dyDescent="0.3">
      <c r="A477" t="s">
        <v>485</v>
      </c>
      <c r="B477" t="s">
        <v>900</v>
      </c>
      <c r="C477" s="4" t="s">
        <v>1213</v>
      </c>
      <c r="D477" t="s">
        <v>1292</v>
      </c>
      <c r="E477" t="s">
        <v>1298</v>
      </c>
      <c r="F477" t="s">
        <v>1317</v>
      </c>
      <c r="G477" s="9">
        <v>247.44</v>
      </c>
      <c r="H477">
        <v>322.75</v>
      </c>
      <c r="I477">
        <v>75.31</v>
      </c>
      <c r="J477">
        <v>249.67</v>
      </c>
      <c r="K477">
        <f t="shared" si="56"/>
        <v>322.75</v>
      </c>
      <c r="L477">
        <f t="shared" si="57"/>
        <v>247.44</v>
      </c>
      <c r="M477">
        <f t="shared" si="58"/>
        <v>75.31</v>
      </c>
      <c r="N477" t="str">
        <f t="shared" si="59"/>
        <v>External Wire Clearance</v>
      </c>
      <c r="O477" t="str">
        <f t="shared" si="60"/>
        <v>Transfer</v>
      </c>
      <c r="P477" t="str">
        <f t="shared" si="61"/>
        <v>Deposit</v>
      </c>
      <c r="Q477">
        <f t="shared" si="62"/>
        <v>247.44</v>
      </c>
      <c r="R477">
        <f t="shared" si="63"/>
        <v>-2.2299999999999898</v>
      </c>
    </row>
    <row r="478" spans="1:18" x14ac:dyDescent="0.3">
      <c r="A478" t="s">
        <v>486</v>
      </c>
      <c r="B478" t="s">
        <v>862</v>
      </c>
      <c r="C478" s="4" t="s">
        <v>1164</v>
      </c>
      <c r="D478" t="s">
        <v>1291</v>
      </c>
      <c r="E478" t="s">
        <v>1299</v>
      </c>
      <c r="F478" t="s">
        <v>1311</v>
      </c>
      <c r="G478" s="9">
        <v>681.14</v>
      </c>
      <c r="H478">
        <v>830.56</v>
      </c>
      <c r="I478">
        <v>-124.58</v>
      </c>
      <c r="J478">
        <v>673.95</v>
      </c>
      <c r="K478">
        <f t="shared" si="56"/>
        <v>830.56</v>
      </c>
      <c r="L478">
        <f t="shared" si="57"/>
        <v>955.14</v>
      </c>
      <c r="M478">
        <f t="shared" si="58"/>
        <v>-124.58</v>
      </c>
      <c r="N478" t="str">
        <f t="shared" si="59"/>
        <v>Spotify Music Hub</v>
      </c>
      <c r="O478" t="str">
        <f t="shared" si="60"/>
        <v>Entertainment</v>
      </c>
      <c r="P478" t="str">
        <f t="shared" si="61"/>
        <v>Withdrawal</v>
      </c>
      <c r="Q478">
        <f t="shared" si="62"/>
        <v>681.14</v>
      </c>
      <c r="R478">
        <f t="shared" si="63"/>
        <v>7.1899999999999409</v>
      </c>
    </row>
    <row r="479" spans="1:18" x14ac:dyDescent="0.3">
      <c r="A479" t="s">
        <v>487</v>
      </c>
      <c r="B479" t="s">
        <v>806</v>
      </c>
      <c r="C479" s="4" t="s">
        <v>987</v>
      </c>
      <c r="D479" t="s">
        <v>1292</v>
      </c>
      <c r="E479" t="s">
        <v>1293</v>
      </c>
      <c r="F479" t="s">
        <v>1318</v>
      </c>
      <c r="G479" s="9">
        <v>984.35</v>
      </c>
      <c r="H479">
        <v>1188.74</v>
      </c>
      <c r="I479">
        <v>204.39</v>
      </c>
      <c r="J479">
        <v>918.46</v>
      </c>
      <c r="K479">
        <f t="shared" si="56"/>
        <v>1188.74</v>
      </c>
      <c r="L479">
        <f t="shared" si="57"/>
        <v>984.35</v>
      </c>
      <c r="M479">
        <f t="shared" si="58"/>
        <v>204.39</v>
      </c>
      <c r="N479" t="str">
        <f t="shared" si="59"/>
        <v>Metropolitan Water Sewer</v>
      </c>
      <c r="O479" t="str">
        <f t="shared" si="60"/>
        <v>Utilities</v>
      </c>
      <c r="P479" t="str">
        <f t="shared" si="61"/>
        <v>Deposit</v>
      </c>
      <c r="Q479">
        <f t="shared" si="62"/>
        <v>984.35</v>
      </c>
      <c r="R479">
        <f t="shared" si="63"/>
        <v>65.889999999999986</v>
      </c>
    </row>
    <row r="480" spans="1:18" x14ac:dyDescent="0.3">
      <c r="A480" t="s">
        <v>488</v>
      </c>
      <c r="B480" t="s">
        <v>802</v>
      </c>
      <c r="C480" s="4" t="s">
        <v>1214</v>
      </c>
      <c r="D480" t="s">
        <v>1292</v>
      </c>
      <c r="E480" t="s">
        <v>1299</v>
      </c>
      <c r="F480" t="s">
        <v>1311</v>
      </c>
      <c r="G480" s="9">
        <v>844.58</v>
      </c>
      <c r="H480">
        <v>1053.6300000000001</v>
      </c>
      <c r="I480">
        <v>209.05</v>
      </c>
      <c r="J480">
        <v>762.76</v>
      </c>
      <c r="K480">
        <f t="shared" si="56"/>
        <v>1053.6300000000001</v>
      </c>
      <c r="L480">
        <f t="shared" si="57"/>
        <v>844.58000000000015</v>
      </c>
      <c r="M480">
        <f t="shared" si="58"/>
        <v>209.05</v>
      </c>
      <c r="N480" t="str">
        <f t="shared" si="59"/>
        <v>Spotify Music Hub</v>
      </c>
      <c r="O480" t="str">
        <f t="shared" si="60"/>
        <v>Entertainment</v>
      </c>
      <c r="P480" t="str">
        <f t="shared" si="61"/>
        <v>Deposit</v>
      </c>
      <c r="Q480">
        <f t="shared" si="62"/>
        <v>844.58</v>
      </c>
      <c r="R480">
        <f t="shared" si="63"/>
        <v>81.82000000000005</v>
      </c>
    </row>
    <row r="481" spans="1:18" x14ac:dyDescent="0.3">
      <c r="A481" t="s">
        <v>489</v>
      </c>
      <c r="B481" t="s">
        <v>925</v>
      </c>
      <c r="C481" s="4" t="s">
        <v>1099</v>
      </c>
      <c r="D481" t="s">
        <v>1292</v>
      </c>
      <c r="E481" t="s">
        <v>1293</v>
      </c>
      <c r="F481" t="s">
        <v>1300</v>
      </c>
      <c r="G481" s="9">
        <v>1064.1500000000001</v>
      </c>
      <c r="H481">
        <v>1388</v>
      </c>
      <c r="I481">
        <v>323.85000000000002</v>
      </c>
      <c r="J481">
        <v>1244.21</v>
      </c>
      <c r="K481">
        <f t="shared" si="56"/>
        <v>1388</v>
      </c>
      <c r="L481">
        <f t="shared" si="57"/>
        <v>1064.1500000000001</v>
      </c>
      <c r="M481">
        <f t="shared" si="58"/>
        <v>323.85000000000002</v>
      </c>
      <c r="N481" t="str">
        <f t="shared" si="59"/>
        <v>State Hydro Grid</v>
      </c>
      <c r="O481" t="str">
        <f t="shared" si="60"/>
        <v>Utilities</v>
      </c>
      <c r="P481" t="str">
        <f t="shared" si="61"/>
        <v>Deposit</v>
      </c>
      <c r="Q481">
        <f t="shared" si="62"/>
        <v>1064.1500000000001</v>
      </c>
      <c r="R481">
        <f t="shared" si="63"/>
        <v>-180.05999999999995</v>
      </c>
    </row>
    <row r="482" spans="1:18" x14ac:dyDescent="0.3">
      <c r="A482" t="s">
        <v>490</v>
      </c>
      <c r="B482" t="s">
        <v>827</v>
      </c>
      <c r="C482" s="4" t="s">
        <v>1208</v>
      </c>
      <c r="D482" t="s">
        <v>1291</v>
      </c>
      <c r="E482" t="s">
        <v>1299</v>
      </c>
      <c r="F482" t="s">
        <v>1312</v>
      </c>
      <c r="G482" s="9">
        <v>290.39</v>
      </c>
      <c r="H482">
        <v>335.24</v>
      </c>
      <c r="I482">
        <v>-50.29</v>
      </c>
      <c r="J482">
        <v>288.64999999999998</v>
      </c>
      <c r="K482">
        <f t="shared" si="56"/>
        <v>335.24</v>
      </c>
      <c r="L482">
        <f t="shared" si="57"/>
        <v>385.53000000000003</v>
      </c>
      <c r="M482">
        <f t="shared" si="58"/>
        <v>-50.29</v>
      </c>
      <c r="N482" t="str">
        <f t="shared" si="59"/>
        <v>Netflix Streaming Premium</v>
      </c>
      <c r="O482" t="str">
        <f t="shared" si="60"/>
        <v>Entertainment</v>
      </c>
      <c r="P482" t="str">
        <f t="shared" si="61"/>
        <v>Withdrawal</v>
      </c>
      <c r="Q482">
        <f t="shared" si="62"/>
        <v>290.39</v>
      </c>
      <c r="R482">
        <f t="shared" si="63"/>
        <v>1.7400000000000091</v>
      </c>
    </row>
    <row r="483" spans="1:18" x14ac:dyDescent="0.3">
      <c r="A483" t="s">
        <v>491</v>
      </c>
      <c r="B483" t="s">
        <v>810</v>
      </c>
      <c r="C483" s="4" t="s">
        <v>1182</v>
      </c>
      <c r="D483" t="s">
        <v>1292</v>
      </c>
      <c r="E483" t="s">
        <v>1296</v>
      </c>
      <c r="F483" t="s">
        <v>1308</v>
      </c>
      <c r="G483" s="9">
        <v>5900.42</v>
      </c>
      <c r="H483">
        <v>6850.23</v>
      </c>
      <c r="I483">
        <v>949.81</v>
      </c>
      <c r="J483">
        <v>6289.18</v>
      </c>
      <c r="K483">
        <f t="shared" si="56"/>
        <v>6850.23</v>
      </c>
      <c r="L483">
        <f t="shared" si="57"/>
        <v>5900.42</v>
      </c>
      <c r="M483">
        <f t="shared" si="58"/>
        <v>949.81</v>
      </c>
      <c r="N483" t="str">
        <f t="shared" si="59"/>
        <v>Stark Retail Labs</v>
      </c>
      <c r="O483" t="str">
        <f t="shared" si="60"/>
        <v>Salary</v>
      </c>
      <c r="P483" t="str">
        <f t="shared" si="61"/>
        <v>Deposit</v>
      </c>
      <c r="Q483">
        <f t="shared" si="62"/>
        <v>5900.42</v>
      </c>
      <c r="R483">
        <f t="shared" si="63"/>
        <v>-388.76000000000022</v>
      </c>
    </row>
    <row r="484" spans="1:18" x14ac:dyDescent="0.3">
      <c r="A484" t="s">
        <v>492</v>
      </c>
      <c r="B484" t="s">
        <v>894</v>
      </c>
      <c r="C484" s="4" t="s">
        <v>1215</v>
      </c>
      <c r="D484" t="s">
        <v>1291</v>
      </c>
      <c r="E484" t="s">
        <v>1294</v>
      </c>
      <c r="F484" t="s">
        <v>1314</v>
      </c>
      <c r="G484" s="9">
        <v>998.68</v>
      </c>
      <c r="H484">
        <v>1197.47</v>
      </c>
      <c r="I484">
        <v>-179.62</v>
      </c>
      <c r="J484">
        <v>1001.07</v>
      </c>
      <c r="K484">
        <f t="shared" si="56"/>
        <v>1197.47</v>
      </c>
      <c r="L484">
        <f t="shared" si="57"/>
        <v>1377.0900000000001</v>
      </c>
      <c r="M484">
        <f t="shared" si="58"/>
        <v>-179.62</v>
      </c>
      <c r="N484" t="str">
        <f t="shared" si="59"/>
        <v>Target Direct Online</v>
      </c>
      <c r="O484" t="str">
        <f t="shared" si="60"/>
        <v>Online Shopping</v>
      </c>
      <c r="P484" t="str">
        <f t="shared" si="61"/>
        <v>Withdrawal</v>
      </c>
      <c r="Q484">
        <f t="shared" si="62"/>
        <v>998.68</v>
      </c>
      <c r="R484">
        <f t="shared" si="63"/>
        <v>-2.3900000000001</v>
      </c>
    </row>
    <row r="485" spans="1:18" x14ac:dyDescent="0.3">
      <c r="A485" t="s">
        <v>493</v>
      </c>
      <c r="B485" t="s">
        <v>835</v>
      </c>
      <c r="C485" s="4" t="s">
        <v>1151</v>
      </c>
      <c r="D485" t="s">
        <v>1292</v>
      </c>
      <c r="E485" t="s">
        <v>1294</v>
      </c>
      <c r="F485" t="s">
        <v>1314</v>
      </c>
      <c r="G485" s="9">
        <v>124.04</v>
      </c>
      <c r="H485">
        <v>161.29</v>
      </c>
      <c r="I485">
        <v>37.25</v>
      </c>
      <c r="J485">
        <v>129.54</v>
      </c>
      <c r="K485">
        <f t="shared" si="56"/>
        <v>161.29</v>
      </c>
      <c r="L485">
        <f t="shared" si="57"/>
        <v>124.03999999999999</v>
      </c>
      <c r="M485">
        <f t="shared" si="58"/>
        <v>37.25</v>
      </c>
      <c r="N485" t="str">
        <f t="shared" si="59"/>
        <v>Target Direct Online</v>
      </c>
      <c r="O485" t="str">
        <f t="shared" si="60"/>
        <v>Online Shopping</v>
      </c>
      <c r="P485" t="str">
        <f t="shared" si="61"/>
        <v>Deposit</v>
      </c>
      <c r="Q485">
        <f t="shared" si="62"/>
        <v>124.04</v>
      </c>
      <c r="R485">
        <f t="shared" si="63"/>
        <v>-5.4999999999999858</v>
      </c>
    </row>
    <row r="486" spans="1:18" x14ac:dyDescent="0.3">
      <c r="A486" t="s">
        <v>494</v>
      </c>
      <c r="B486" t="s">
        <v>786</v>
      </c>
      <c r="C486" s="4" t="s">
        <v>1216</v>
      </c>
      <c r="D486" t="s">
        <v>1292</v>
      </c>
      <c r="E486" t="s">
        <v>1296</v>
      </c>
      <c r="F486" t="s">
        <v>1308</v>
      </c>
      <c r="G486" s="9">
        <v>5720.65</v>
      </c>
      <c r="H486">
        <v>6918.31</v>
      </c>
      <c r="I486">
        <v>1197.6600000000001</v>
      </c>
      <c r="J486">
        <v>5299.4</v>
      </c>
      <c r="K486">
        <f t="shared" si="56"/>
        <v>6918.31</v>
      </c>
      <c r="L486">
        <f t="shared" si="57"/>
        <v>5720.6500000000005</v>
      </c>
      <c r="M486">
        <f t="shared" si="58"/>
        <v>1197.6600000000001</v>
      </c>
      <c r="N486" t="str">
        <f t="shared" si="59"/>
        <v>Stark Retail Labs</v>
      </c>
      <c r="O486" t="str">
        <f t="shared" si="60"/>
        <v>Salary</v>
      </c>
      <c r="P486" t="str">
        <f t="shared" si="61"/>
        <v>Deposit</v>
      </c>
      <c r="Q486">
        <f t="shared" si="62"/>
        <v>5720.65</v>
      </c>
      <c r="R486">
        <f t="shared" si="63"/>
        <v>421.25</v>
      </c>
    </row>
    <row r="487" spans="1:18" x14ac:dyDescent="0.3">
      <c r="A487" t="s">
        <v>495</v>
      </c>
      <c r="B487" t="s">
        <v>916</v>
      </c>
      <c r="C487" s="4" t="s">
        <v>1018</v>
      </c>
      <c r="D487" t="s">
        <v>1292</v>
      </c>
      <c r="E487" t="s">
        <v>1295</v>
      </c>
      <c r="F487" t="s">
        <v>1313</v>
      </c>
      <c r="G487" s="9">
        <v>75.209999999999994</v>
      </c>
      <c r="H487">
        <v>101.15</v>
      </c>
      <c r="I487">
        <v>25.94</v>
      </c>
      <c r="J487">
        <v>75.69</v>
      </c>
      <c r="K487">
        <f t="shared" si="56"/>
        <v>101.15</v>
      </c>
      <c r="L487">
        <f t="shared" si="57"/>
        <v>75.210000000000008</v>
      </c>
      <c r="M487">
        <f t="shared" si="58"/>
        <v>25.94</v>
      </c>
      <c r="N487" t="str">
        <f t="shared" si="59"/>
        <v>Fresh &amp; Fast Logistics</v>
      </c>
      <c r="O487" t="str">
        <f t="shared" si="60"/>
        <v>Groceries</v>
      </c>
      <c r="P487" t="str">
        <f t="shared" si="61"/>
        <v>Deposit</v>
      </c>
      <c r="Q487">
        <f t="shared" si="62"/>
        <v>75.209999999999994</v>
      </c>
      <c r="R487">
        <f t="shared" si="63"/>
        <v>-0.48000000000000398</v>
      </c>
    </row>
    <row r="488" spans="1:18" x14ac:dyDescent="0.3">
      <c r="A488" t="s">
        <v>496</v>
      </c>
      <c r="B488" t="s">
        <v>926</v>
      </c>
      <c r="C488" s="4" t="s">
        <v>1217</v>
      </c>
      <c r="D488" t="s">
        <v>1291</v>
      </c>
      <c r="E488" t="s">
        <v>1296</v>
      </c>
      <c r="F488" t="s">
        <v>1307</v>
      </c>
      <c r="G488" s="9">
        <v>5716.77</v>
      </c>
      <c r="H488">
        <v>6989.73</v>
      </c>
      <c r="I488">
        <v>-1048.46</v>
      </c>
      <c r="J488">
        <v>5512.82</v>
      </c>
      <c r="K488">
        <f t="shared" si="56"/>
        <v>6989.73</v>
      </c>
      <c r="L488">
        <f t="shared" si="57"/>
        <v>8038.19</v>
      </c>
      <c r="M488">
        <f t="shared" si="58"/>
        <v>-1048.46</v>
      </c>
      <c r="N488" t="str">
        <f t="shared" si="59"/>
        <v>Techcorp Payroll Inc</v>
      </c>
      <c r="O488" t="str">
        <f t="shared" si="60"/>
        <v>Salary</v>
      </c>
      <c r="P488" t="str">
        <f t="shared" si="61"/>
        <v>Withdrawal</v>
      </c>
      <c r="Q488">
        <f t="shared" si="62"/>
        <v>5716.77</v>
      </c>
      <c r="R488">
        <f t="shared" si="63"/>
        <v>203.95000000000073</v>
      </c>
    </row>
    <row r="489" spans="1:18" x14ac:dyDescent="0.3">
      <c r="A489" t="s">
        <v>497</v>
      </c>
      <c r="B489" t="s">
        <v>849</v>
      </c>
      <c r="C489" s="4" t="s">
        <v>1218</v>
      </c>
      <c r="D489" t="s">
        <v>1292</v>
      </c>
      <c r="E489" t="s">
        <v>1298</v>
      </c>
      <c r="F489" t="s">
        <v>1310</v>
      </c>
      <c r="G489" s="9">
        <v>597.04</v>
      </c>
      <c r="H489">
        <v>723.62</v>
      </c>
      <c r="I489">
        <v>126.58</v>
      </c>
      <c r="J489">
        <v>600.03</v>
      </c>
      <c r="K489">
        <f t="shared" si="56"/>
        <v>723.62</v>
      </c>
      <c r="L489">
        <f t="shared" si="57"/>
        <v>597.04</v>
      </c>
      <c r="M489">
        <f t="shared" si="58"/>
        <v>126.58</v>
      </c>
      <c r="N489" t="str">
        <f t="shared" si="59"/>
        <v>Zelle Payment Engine</v>
      </c>
      <c r="O489" t="str">
        <f t="shared" si="60"/>
        <v>Transfer</v>
      </c>
      <c r="P489" t="str">
        <f t="shared" si="61"/>
        <v>Deposit</v>
      </c>
      <c r="Q489">
        <f t="shared" si="62"/>
        <v>597.04</v>
      </c>
      <c r="R489">
        <f t="shared" si="63"/>
        <v>-2.9900000000000091</v>
      </c>
    </row>
    <row r="490" spans="1:18" x14ac:dyDescent="0.3">
      <c r="A490" t="s">
        <v>498</v>
      </c>
      <c r="B490" t="s">
        <v>915</v>
      </c>
      <c r="C490" s="4" t="s">
        <v>1211</v>
      </c>
      <c r="D490" t="s">
        <v>1291</v>
      </c>
      <c r="E490" t="s">
        <v>1297</v>
      </c>
      <c r="F490" t="s">
        <v>1305</v>
      </c>
      <c r="G490" s="9">
        <v>730.24</v>
      </c>
      <c r="H490">
        <v>938.91</v>
      </c>
      <c r="I490">
        <v>-140.84</v>
      </c>
      <c r="J490">
        <v>828.74</v>
      </c>
      <c r="K490">
        <f t="shared" si="56"/>
        <v>938.91</v>
      </c>
      <c r="L490">
        <f t="shared" si="57"/>
        <v>1079.75</v>
      </c>
      <c r="M490">
        <f t="shared" si="58"/>
        <v>-140.84</v>
      </c>
      <c r="N490" t="str">
        <f t="shared" si="59"/>
        <v>Mcdonalds Corp Express</v>
      </c>
      <c r="O490" t="str">
        <f t="shared" si="60"/>
        <v>Dining Out</v>
      </c>
      <c r="P490" t="str">
        <f t="shared" si="61"/>
        <v>Withdrawal</v>
      </c>
      <c r="Q490">
        <f t="shared" si="62"/>
        <v>730.24</v>
      </c>
      <c r="R490">
        <f t="shared" si="63"/>
        <v>-98.5</v>
      </c>
    </row>
    <row r="491" spans="1:18" x14ac:dyDescent="0.3">
      <c r="A491" t="s">
        <v>499</v>
      </c>
      <c r="B491" t="s">
        <v>877</v>
      </c>
      <c r="C491" s="4" t="s">
        <v>1219</v>
      </c>
      <c r="D491" t="s">
        <v>1291</v>
      </c>
      <c r="E491" t="s">
        <v>1294</v>
      </c>
      <c r="F491" t="s">
        <v>1314</v>
      </c>
      <c r="G491" s="9">
        <v>129.61000000000001</v>
      </c>
      <c r="H491">
        <v>152.13</v>
      </c>
      <c r="I491">
        <v>-22.82</v>
      </c>
      <c r="J491">
        <v>135.72999999999999</v>
      </c>
      <c r="K491">
        <f t="shared" si="56"/>
        <v>152.13</v>
      </c>
      <c r="L491">
        <f t="shared" si="57"/>
        <v>174.95</v>
      </c>
      <c r="M491">
        <f t="shared" si="58"/>
        <v>-22.82</v>
      </c>
      <c r="N491" t="str">
        <f t="shared" si="59"/>
        <v>Target Direct Online</v>
      </c>
      <c r="O491" t="str">
        <f t="shared" si="60"/>
        <v>Online Shopping</v>
      </c>
      <c r="P491" t="str">
        <f t="shared" si="61"/>
        <v>Withdrawal</v>
      </c>
      <c r="Q491">
        <f t="shared" si="62"/>
        <v>129.61000000000001</v>
      </c>
      <c r="R491">
        <f t="shared" si="63"/>
        <v>-6.1199999999999761</v>
      </c>
    </row>
    <row r="492" spans="1:18" x14ac:dyDescent="0.3">
      <c r="A492" t="s">
        <v>500</v>
      </c>
      <c r="B492" t="s">
        <v>835</v>
      </c>
      <c r="C492" s="4" t="s">
        <v>1092</v>
      </c>
      <c r="D492" t="s">
        <v>1291</v>
      </c>
      <c r="E492" t="s">
        <v>1299</v>
      </c>
      <c r="F492" t="s">
        <v>1311</v>
      </c>
      <c r="G492" s="9">
        <v>546.41</v>
      </c>
      <c r="H492">
        <v>740.43</v>
      </c>
      <c r="I492">
        <v>-111.06</v>
      </c>
      <c r="J492">
        <v>628.49</v>
      </c>
      <c r="K492">
        <f t="shared" si="56"/>
        <v>740.43</v>
      </c>
      <c r="L492">
        <f t="shared" si="57"/>
        <v>851.49</v>
      </c>
      <c r="M492">
        <f t="shared" si="58"/>
        <v>-111.06</v>
      </c>
      <c r="N492" t="str">
        <f t="shared" si="59"/>
        <v>Spotify Music Hub</v>
      </c>
      <c r="O492" t="str">
        <f t="shared" si="60"/>
        <v>Entertainment</v>
      </c>
      <c r="P492" t="str">
        <f t="shared" si="61"/>
        <v>Withdrawal</v>
      </c>
      <c r="Q492">
        <f t="shared" si="62"/>
        <v>546.41</v>
      </c>
      <c r="R492">
        <f t="shared" si="63"/>
        <v>-82.080000000000041</v>
      </c>
    </row>
    <row r="493" spans="1:18" x14ac:dyDescent="0.3">
      <c r="A493" t="s">
        <v>501</v>
      </c>
      <c r="B493" t="s">
        <v>858</v>
      </c>
      <c r="C493" s="4" t="s">
        <v>1220</v>
      </c>
      <c r="D493" t="s">
        <v>1292</v>
      </c>
      <c r="E493" t="s">
        <v>1293</v>
      </c>
      <c r="F493" t="s">
        <v>1300</v>
      </c>
      <c r="G493" s="9">
        <v>1195.3800000000001</v>
      </c>
      <c r="H493">
        <v>1378.82</v>
      </c>
      <c r="I493">
        <v>183.44</v>
      </c>
      <c r="J493">
        <v>1355.54</v>
      </c>
      <c r="K493">
        <f t="shared" si="56"/>
        <v>1378.82</v>
      </c>
      <c r="L493">
        <f t="shared" si="57"/>
        <v>1195.3799999999999</v>
      </c>
      <c r="M493">
        <f t="shared" si="58"/>
        <v>183.44</v>
      </c>
      <c r="N493" t="str">
        <f t="shared" si="59"/>
        <v>State Hydro Grid</v>
      </c>
      <c r="O493" t="str">
        <f t="shared" si="60"/>
        <v>Utilities</v>
      </c>
      <c r="P493" t="str">
        <f t="shared" si="61"/>
        <v>Deposit</v>
      </c>
      <c r="Q493">
        <f t="shared" si="62"/>
        <v>1195.3800000000001</v>
      </c>
      <c r="R493">
        <f t="shared" si="63"/>
        <v>-160.15999999999985</v>
      </c>
    </row>
    <row r="494" spans="1:18" x14ac:dyDescent="0.3">
      <c r="A494" t="s">
        <v>502</v>
      </c>
      <c r="B494" t="s">
        <v>850</v>
      </c>
      <c r="C494" s="4" t="s">
        <v>1221</v>
      </c>
      <c r="D494" t="s">
        <v>1292</v>
      </c>
      <c r="E494" t="s">
        <v>1294</v>
      </c>
      <c r="F494" t="s">
        <v>1314</v>
      </c>
      <c r="G494" s="9">
        <v>294.19</v>
      </c>
      <c r="H494">
        <v>384.64</v>
      </c>
      <c r="I494">
        <v>90.45</v>
      </c>
      <c r="J494">
        <v>264.98</v>
      </c>
      <c r="K494">
        <f t="shared" si="56"/>
        <v>384.64</v>
      </c>
      <c r="L494">
        <f t="shared" si="57"/>
        <v>294.19</v>
      </c>
      <c r="M494">
        <f t="shared" si="58"/>
        <v>90.45</v>
      </c>
      <c r="N494" t="str">
        <f t="shared" si="59"/>
        <v>Target Direct Online</v>
      </c>
      <c r="O494" t="str">
        <f t="shared" si="60"/>
        <v>Online Shopping</v>
      </c>
      <c r="P494" t="str">
        <f t="shared" si="61"/>
        <v>Deposit</v>
      </c>
      <c r="Q494">
        <f t="shared" si="62"/>
        <v>294.19</v>
      </c>
      <c r="R494">
        <f t="shared" si="63"/>
        <v>29.20999999999998</v>
      </c>
    </row>
    <row r="495" spans="1:18" x14ac:dyDescent="0.3">
      <c r="A495" t="s">
        <v>503</v>
      </c>
      <c r="B495" t="s">
        <v>812</v>
      </c>
      <c r="C495" s="4" t="s">
        <v>1030</v>
      </c>
      <c r="D495" t="s">
        <v>1291</v>
      </c>
      <c r="E495" t="s">
        <v>1298</v>
      </c>
      <c r="F495" t="s">
        <v>1317</v>
      </c>
      <c r="G495" s="9">
        <v>564.33000000000004</v>
      </c>
      <c r="H495">
        <v>761.74</v>
      </c>
      <c r="I495">
        <v>-114.26</v>
      </c>
      <c r="J495">
        <v>522.87</v>
      </c>
      <c r="K495">
        <f t="shared" si="56"/>
        <v>761.74</v>
      </c>
      <c r="L495">
        <f t="shared" si="57"/>
        <v>876</v>
      </c>
      <c r="M495">
        <f t="shared" si="58"/>
        <v>-114.26</v>
      </c>
      <c r="N495" t="str">
        <f t="shared" si="59"/>
        <v>External Wire Clearance</v>
      </c>
      <c r="O495" t="str">
        <f t="shared" si="60"/>
        <v>Transfer</v>
      </c>
      <c r="P495" t="str">
        <f t="shared" si="61"/>
        <v>Withdrawal</v>
      </c>
      <c r="Q495">
        <f t="shared" si="62"/>
        <v>564.33000000000004</v>
      </c>
      <c r="R495">
        <f t="shared" si="63"/>
        <v>41.460000000000036</v>
      </c>
    </row>
    <row r="496" spans="1:18" x14ac:dyDescent="0.3">
      <c r="A496" t="s">
        <v>504</v>
      </c>
      <c r="B496" t="s">
        <v>927</v>
      </c>
      <c r="C496" s="4" t="s">
        <v>1141</v>
      </c>
      <c r="D496" t="s">
        <v>1291</v>
      </c>
      <c r="E496" t="s">
        <v>1293</v>
      </c>
      <c r="F496" t="s">
        <v>1320</v>
      </c>
      <c r="G496" s="9">
        <v>1149.54</v>
      </c>
      <c r="H496">
        <v>1345.94</v>
      </c>
      <c r="I496">
        <v>-201.89</v>
      </c>
      <c r="J496">
        <v>1220.79</v>
      </c>
      <c r="K496">
        <f t="shared" si="56"/>
        <v>1345.94</v>
      </c>
      <c r="L496">
        <f t="shared" si="57"/>
        <v>1547.83</v>
      </c>
      <c r="M496">
        <f t="shared" si="58"/>
        <v>-201.89</v>
      </c>
      <c r="N496" t="str">
        <f t="shared" si="59"/>
        <v>City Power &amp; Gas Co</v>
      </c>
      <c r="O496" t="str">
        <f t="shared" si="60"/>
        <v>Utilities</v>
      </c>
      <c r="P496" t="str">
        <f t="shared" si="61"/>
        <v>Withdrawal</v>
      </c>
      <c r="Q496">
        <f t="shared" si="62"/>
        <v>1149.54</v>
      </c>
      <c r="R496">
        <f t="shared" si="63"/>
        <v>-71.25</v>
      </c>
    </row>
    <row r="497" spans="1:18" x14ac:dyDescent="0.3">
      <c r="A497" t="s">
        <v>505</v>
      </c>
      <c r="B497" t="s">
        <v>803</v>
      </c>
      <c r="C497" s="4" t="s">
        <v>1222</v>
      </c>
      <c r="D497" t="s">
        <v>1291</v>
      </c>
      <c r="E497" t="s">
        <v>1299</v>
      </c>
      <c r="F497" t="s">
        <v>1312</v>
      </c>
      <c r="G497" s="9">
        <v>509.19</v>
      </c>
      <c r="H497">
        <v>635.84</v>
      </c>
      <c r="I497">
        <v>-95.38</v>
      </c>
      <c r="J497">
        <v>474.28</v>
      </c>
      <c r="K497">
        <f t="shared" si="56"/>
        <v>635.84</v>
      </c>
      <c r="L497">
        <f t="shared" si="57"/>
        <v>731.22</v>
      </c>
      <c r="M497">
        <f t="shared" si="58"/>
        <v>-95.38</v>
      </c>
      <c r="N497" t="str">
        <f t="shared" si="59"/>
        <v>Netflix Streaming Premium</v>
      </c>
      <c r="O497" t="str">
        <f t="shared" si="60"/>
        <v>Entertainment</v>
      </c>
      <c r="P497" t="str">
        <f t="shared" si="61"/>
        <v>Withdrawal</v>
      </c>
      <c r="Q497">
        <f t="shared" si="62"/>
        <v>509.19</v>
      </c>
      <c r="R497">
        <f t="shared" si="63"/>
        <v>34.910000000000025</v>
      </c>
    </row>
    <row r="498" spans="1:18" x14ac:dyDescent="0.3">
      <c r="A498" t="s">
        <v>506</v>
      </c>
      <c r="B498" t="s">
        <v>823</v>
      </c>
      <c r="C498" s="4" t="s">
        <v>1088</v>
      </c>
      <c r="D498" t="s">
        <v>1291</v>
      </c>
      <c r="E498" t="s">
        <v>1298</v>
      </c>
      <c r="F498" t="s">
        <v>1310</v>
      </c>
      <c r="G498" s="9">
        <v>614.21</v>
      </c>
      <c r="H498">
        <v>737.72</v>
      </c>
      <c r="I498">
        <v>-110.66</v>
      </c>
      <c r="J498">
        <v>588.4</v>
      </c>
      <c r="K498">
        <f t="shared" si="56"/>
        <v>737.72</v>
      </c>
      <c r="L498">
        <f t="shared" si="57"/>
        <v>848.38</v>
      </c>
      <c r="M498">
        <f t="shared" si="58"/>
        <v>-110.66</v>
      </c>
      <c r="N498" t="str">
        <f t="shared" si="59"/>
        <v>Zelle Payment Engine</v>
      </c>
      <c r="O498" t="str">
        <f t="shared" si="60"/>
        <v>Transfer</v>
      </c>
      <c r="P498" t="str">
        <f t="shared" si="61"/>
        <v>Withdrawal</v>
      </c>
      <c r="Q498">
        <f t="shared" si="62"/>
        <v>614.21</v>
      </c>
      <c r="R498">
        <f t="shared" si="63"/>
        <v>25.810000000000059</v>
      </c>
    </row>
    <row r="499" spans="1:18" x14ac:dyDescent="0.3">
      <c r="A499" t="s">
        <v>507</v>
      </c>
      <c r="B499" t="s">
        <v>899</v>
      </c>
      <c r="C499" s="4" t="s">
        <v>1223</v>
      </c>
      <c r="D499" t="s">
        <v>1292</v>
      </c>
      <c r="E499" t="s">
        <v>1294</v>
      </c>
      <c r="F499" t="s">
        <v>1314</v>
      </c>
      <c r="G499" s="9">
        <v>723.05</v>
      </c>
      <c r="H499">
        <v>907.67</v>
      </c>
      <c r="I499">
        <v>184.62</v>
      </c>
      <c r="J499">
        <v>790.08</v>
      </c>
      <c r="K499">
        <f t="shared" si="56"/>
        <v>907.67</v>
      </c>
      <c r="L499">
        <f t="shared" si="57"/>
        <v>723.05</v>
      </c>
      <c r="M499">
        <f t="shared" si="58"/>
        <v>184.62</v>
      </c>
      <c r="N499" t="str">
        <f t="shared" si="59"/>
        <v>Target Direct Online</v>
      </c>
      <c r="O499" t="str">
        <f t="shared" si="60"/>
        <v>Online Shopping</v>
      </c>
      <c r="P499" t="str">
        <f t="shared" si="61"/>
        <v>Deposit</v>
      </c>
      <c r="Q499">
        <f t="shared" si="62"/>
        <v>723.05</v>
      </c>
      <c r="R499">
        <f t="shared" si="63"/>
        <v>-67.030000000000086</v>
      </c>
    </row>
    <row r="500" spans="1:18" x14ac:dyDescent="0.3">
      <c r="A500" t="s">
        <v>508</v>
      </c>
      <c r="B500" t="s">
        <v>927</v>
      </c>
      <c r="C500" s="4" t="s">
        <v>1061</v>
      </c>
      <c r="D500" t="s">
        <v>1292</v>
      </c>
      <c r="E500" t="s">
        <v>1296</v>
      </c>
      <c r="F500" t="s">
        <v>1308</v>
      </c>
      <c r="H500">
        <v>118.65</v>
      </c>
      <c r="I500">
        <v>18.649999999999999</v>
      </c>
      <c r="J500">
        <v>103.55</v>
      </c>
      <c r="K500">
        <f t="shared" si="56"/>
        <v>118.65</v>
      </c>
      <c r="L500">
        <f t="shared" si="57"/>
        <v>100</v>
      </c>
      <c r="M500">
        <f t="shared" si="58"/>
        <v>18.649999999999999</v>
      </c>
      <c r="N500" t="str">
        <f t="shared" si="59"/>
        <v>Stark Retail Labs</v>
      </c>
      <c r="O500" t="str">
        <f t="shared" si="60"/>
        <v>Salary</v>
      </c>
      <c r="P500" t="str">
        <f t="shared" si="61"/>
        <v>Deposit</v>
      </c>
      <c r="Q500">
        <f t="shared" si="62"/>
        <v>1219.4163333333336</v>
      </c>
      <c r="R500">
        <f t="shared" si="63"/>
        <v>1115.8663333333336</v>
      </c>
    </row>
    <row r="501" spans="1:18" x14ac:dyDescent="0.3">
      <c r="A501" t="s">
        <v>509</v>
      </c>
      <c r="B501" t="s">
        <v>793</v>
      </c>
      <c r="C501" s="4" t="s">
        <v>1224</v>
      </c>
      <c r="D501" t="s">
        <v>1292</v>
      </c>
      <c r="E501" t="s">
        <v>1297</v>
      </c>
      <c r="F501" t="s">
        <v>1319</v>
      </c>
      <c r="G501" s="9">
        <v>1079.6300000000001</v>
      </c>
      <c r="H501">
        <v>1503.2</v>
      </c>
      <c r="I501">
        <v>423.57</v>
      </c>
      <c r="J501">
        <v>1294.8699999999999</v>
      </c>
      <c r="K501">
        <f t="shared" si="56"/>
        <v>1503.2</v>
      </c>
      <c r="L501">
        <f t="shared" si="57"/>
        <v>1079.6300000000001</v>
      </c>
      <c r="M501">
        <f t="shared" si="58"/>
        <v>423.57</v>
      </c>
      <c r="N501" t="str">
        <f t="shared" si="59"/>
        <v>Starbucks Hub Cafe</v>
      </c>
      <c r="O501" t="str">
        <f t="shared" si="60"/>
        <v>Dining Out</v>
      </c>
      <c r="P501" t="str">
        <f t="shared" si="61"/>
        <v>Deposit</v>
      </c>
      <c r="Q501">
        <f t="shared" si="62"/>
        <v>1079.6300000000001</v>
      </c>
      <c r="R501">
        <f t="shared" si="63"/>
        <v>-215.23999999999978</v>
      </c>
    </row>
    <row r="502" spans="1:18" x14ac:dyDescent="0.3">
      <c r="A502" t="s">
        <v>510</v>
      </c>
      <c r="B502" t="s">
        <v>896</v>
      </c>
      <c r="C502" s="4" t="s">
        <v>1208</v>
      </c>
      <c r="D502" t="s">
        <v>1292</v>
      </c>
      <c r="E502" t="s">
        <v>1293</v>
      </c>
      <c r="F502" t="s">
        <v>1300</v>
      </c>
      <c r="G502" s="9">
        <v>890.07</v>
      </c>
      <c r="H502">
        <v>1052.53</v>
      </c>
      <c r="I502">
        <v>162.46</v>
      </c>
      <c r="J502">
        <v>841</v>
      </c>
      <c r="K502">
        <f t="shared" si="56"/>
        <v>1052.53</v>
      </c>
      <c r="L502">
        <f t="shared" si="57"/>
        <v>890.06999999999994</v>
      </c>
      <c r="M502">
        <f t="shared" si="58"/>
        <v>162.46</v>
      </c>
      <c r="N502" t="str">
        <f t="shared" si="59"/>
        <v>State Hydro Grid</v>
      </c>
      <c r="O502" t="str">
        <f t="shared" si="60"/>
        <v>Utilities</v>
      </c>
      <c r="P502" t="str">
        <f t="shared" si="61"/>
        <v>Deposit</v>
      </c>
      <c r="Q502">
        <f t="shared" si="62"/>
        <v>890.07</v>
      </c>
      <c r="R502">
        <f t="shared" si="63"/>
        <v>49.07000000000005</v>
      </c>
    </row>
    <row r="503" spans="1:18" x14ac:dyDescent="0.3">
      <c r="A503" t="s">
        <v>511</v>
      </c>
      <c r="B503" t="s">
        <v>831</v>
      </c>
      <c r="C503" s="4" t="s">
        <v>1039</v>
      </c>
      <c r="D503" t="s">
        <v>1292</v>
      </c>
      <c r="E503" t="s">
        <v>1294</v>
      </c>
      <c r="F503" t="s">
        <v>1314</v>
      </c>
      <c r="G503" s="9">
        <v>681.43</v>
      </c>
      <c r="H503">
        <v>881.82</v>
      </c>
      <c r="I503">
        <v>200.39</v>
      </c>
      <c r="J503">
        <v>636.28</v>
      </c>
      <c r="K503">
        <f t="shared" si="56"/>
        <v>881.82</v>
      </c>
      <c r="L503">
        <f t="shared" si="57"/>
        <v>681.43000000000006</v>
      </c>
      <c r="M503">
        <f t="shared" si="58"/>
        <v>200.39</v>
      </c>
      <c r="N503" t="str">
        <f t="shared" si="59"/>
        <v>Target Direct Online</v>
      </c>
      <c r="O503" t="str">
        <f t="shared" si="60"/>
        <v>Online Shopping</v>
      </c>
      <c r="P503" t="str">
        <f t="shared" si="61"/>
        <v>Deposit</v>
      </c>
      <c r="Q503">
        <f t="shared" si="62"/>
        <v>681.43</v>
      </c>
      <c r="R503">
        <f t="shared" si="63"/>
        <v>45.149999999999977</v>
      </c>
    </row>
    <row r="504" spans="1:18" x14ac:dyDescent="0.3">
      <c r="A504" t="s">
        <v>512</v>
      </c>
      <c r="B504" t="s">
        <v>856</v>
      </c>
      <c r="C504" s="4" t="s">
        <v>1123</v>
      </c>
      <c r="D504" t="s">
        <v>1291</v>
      </c>
      <c r="E504" t="s">
        <v>1296</v>
      </c>
      <c r="F504" t="s">
        <v>1307</v>
      </c>
      <c r="G504" s="9">
        <v>5368.76</v>
      </c>
      <c r="H504">
        <v>7439.48</v>
      </c>
      <c r="I504">
        <v>-1115.92</v>
      </c>
      <c r="J504">
        <v>5673.26</v>
      </c>
      <c r="K504">
        <f t="shared" si="56"/>
        <v>7439.48</v>
      </c>
      <c r="L504">
        <f t="shared" si="57"/>
        <v>8555.4</v>
      </c>
      <c r="M504">
        <f t="shared" si="58"/>
        <v>-1115.92</v>
      </c>
      <c r="N504" t="str">
        <f t="shared" si="59"/>
        <v>Techcorp Payroll Inc</v>
      </c>
      <c r="O504" t="str">
        <f t="shared" si="60"/>
        <v>Salary</v>
      </c>
      <c r="P504" t="str">
        <f t="shared" si="61"/>
        <v>Withdrawal</v>
      </c>
      <c r="Q504">
        <f t="shared" si="62"/>
        <v>5368.76</v>
      </c>
      <c r="R504">
        <f t="shared" si="63"/>
        <v>-304.5</v>
      </c>
    </row>
    <row r="505" spans="1:18" x14ac:dyDescent="0.3">
      <c r="A505" t="s">
        <v>513</v>
      </c>
      <c r="B505" t="s">
        <v>925</v>
      </c>
      <c r="C505" s="4" t="s">
        <v>1205</v>
      </c>
      <c r="D505" t="s">
        <v>1291</v>
      </c>
      <c r="E505" t="s">
        <v>1294</v>
      </c>
      <c r="F505" t="s">
        <v>1315</v>
      </c>
      <c r="G505" s="9">
        <v>1079.6600000000001</v>
      </c>
      <c r="H505">
        <v>1455.47</v>
      </c>
      <c r="I505">
        <v>-218.32</v>
      </c>
      <c r="J505">
        <v>1077.01</v>
      </c>
      <c r="K505">
        <f t="shared" si="56"/>
        <v>1455.47</v>
      </c>
      <c r="L505">
        <f t="shared" si="57"/>
        <v>1673.79</v>
      </c>
      <c r="M505">
        <f t="shared" si="58"/>
        <v>-218.32</v>
      </c>
      <c r="N505" t="str">
        <f t="shared" si="59"/>
        <v>Ebay International</v>
      </c>
      <c r="O505" t="str">
        <f t="shared" si="60"/>
        <v>Online Shopping</v>
      </c>
      <c r="P505" t="str">
        <f t="shared" si="61"/>
        <v>Withdrawal</v>
      </c>
      <c r="Q505">
        <f t="shared" si="62"/>
        <v>1079.6600000000001</v>
      </c>
      <c r="R505">
        <f t="shared" si="63"/>
        <v>2.6500000000000909</v>
      </c>
    </row>
    <row r="506" spans="1:18" x14ac:dyDescent="0.3">
      <c r="A506" t="s">
        <v>514</v>
      </c>
      <c r="B506" t="s">
        <v>828</v>
      </c>
      <c r="C506" s="4" t="s">
        <v>1225</v>
      </c>
      <c r="D506" t="s">
        <v>1291</v>
      </c>
      <c r="E506" t="s">
        <v>1293</v>
      </c>
      <c r="F506" t="s">
        <v>1320</v>
      </c>
      <c r="G506" s="9">
        <v>114.1</v>
      </c>
      <c r="H506">
        <v>132.02000000000001</v>
      </c>
      <c r="I506">
        <v>-19.8</v>
      </c>
      <c r="J506">
        <v>118.43</v>
      </c>
      <c r="K506">
        <f t="shared" si="56"/>
        <v>132.02000000000001</v>
      </c>
      <c r="L506">
        <f t="shared" si="57"/>
        <v>151.82000000000002</v>
      </c>
      <c r="M506">
        <f t="shared" si="58"/>
        <v>-19.8</v>
      </c>
      <c r="N506" t="str">
        <f t="shared" si="59"/>
        <v>City Power &amp; Gas Co</v>
      </c>
      <c r="O506" t="str">
        <f t="shared" si="60"/>
        <v>Utilities</v>
      </c>
      <c r="P506" t="str">
        <f t="shared" si="61"/>
        <v>Withdrawal</v>
      </c>
      <c r="Q506">
        <f t="shared" si="62"/>
        <v>114.1</v>
      </c>
      <c r="R506">
        <f t="shared" si="63"/>
        <v>-4.3300000000000125</v>
      </c>
    </row>
    <row r="507" spans="1:18" x14ac:dyDescent="0.3">
      <c r="A507" t="s">
        <v>515</v>
      </c>
      <c r="B507" t="s">
        <v>877</v>
      </c>
      <c r="C507" s="4" t="s">
        <v>1226</v>
      </c>
      <c r="D507" t="s">
        <v>1292</v>
      </c>
      <c r="E507" t="s">
        <v>1295</v>
      </c>
      <c r="F507" t="s">
        <v>1313</v>
      </c>
      <c r="G507" s="9">
        <v>791.33</v>
      </c>
      <c r="H507">
        <v>938.49</v>
      </c>
      <c r="I507">
        <v>147.16</v>
      </c>
      <c r="J507">
        <v>763.43</v>
      </c>
      <c r="K507">
        <f t="shared" si="56"/>
        <v>938.49</v>
      </c>
      <c r="L507">
        <f t="shared" si="57"/>
        <v>791.33</v>
      </c>
      <c r="M507">
        <f t="shared" si="58"/>
        <v>147.16</v>
      </c>
      <c r="N507" t="str">
        <f t="shared" si="59"/>
        <v>Fresh &amp; Fast Logistics</v>
      </c>
      <c r="O507" t="str">
        <f t="shared" si="60"/>
        <v>Groceries</v>
      </c>
      <c r="P507" t="str">
        <f t="shared" si="61"/>
        <v>Deposit</v>
      </c>
      <c r="Q507">
        <f t="shared" si="62"/>
        <v>791.33</v>
      </c>
      <c r="R507">
        <f t="shared" si="63"/>
        <v>27.900000000000091</v>
      </c>
    </row>
    <row r="508" spans="1:18" x14ac:dyDescent="0.3">
      <c r="A508" t="s">
        <v>516</v>
      </c>
      <c r="B508" t="s">
        <v>910</v>
      </c>
      <c r="C508" s="4" t="s">
        <v>1227</v>
      </c>
      <c r="D508" t="s">
        <v>1292</v>
      </c>
      <c r="E508" t="s">
        <v>1295</v>
      </c>
      <c r="F508" t="s">
        <v>1313</v>
      </c>
      <c r="G508" s="9">
        <v>932.41</v>
      </c>
      <c r="H508">
        <v>1174.3599999999999</v>
      </c>
      <c r="I508">
        <v>241.95</v>
      </c>
      <c r="J508">
        <v>1038.5999999999999</v>
      </c>
      <c r="K508">
        <f t="shared" si="56"/>
        <v>1174.3599999999999</v>
      </c>
      <c r="L508">
        <f t="shared" si="57"/>
        <v>932.40999999999985</v>
      </c>
      <c r="M508">
        <f t="shared" si="58"/>
        <v>241.95</v>
      </c>
      <c r="N508" t="str">
        <f t="shared" si="59"/>
        <v>Fresh &amp; Fast Logistics</v>
      </c>
      <c r="O508" t="str">
        <f t="shared" si="60"/>
        <v>Groceries</v>
      </c>
      <c r="P508" t="str">
        <f t="shared" si="61"/>
        <v>Deposit</v>
      </c>
      <c r="Q508">
        <f t="shared" si="62"/>
        <v>932.41</v>
      </c>
      <c r="R508">
        <f t="shared" si="63"/>
        <v>-106.18999999999994</v>
      </c>
    </row>
    <row r="509" spans="1:18" x14ac:dyDescent="0.3">
      <c r="A509" t="s">
        <v>517</v>
      </c>
      <c r="B509" t="s">
        <v>789</v>
      </c>
      <c r="C509" s="4" t="s">
        <v>1228</v>
      </c>
      <c r="D509" t="s">
        <v>1292</v>
      </c>
      <c r="E509" t="s">
        <v>1295</v>
      </c>
      <c r="F509" t="s">
        <v>1302</v>
      </c>
      <c r="G509" s="9">
        <v>57.19</v>
      </c>
      <c r="H509">
        <v>67.37</v>
      </c>
      <c r="I509">
        <v>10.18</v>
      </c>
      <c r="J509">
        <v>64.48</v>
      </c>
      <c r="K509">
        <f t="shared" si="56"/>
        <v>67.37</v>
      </c>
      <c r="L509">
        <f t="shared" si="57"/>
        <v>57.190000000000005</v>
      </c>
      <c r="M509">
        <f t="shared" si="58"/>
        <v>10.18</v>
      </c>
      <c r="N509" t="str">
        <f t="shared" si="59"/>
        <v>Supermart Marketplace</v>
      </c>
      <c r="O509" t="str">
        <f t="shared" si="60"/>
        <v>Groceries</v>
      </c>
      <c r="P509" t="str">
        <f t="shared" si="61"/>
        <v>Deposit</v>
      </c>
      <c r="Q509">
        <f t="shared" si="62"/>
        <v>57.19</v>
      </c>
      <c r="R509">
        <f t="shared" si="63"/>
        <v>-7.2900000000000063</v>
      </c>
    </row>
    <row r="510" spans="1:18" x14ac:dyDescent="0.3">
      <c r="A510" t="s">
        <v>518</v>
      </c>
      <c r="B510" t="s">
        <v>846</v>
      </c>
      <c r="C510" s="4" t="s">
        <v>953</v>
      </c>
      <c r="D510" t="s">
        <v>1291</v>
      </c>
      <c r="E510" t="s">
        <v>1293</v>
      </c>
      <c r="F510" t="s">
        <v>1300</v>
      </c>
      <c r="G510" s="9">
        <v>905.43</v>
      </c>
      <c r="H510">
        <v>1091.5999999999999</v>
      </c>
      <c r="I510">
        <v>-163.74</v>
      </c>
      <c r="J510">
        <v>992.02</v>
      </c>
      <c r="K510">
        <f t="shared" si="56"/>
        <v>1091.5999999999999</v>
      </c>
      <c r="L510">
        <f t="shared" si="57"/>
        <v>1255.3399999999999</v>
      </c>
      <c r="M510">
        <f t="shared" si="58"/>
        <v>-163.74</v>
      </c>
      <c r="N510" t="str">
        <f t="shared" si="59"/>
        <v>State Hydro Grid</v>
      </c>
      <c r="O510" t="str">
        <f t="shared" si="60"/>
        <v>Utilities</v>
      </c>
      <c r="P510" t="str">
        <f t="shared" si="61"/>
        <v>Withdrawal</v>
      </c>
      <c r="Q510">
        <f t="shared" si="62"/>
        <v>905.43</v>
      </c>
      <c r="R510">
        <f t="shared" si="63"/>
        <v>-86.590000000000032</v>
      </c>
    </row>
    <row r="511" spans="1:18" x14ac:dyDescent="0.3">
      <c r="A511" t="s">
        <v>519</v>
      </c>
      <c r="B511" t="s">
        <v>898</v>
      </c>
      <c r="C511" s="4" t="s">
        <v>948</v>
      </c>
      <c r="D511" t="s">
        <v>1291</v>
      </c>
      <c r="E511" t="s">
        <v>1293</v>
      </c>
      <c r="F511" t="s">
        <v>1318</v>
      </c>
      <c r="G511" s="9">
        <v>93.39</v>
      </c>
      <c r="H511">
        <v>110.4</v>
      </c>
      <c r="I511">
        <v>-16.559999999999999</v>
      </c>
      <c r="J511">
        <v>105.46</v>
      </c>
      <c r="K511">
        <f t="shared" si="56"/>
        <v>110.4</v>
      </c>
      <c r="L511">
        <f t="shared" si="57"/>
        <v>126.96000000000001</v>
      </c>
      <c r="M511">
        <f t="shared" si="58"/>
        <v>-16.559999999999999</v>
      </c>
      <c r="N511" t="str">
        <f t="shared" si="59"/>
        <v>Metropolitan Water Sewer</v>
      </c>
      <c r="O511" t="str">
        <f t="shared" si="60"/>
        <v>Utilities</v>
      </c>
      <c r="P511" t="str">
        <f t="shared" si="61"/>
        <v>Withdrawal</v>
      </c>
      <c r="Q511">
        <f t="shared" si="62"/>
        <v>93.39</v>
      </c>
      <c r="R511">
        <f t="shared" si="63"/>
        <v>-12.069999999999993</v>
      </c>
    </row>
    <row r="512" spans="1:18" x14ac:dyDescent="0.3">
      <c r="A512" t="s">
        <v>520</v>
      </c>
      <c r="B512" t="s">
        <v>867</v>
      </c>
      <c r="C512" s="4" t="s">
        <v>1229</v>
      </c>
      <c r="D512" t="s">
        <v>1291</v>
      </c>
      <c r="E512" t="s">
        <v>1299</v>
      </c>
      <c r="F512" t="s">
        <v>1312</v>
      </c>
      <c r="G512" s="9">
        <v>1186.1600000000001</v>
      </c>
      <c r="H512">
        <v>1613.2</v>
      </c>
      <c r="I512">
        <v>-241.98</v>
      </c>
      <c r="J512">
        <v>1154.1099999999999</v>
      </c>
      <c r="K512">
        <f t="shared" si="56"/>
        <v>1613.2</v>
      </c>
      <c r="L512">
        <f t="shared" si="57"/>
        <v>1855.18</v>
      </c>
      <c r="M512">
        <f t="shared" si="58"/>
        <v>-241.98</v>
      </c>
      <c r="N512" t="str">
        <f t="shared" si="59"/>
        <v>Netflix Streaming Premium</v>
      </c>
      <c r="O512" t="str">
        <f t="shared" si="60"/>
        <v>Entertainment</v>
      </c>
      <c r="P512" t="str">
        <f t="shared" si="61"/>
        <v>Withdrawal</v>
      </c>
      <c r="Q512">
        <f t="shared" si="62"/>
        <v>1186.1600000000001</v>
      </c>
      <c r="R512">
        <f t="shared" si="63"/>
        <v>32.050000000000182</v>
      </c>
    </row>
    <row r="513" spans="1:18" x14ac:dyDescent="0.3">
      <c r="A513" t="s">
        <v>521</v>
      </c>
      <c r="B513" t="s">
        <v>837</v>
      </c>
      <c r="C513" s="4" t="s">
        <v>997</v>
      </c>
      <c r="D513" t="s">
        <v>1292</v>
      </c>
      <c r="E513" t="s">
        <v>1294</v>
      </c>
      <c r="F513" t="s">
        <v>1314</v>
      </c>
      <c r="G513" s="9">
        <v>626.75</v>
      </c>
      <c r="H513">
        <v>722.03</v>
      </c>
      <c r="I513">
        <v>95.28</v>
      </c>
      <c r="J513">
        <v>644.70000000000005</v>
      </c>
      <c r="K513">
        <f t="shared" si="56"/>
        <v>722.03</v>
      </c>
      <c r="L513">
        <f t="shared" si="57"/>
        <v>626.75</v>
      </c>
      <c r="M513">
        <f t="shared" si="58"/>
        <v>95.28</v>
      </c>
      <c r="N513" t="str">
        <f t="shared" si="59"/>
        <v>Target Direct Online</v>
      </c>
      <c r="O513" t="str">
        <f t="shared" si="60"/>
        <v>Online Shopping</v>
      </c>
      <c r="P513" t="str">
        <f t="shared" si="61"/>
        <v>Deposit</v>
      </c>
      <c r="Q513">
        <f t="shared" si="62"/>
        <v>626.75</v>
      </c>
      <c r="R513">
        <f t="shared" si="63"/>
        <v>-17.950000000000045</v>
      </c>
    </row>
    <row r="514" spans="1:18" x14ac:dyDescent="0.3">
      <c r="A514" t="s">
        <v>522</v>
      </c>
      <c r="B514" t="s">
        <v>834</v>
      </c>
      <c r="C514" s="4" t="s">
        <v>1130</v>
      </c>
      <c r="D514" t="s">
        <v>1291</v>
      </c>
      <c r="E514" t="s">
        <v>1294</v>
      </c>
      <c r="F514" t="s">
        <v>1314</v>
      </c>
      <c r="G514" s="9">
        <v>658.24</v>
      </c>
      <c r="H514">
        <v>862.22</v>
      </c>
      <c r="I514">
        <v>-129.33000000000001</v>
      </c>
      <c r="J514">
        <v>737.59</v>
      </c>
      <c r="K514">
        <f t="shared" si="56"/>
        <v>862.22</v>
      </c>
      <c r="L514">
        <f t="shared" si="57"/>
        <v>991.55000000000007</v>
      </c>
      <c r="M514">
        <f t="shared" si="58"/>
        <v>-129.33000000000001</v>
      </c>
      <c r="N514" t="str">
        <f t="shared" si="59"/>
        <v>Target Direct Online</v>
      </c>
      <c r="O514" t="str">
        <f t="shared" si="60"/>
        <v>Online Shopping</v>
      </c>
      <c r="P514" t="str">
        <f t="shared" si="61"/>
        <v>Withdrawal</v>
      </c>
      <c r="Q514">
        <f t="shared" si="62"/>
        <v>658.24</v>
      </c>
      <c r="R514">
        <f t="shared" si="63"/>
        <v>-79.350000000000023</v>
      </c>
    </row>
    <row r="515" spans="1:18" x14ac:dyDescent="0.3">
      <c r="A515" t="s">
        <v>523</v>
      </c>
      <c r="B515" t="s">
        <v>883</v>
      </c>
      <c r="C515" s="4" t="s">
        <v>1175</v>
      </c>
      <c r="D515" t="s">
        <v>1292</v>
      </c>
      <c r="E515" t="s">
        <v>1294</v>
      </c>
      <c r="F515" t="s">
        <v>1315</v>
      </c>
      <c r="G515" s="9">
        <v>667.39</v>
      </c>
      <c r="H515">
        <v>791.59</v>
      </c>
      <c r="I515">
        <v>124.2</v>
      </c>
      <c r="J515">
        <v>792.42</v>
      </c>
      <c r="K515">
        <f t="shared" ref="K515:K578" si="64">IF(H515,H515,AVERAGE($H$2:$H$35))</f>
        <v>791.59</v>
      </c>
      <c r="L515">
        <f t="shared" ref="L515:L578" si="65">K515-M515</f>
        <v>667.39</v>
      </c>
      <c r="M515">
        <f t="shared" ref="M515:M578" si="66">IF(I515,I515,AVERAGE($I$2:$I$68))</f>
        <v>124.2</v>
      </c>
      <c r="N515" t="str">
        <f t="shared" ref="N515:N578" si="67">PROPER(F515)</f>
        <v>Ebay International</v>
      </c>
      <c r="O515" t="str">
        <f t="shared" ref="O515:O578" si="68">PROPER(E515)</f>
        <v>Online Shopping</v>
      </c>
      <c r="P515" t="str">
        <f t="shared" ref="P515:P578" si="69">PROPER(D515)</f>
        <v>Deposit</v>
      </c>
      <c r="Q515">
        <f t="shared" ref="Q515:Q578" si="70">IF(G515,G515,AVERAGE($G$2:$G$31))</f>
        <v>667.39</v>
      </c>
      <c r="R515">
        <f t="shared" ref="R515:R578" si="71">Q515-J515</f>
        <v>-125.02999999999997</v>
      </c>
    </row>
    <row r="516" spans="1:18" x14ac:dyDescent="0.3">
      <c r="A516" t="s">
        <v>524</v>
      </c>
      <c r="B516" t="s">
        <v>897</v>
      </c>
      <c r="C516" s="4" t="s">
        <v>1080</v>
      </c>
      <c r="D516" t="s">
        <v>1291</v>
      </c>
      <c r="E516" t="s">
        <v>1295</v>
      </c>
      <c r="F516" t="s">
        <v>1304</v>
      </c>
      <c r="G516" s="9">
        <v>1141.19</v>
      </c>
      <c r="H516">
        <v>1571.32</v>
      </c>
      <c r="I516">
        <v>-235.7</v>
      </c>
      <c r="J516">
        <v>1055.3499999999999</v>
      </c>
      <c r="K516">
        <f t="shared" si="64"/>
        <v>1571.32</v>
      </c>
      <c r="L516">
        <f t="shared" si="65"/>
        <v>1807.02</v>
      </c>
      <c r="M516">
        <f t="shared" si="66"/>
        <v>-235.7</v>
      </c>
      <c r="N516" t="str">
        <f t="shared" si="67"/>
        <v>Whole Foods Store</v>
      </c>
      <c r="O516" t="str">
        <f t="shared" si="68"/>
        <v>Groceries</v>
      </c>
      <c r="P516" t="str">
        <f t="shared" si="69"/>
        <v>Withdrawal</v>
      </c>
      <c r="Q516">
        <f t="shared" si="70"/>
        <v>1141.19</v>
      </c>
      <c r="R516">
        <f t="shared" si="71"/>
        <v>85.840000000000146</v>
      </c>
    </row>
    <row r="517" spans="1:18" x14ac:dyDescent="0.3">
      <c r="A517" t="s">
        <v>525</v>
      </c>
      <c r="B517" t="s">
        <v>867</v>
      </c>
      <c r="C517" s="4" t="s">
        <v>1075</v>
      </c>
      <c r="D517" t="s">
        <v>1292</v>
      </c>
      <c r="E517" t="s">
        <v>1298</v>
      </c>
      <c r="F517" t="s">
        <v>1317</v>
      </c>
      <c r="G517" s="9">
        <v>485.67</v>
      </c>
      <c r="H517">
        <v>589.88</v>
      </c>
      <c r="I517">
        <v>104.21</v>
      </c>
      <c r="J517">
        <v>484.02</v>
      </c>
      <c r="K517">
        <f t="shared" si="64"/>
        <v>589.88</v>
      </c>
      <c r="L517">
        <f t="shared" si="65"/>
        <v>485.67</v>
      </c>
      <c r="M517">
        <f t="shared" si="66"/>
        <v>104.21</v>
      </c>
      <c r="N517" t="str">
        <f t="shared" si="67"/>
        <v>External Wire Clearance</v>
      </c>
      <c r="O517" t="str">
        <f t="shared" si="68"/>
        <v>Transfer</v>
      </c>
      <c r="P517" t="str">
        <f t="shared" si="69"/>
        <v>Deposit</v>
      </c>
      <c r="Q517">
        <f t="shared" si="70"/>
        <v>485.67</v>
      </c>
      <c r="R517">
        <f t="shared" si="71"/>
        <v>1.6500000000000341</v>
      </c>
    </row>
    <row r="518" spans="1:18" x14ac:dyDescent="0.3">
      <c r="A518" t="s">
        <v>526</v>
      </c>
      <c r="B518" t="s">
        <v>869</v>
      </c>
      <c r="C518" s="4" t="s">
        <v>1230</v>
      </c>
      <c r="D518" t="s">
        <v>1291</v>
      </c>
      <c r="E518" t="s">
        <v>1293</v>
      </c>
      <c r="F518" t="s">
        <v>1300</v>
      </c>
      <c r="G518" s="9">
        <v>56.26</v>
      </c>
      <c r="H518">
        <v>64.75</v>
      </c>
      <c r="I518">
        <v>-9.7100000000000009</v>
      </c>
      <c r="J518">
        <v>51.61</v>
      </c>
      <c r="K518">
        <f t="shared" si="64"/>
        <v>64.75</v>
      </c>
      <c r="L518">
        <f t="shared" si="65"/>
        <v>74.460000000000008</v>
      </c>
      <c r="M518">
        <f t="shared" si="66"/>
        <v>-9.7100000000000009</v>
      </c>
      <c r="N518" t="str">
        <f t="shared" si="67"/>
        <v>State Hydro Grid</v>
      </c>
      <c r="O518" t="str">
        <f t="shared" si="68"/>
        <v>Utilities</v>
      </c>
      <c r="P518" t="str">
        <f t="shared" si="69"/>
        <v>Withdrawal</v>
      </c>
      <c r="Q518">
        <f t="shared" si="70"/>
        <v>56.26</v>
      </c>
      <c r="R518">
        <f t="shared" si="71"/>
        <v>4.6499999999999986</v>
      </c>
    </row>
    <row r="519" spans="1:18" x14ac:dyDescent="0.3">
      <c r="A519" t="s">
        <v>527</v>
      </c>
      <c r="B519" t="s">
        <v>876</v>
      </c>
      <c r="C519" s="4" t="s">
        <v>1089</v>
      </c>
      <c r="D519" t="s">
        <v>1291</v>
      </c>
      <c r="E519" t="s">
        <v>1295</v>
      </c>
      <c r="F519" t="s">
        <v>1313</v>
      </c>
      <c r="G519" s="9">
        <v>811.54</v>
      </c>
      <c r="H519">
        <v>967.3</v>
      </c>
      <c r="I519">
        <v>-145.09</v>
      </c>
      <c r="J519">
        <v>732.11</v>
      </c>
      <c r="K519">
        <f t="shared" si="64"/>
        <v>967.3</v>
      </c>
      <c r="L519">
        <f t="shared" si="65"/>
        <v>1112.3899999999999</v>
      </c>
      <c r="M519">
        <f t="shared" si="66"/>
        <v>-145.09</v>
      </c>
      <c r="N519" t="str">
        <f t="shared" si="67"/>
        <v>Fresh &amp; Fast Logistics</v>
      </c>
      <c r="O519" t="str">
        <f t="shared" si="68"/>
        <v>Groceries</v>
      </c>
      <c r="P519" t="str">
        <f t="shared" si="69"/>
        <v>Withdrawal</v>
      </c>
      <c r="Q519">
        <f t="shared" si="70"/>
        <v>811.54</v>
      </c>
      <c r="R519">
        <f t="shared" si="71"/>
        <v>79.42999999999995</v>
      </c>
    </row>
    <row r="520" spans="1:18" x14ac:dyDescent="0.3">
      <c r="A520" t="s">
        <v>528</v>
      </c>
      <c r="B520" t="s">
        <v>786</v>
      </c>
      <c r="C520" s="4" t="s">
        <v>1124</v>
      </c>
      <c r="D520" t="s">
        <v>1292</v>
      </c>
      <c r="E520" t="s">
        <v>1296</v>
      </c>
      <c r="F520" t="s">
        <v>1303</v>
      </c>
      <c r="G520" s="9">
        <v>4737.96</v>
      </c>
      <c r="H520">
        <v>6632.14</v>
      </c>
      <c r="I520">
        <v>1894.18</v>
      </c>
      <c r="J520">
        <v>4620.32</v>
      </c>
      <c r="K520">
        <f t="shared" si="64"/>
        <v>6632.14</v>
      </c>
      <c r="L520">
        <f t="shared" si="65"/>
        <v>4737.96</v>
      </c>
      <c r="M520">
        <f t="shared" si="66"/>
        <v>1894.18</v>
      </c>
      <c r="N520" t="str">
        <f t="shared" si="67"/>
        <v>Global Industries Llc</v>
      </c>
      <c r="O520" t="str">
        <f t="shared" si="68"/>
        <v>Salary</v>
      </c>
      <c r="P520" t="str">
        <f t="shared" si="69"/>
        <v>Deposit</v>
      </c>
      <c r="Q520">
        <f t="shared" si="70"/>
        <v>4737.96</v>
      </c>
      <c r="R520">
        <f t="shared" si="71"/>
        <v>117.64000000000033</v>
      </c>
    </row>
    <row r="521" spans="1:18" x14ac:dyDescent="0.3">
      <c r="A521" t="s">
        <v>529</v>
      </c>
      <c r="B521" t="s">
        <v>928</v>
      </c>
      <c r="C521" s="4" t="s">
        <v>1231</v>
      </c>
      <c r="D521" t="s">
        <v>1292</v>
      </c>
      <c r="E521" t="s">
        <v>1294</v>
      </c>
      <c r="F521" t="s">
        <v>1315</v>
      </c>
      <c r="G521" s="9">
        <v>88.97</v>
      </c>
      <c r="H521">
        <v>115.35</v>
      </c>
      <c r="I521">
        <v>26.38</v>
      </c>
      <c r="J521">
        <v>86.1</v>
      </c>
      <c r="K521">
        <f t="shared" si="64"/>
        <v>115.35</v>
      </c>
      <c r="L521">
        <f t="shared" si="65"/>
        <v>88.97</v>
      </c>
      <c r="M521">
        <f t="shared" si="66"/>
        <v>26.38</v>
      </c>
      <c r="N521" t="str">
        <f t="shared" si="67"/>
        <v>Ebay International</v>
      </c>
      <c r="O521" t="str">
        <f t="shared" si="68"/>
        <v>Online Shopping</v>
      </c>
      <c r="P521" t="str">
        <f t="shared" si="69"/>
        <v>Deposit</v>
      </c>
      <c r="Q521">
        <f t="shared" si="70"/>
        <v>88.97</v>
      </c>
      <c r="R521">
        <f t="shared" si="71"/>
        <v>2.8700000000000045</v>
      </c>
    </row>
    <row r="522" spans="1:18" x14ac:dyDescent="0.3">
      <c r="A522" t="s">
        <v>530</v>
      </c>
      <c r="B522" t="s">
        <v>799</v>
      </c>
      <c r="C522" s="4" t="s">
        <v>946</v>
      </c>
      <c r="D522" t="s">
        <v>1291</v>
      </c>
      <c r="E522" t="s">
        <v>1294</v>
      </c>
      <c r="F522" t="s">
        <v>1314</v>
      </c>
      <c r="G522" s="9">
        <v>252.56</v>
      </c>
      <c r="H522">
        <v>338.33</v>
      </c>
      <c r="I522">
        <v>-50.75</v>
      </c>
      <c r="J522">
        <v>245.37</v>
      </c>
      <c r="K522">
        <f t="shared" si="64"/>
        <v>338.33</v>
      </c>
      <c r="L522">
        <f t="shared" si="65"/>
        <v>389.08</v>
      </c>
      <c r="M522">
        <f t="shared" si="66"/>
        <v>-50.75</v>
      </c>
      <c r="N522" t="str">
        <f t="shared" si="67"/>
        <v>Target Direct Online</v>
      </c>
      <c r="O522" t="str">
        <f t="shared" si="68"/>
        <v>Online Shopping</v>
      </c>
      <c r="P522" t="str">
        <f t="shared" si="69"/>
        <v>Withdrawal</v>
      </c>
      <c r="Q522">
        <f t="shared" si="70"/>
        <v>252.56</v>
      </c>
      <c r="R522">
        <f t="shared" si="71"/>
        <v>7.1899999999999977</v>
      </c>
    </row>
    <row r="523" spans="1:18" x14ac:dyDescent="0.3">
      <c r="A523" t="s">
        <v>531</v>
      </c>
      <c r="B523" t="s">
        <v>890</v>
      </c>
      <c r="C523" s="4" t="s">
        <v>1047</v>
      </c>
      <c r="D523" t="s">
        <v>1291</v>
      </c>
      <c r="E523" t="s">
        <v>1298</v>
      </c>
      <c r="F523" t="s">
        <v>1310</v>
      </c>
      <c r="G523" s="9">
        <v>39.79</v>
      </c>
      <c r="H523">
        <v>48.54</v>
      </c>
      <c r="I523">
        <v>-7.28</v>
      </c>
      <c r="J523">
        <v>36.450000000000003</v>
      </c>
      <c r="K523">
        <f t="shared" si="64"/>
        <v>48.54</v>
      </c>
      <c r="L523">
        <f t="shared" si="65"/>
        <v>55.82</v>
      </c>
      <c r="M523">
        <f t="shared" si="66"/>
        <v>-7.28</v>
      </c>
      <c r="N523" t="str">
        <f t="shared" si="67"/>
        <v>Zelle Payment Engine</v>
      </c>
      <c r="O523" t="str">
        <f t="shared" si="68"/>
        <v>Transfer</v>
      </c>
      <c r="P523" t="str">
        <f t="shared" si="69"/>
        <v>Withdrawal</v>
      </c>
      <c r="Q523">
        <f t="shared" si="70"/>
        <v>39.79</v>
      </c>
      <c r="R523">
        <f t="shared" si="71"/>
        <v>3.3399999999999963</v>
      </c>
    </row>
    <row r="524" spans="1:18" x14ac:dyDescent="0.3">
      <c r="A524" t="s">
        <v>532</v>
      </c>
      <c r="B524" t="s">
        <v>835</v>
      </c>
      <c r="C524" s="4" t="s">
        <v>982</v>
      </c>
      <c r="D524" t="s">
        <v>1292</v>
      </c>
      <c r="E524" t="s">
        <v>1298</v>
      </c>
      <c r="F524" t="s">
        <v>1317</v>
      </c>
      <c r="G524" s="9">
        <v>966.75</v>
      </c>
      <c r="H524">
        <v>1207.29</v>
      </c>
      <c r="I524">
        <v>240.54</v>
      </c>
      <c r="J524">
        <v>883.76</v>
      </c>
      <c r="K524">
        <f t="shared" si="64"/>
        <v>1207.29</v>
      </c>
      <c r="L524">
        <f t="shared" si="65"/>
        <v>966.75</v>
      </c>
      <c r="M524">
        <f t="shared" si="66"/>
        <v>240.54</v>
      </c>
      <c r="N524" t="str">
        <f t="shared" si="67"/>
        <v>External Wire Clearance</v>
      </c>
      <c r="O524" t="str">
        <f t="shared" si="68"/>
        <v>Transfer</v>
      </c>
      <c r="P524" t="str">
        <f t="shared" si="69"/>
        <v>Deposit</v>
      </c>
      <c r="Q524">
        <f t="shared" si="70"/>
        <v>966.75</v>
      </c>
      <c r="R524">
        <f t="shared" si="71"/>
        <v>82.990000000000009</v>
      </c>
    </row>
    <row r="525" spans="1:18" x14ac:dyDescent="0.3">
      <c r="A525" t="s">
        <v>533</v>
      </c>
      <c r="B525" t="s">
        <v>895</v>
      </c>
      <c r="C525" s="4" t="s">
        <v>1005</v>
      </c>
      <c r="D525" t="s">
        <v>1291</v>
      </c>
      <c r="E525" t="s">
        <v>1295</v>
      </c>
      <c r="F525" t="s">
        <v>1304</v>
      </c>
      <c r="G525" s="9">
        <v>1173.55</v>
      </c>
      <c r="H525">
        <v>1412.23</v>
      </c>
      <c r="I525">
        <v>-211.83</v>
      </c>
      <c r="J525">
        <v>1060.68</v>
      </c>
      <c r="K525">
        <f t="shared" si="64"/>
        <v>1412.23</v>
      </c>
      <c r="L525">
        <f t="shared" si="65"/>
        <v>1624.06</v>
      </c>
      <c r="M525">
        <f t="shared" si="66"/>
        <v>-211.83</v>
      </c>
      <c r="N525" t="str">
        <f t="shared" si="67"/>
        <v>Whole Foods Store</v>
      </c>
      <c r="O525" t="str">
        <f t="shared" si="68"/>
        <v>Groceries</v>
      </c>
      <c r="P525" t="str">
        <f t="shared" si="69"/>
        <v>Withdrawal</v>
      </c>
      <c r="Q525">
        <f t="shared" si="70"/>
        <v>1173.55</v>
      </c>
      <c r="R525">
        <f t="shared" si="71"/>
        <v>112.86999999999989</v>
      </c>
    </row>
    <row r="526" spans="1:18" x14ac:dyDescent="0.3">
      <c r="A526" t="s">
        <v>534</v>
      </c>
      <c r="B526" t="s">
        <v>887</v>
      </c>
      <c r="C526" s="4" t="s">
        <v>1094</v>
      </c>
      <c r="D526" t="s">
        <v>1291</v>
      </c>
      <c r="E526" t="s">
        <v>1295</v>
      </c>
      <c r="F526" t="s">
        <v>1313</v>
      </c>
      <c r="G526" s="9">
        <v>1102.52</v>
      </c>
      <c r="H526">
        <v>1331.47</v>
      </c>
      <c r="I526">
        <v>-199.72</v>
      </c>
      <c r="J526">
        <v>1166.24</v>
      </c>
      <c r="K526">
        <f t="shared" si="64"/>
        <v>1331.47</v>
      </c>
      <c r="L526">
        <f t="shared" si="65"/>
        <v>1531.19</v>
      </c>
      <c r="M526">
        <f t="shared" si="66"/>
        <v>-199.72</v>
      </c>
      <c r="N526" t="str">
        <f t="shared" si="67"/>
        <v>Fresh &amp; Fast Logistics</v>
      </c>
      <c r="O526" t="str">
        <f t="shared" si="68"/>
        <v>Groceries</v>
      </c>
      <c r="P526" t="str">
        <f t="shared" si="69"/>
        <v>Withdrawal</v>
      </c>
      <c r="Q526">
        <f t="shared" si="70"/>
        <v>1102.52</v>
      </c>
      <c r="R526">
        <f t="shared" si="71"/>
        <v>-63.720000000000027</v>
      </c>
    </row>
    <row r="527" spans="1:18" x14ac:dyDescent="0.3">
      <c r="A527" t="s">
        <v>535</v>
      </c>
      <c r="B527" t="s">
        <v>818</v>
      </c>
      <c r="C527" s="4" t="s">
        <v>951</v>
      </c>
      <c r="D527" t="s">
        <v>1291</v>
      </c>
      <c r="E527" t="s">
        <v>1297</v>
      </c>
      <c r="F527" t="s">
        <v>1305</v>
      </c>
      <c r="H527">
        <v>121.7</v>
      </c>
      <c r="I527">
        <v>-18.25</v>
      </c>
      <c r="J527">
        <v>119.13</v>
      </c>
      <c r="K527">
        <f t="shared" si="64"/>
        <v>121.7</v>
      </c>
      <c r="L527">
        <f t="shared" si="65"/>
        <v>139.94999999999999</v>
      </c>
      <c r="M527">
        <f t="shared" si="66"/>
        <v>-18.25</v>
      </c>
      <c r="N527" t="str">
        <f t="shared" si="67"/>
        <v>Mcdonalds Corp Express</v>
      </c>
      <c r="O527" t="str">
        <f t="shared" si="68"/>
        <v>Dining Out</v>
      </c>
      <c r="P527" t="str">
        <f t="shared" si="69"/>
        <v>Withdrawal</v>
      </c>
      <c r="Q527">
        <f t="shared" si="70"/>
        <v>1219.4163333333336</v>
      </c>
      <c r="R527">
        <f t="shared" si="71"/>
        <v>1100.2863333333335</v>
      </c>
    </row>
    <row r="528" spans="1:18" x14ac:dyDescent="0.3">
      <c r="A528" t="s">
        <v>536</v>
      </c>
      <c r="B528" t="s">
        <v>847</v>
      </c>
      <c r="C528" s="4" t="s">
        <v>1101</v>
      </c>
      <c r="D528" t="s">
        <v>1291</v>
      </c>
      <c r="E528" t="s">
        <v>1296</v>
      </c>
      <c r="F528" t="s">
        <v>1303</v>
      </c>
      <c r="G528" s="9">
        <v>4636.45</v>
      </c>
      <c r="H528">
        <v>6468.03</v>
      </c>
      <c r="I528">
        <v>-970.2</v>
      </c>
      <c r="J528">
        <v>4906.58</v>
      </c>
      <c r="K528">
        <f t="shared" si="64"/>
        <v>6468.03</v>
      </c>
      <c r="L528">
        <f t="shared" si="65"/>
        <v>7438.23</v>
      </c>
      <c r="M528">
        <f t="shared" si="66"/>
        <v>-970.2</v>
      </c>
      <c r="N528" t="str">
        <f t="shared" si="67"/>
        <v>Global Industries Llc</v>
      </c>
      <c r="O528" t="str">
        <f t="shared" si="68"/>
        <v>Salary</v>
      </c>
      <c r="P528" t="str">
        <f t="shared" si="69"/>
        <v>Withdrawal</v>
      </c>
      <c r="Q528">
        <f t="shared" si="70"/>
        <v>4636.45</v>
      </c>
      <c r="R528">
        <f t="shared" si="71"/>
        <v>-270.13000000000011</v>
      </c>
    </row>
    <row r="529" spans="1:18" x14ac:dyDescent="0.3">
      <c r="A529" t="s">
        <v>537</v>
      </c>
      <c r="B529" t="s">
        <v>919</v>
      </c>
      <c r="C529" s="4" t="s">
        <v>1232</v>
      </c>
      <c r="D529" t="s">
        <v>1292</v>
      </c>
      <c r="E529" t="s">
        <v>1298</v>
      </c>
      <c r="F529" t="s">
        <v>1306</v>
      </c>
      <c r="G529" s="9">
        <v>803.58</v>
      </c>
      <c r="H529">
        <v>962.39</v>
      </c>
      <c r="I529">
        <v>158.81</v>
      </c>
      <c r="J529">
        <v>872.66</v>
      </c>
      <c r="K529">
        <f t="shared" si="64"/>
        <v>962.39</v>
      </c>
      <c r="L529">
        <f t="shared" si="65"/>
        <v>803.57999999999993</v>
      </c>
      <c r="M529">
        <f t="shared" si="66"/>
        <v>158.81</v>
      </c>
      <c r="N529" t="str">
        <f t="shared" si="67"/>
        <v>Internal P2P Route</v>
      </c>
      <c r="O529" t="str">
        <f t="shared" si="68"/>
        <v>Transfer</v>
      </c>
      <c r="P529" t="str">
        <f t="shared" si="69"/>
        <v>Deposit</v>
      </c>
      <c r="Q529">
        <f t="shared" si="70"/>
        <v>803.58</v>
      </c>
      <c r="R529">
        <f t="shared" si="71"/>
        <v>-69.079999999999927</v>
      </c>
    </row>
    <row r="530" spans="1:18" x14ac:dyDescent="0.3">
      <c r="A530" t="s">
        <v>538</v>
      </c>
      <c r="B530" t="s">
        <v>858</v>
      </c>
      <c r="C530" s="4" t="s">
        <v>1197</v>
      </c>
      <c r="D530" t="s">
        <v>1291</v>
      </c>
      <c r="E530" t="s">
        <v>1293</v>
      </c>
      <c r="F530" t="s">
        <v>1320</v>
      </c>
      <c r="G530" s="9">
        <v>359.89</v>
      </c>
      <c r="H530">
        <v>493.06</v>
      </c>
      <c r="I530">
        <v>-73.959999999999994</v>
      </c>
      <c r="J530">
        <v>406.94</v>
      </c>
      <c r="K530">
        <f t="shared" si="64"/>
        <v>493.06</v>
      </c>
      <c r="L530">
        <f t="shared" si="65"/>
        <v>567.02</v>
      </c>
      <c r="M530">
        <f t="shared" si="66"/>
        <v>-73.959999999999994</v>
      </c>
      <c r="N530" t="str">
        <f t="shared" si="67"/>
        <v>City Power &amp; Gas Co</v>
      </c>
      <c r="O530" t="str">
        <f t="shared" si="68"/>
        <v>Utilities</v>
      </c>
      <c r="P530" t="str">
        <f t="shared" si="69"/>
        <v>Withdrawal</v>
      </c>
      <c r="Q530">
        <f t="shared" si="70"/>
        <v>359.89</v>
      </c>
      <c r="R530">
        <f t="shared" si="71"/>
        <v>-47.050000000000011</v>
      </c>
    </row>
    <row r="531" spans="1:18" x14ac:dyDescent="0.3">
      <c r="A531" t="s">
        <v>539</v>
      </c>
      <c r="B531" t="s">
        <v>922</v>
      </c>
      <c r="C531" s="4" t="s">
        <v>1202</v>
      </c>
      <c r="D531" t="s">
        <v>1291</v>
      </c>
      <c r="E531" t="s">
        <v>1293</v>
      </c>
      <c r="F531" t="s">
        <v>1320</v>
      </c>
      <c r="G531" s="9">
        <v>1081.57</v>
      </c>
      <c r="H531">
        <v>1443.46</v>
      </c>
      <c r="I531">
        <v>-216.52</v>
      </c>
      <c r="J531">
        <v>1095.77</v>
      </c>
      <c r="K531">
        <f t="shared" si="64"/>
        <v>1443.46</v>
      </c>
      <c r="L531">
        <f t="shared" si="65"/>
        <v>1659.98</v>
      </c>
      <c r="M531">
        <f t="shared" si="66"/>
        <v>-216.52</v>
      </c>
      <c r="N531" t="str">
        <f t="shared" si="67"/>
        <v>City Power &amp; Gas Co</v>
      </c>
      <c r="O531" t="str">
        <f t="shared" si="68"/>
        <v>Utilities</v>
      </c>
      <c r="P531" t="str">
        <f t="shared" si="69"/>
        <v>Withdrawal</v>
      </c>
      <c r="Q531">
        <f t="shared" si="70"/>
        <v>1081.57</v>
      </c>
      <c r="R531">
        <f t="shared" si="71"/>
        <v>-14.200000000000045</v>
      </c>
    </row>
    <row r="532" spans="1:18" x14ac:dyDescent="0.3">
      <c r="A532" t="s">
        <v>540</v>
      </c>
      <c r="B532" t="s">
        <v>840</v>
      </c>
      <c r="C532" s="4" t="s">
        <v>1233</v>
      </c>
      <c r="D532" t="s">
        <v>1291</v>
      </c>
      <c r="E532" t="s">
        <v>1293</v>
      </c>
      <c r="F532" t="s">
        <v>1300</v>
      </c>
      <c r="G532" s="9">
        <v>1013.46</v>
      </c>
      <c r="H532">
        <v>1190.29</v>
      </c>
      <c r="I532">
        <v>-178.54</v>
      </c>
      <c r="J532">
        <v>986.46</v>
      </c>
      <c r="K532">
        <f t="shared" si="64"/>
        <v>1190.29</v>
      </c>
      <c r="L532">
        <f t="shared" si="65"/>
        <v>1368.83</v>
      </c>
      <c r="M532">
        <f t="shared" si="66"/>
        <v>-178.54</v>
      </c>
      <c r="N532" t="str">
        <f t="shared" si="67"/>
        <v>State Hydro Grid</v>
      </c>
      <c r="O532" t="str">
        <f t="shared" si="68"/>
        <v>Utilities</v>
      </c>
      <c r="P532" t="str">
        <f t="shared" si="69"/>
        <v>Withdrawal</v>
      </c>
      <c r="Q532">
        <f t="shared" si="70"/>
        <v>1013.46</v>
      </c>
      <c r="R532">
        <f t="shared" si="71"/>
        <v>27</v>
      </c>
    </row>
    <row r="533" spans="1:18" x14ac:dyDescent="0.3">
      <c r="A533" t="s">
        <v>541</v>
      </c>
      <c r="B533" t="s">
        <v>839</v>
      </c>
      <c r="C533" s="4" t="s">
        <v>1004</v>
      </c>
      <c r="D533" t="s">
        <v>1291</v>
      </c>
      <c r="E533" t="s">
        <v>1295</v>
      </c>
      <c r="F533" t="s">
        <v>1304</v>
      </c>
      <c r="G533" s="9">
        <v>792.16</v>
      </c>
      <c r="H533">
        <v>992.87</v>
      </c>
      <c r="I533">
        <v>-148.93</v>
      </c>
      <c r="J533">
        <v>732.43</v>
      </c>
      <c r="K533">
        <f t="shared" si="64"/>
        <v>992.87</v>
      </c>
      <c r="L533">
        <f t="shared" si="65"/>
        <v>1141.8</v>
      </c>
      <c r="M533">
        <f t="shared" si="66"/>
        <v>-148.93</v>
      </c>
      <c r="N533" t="str">
        <f t="shared" si="67"/>
        <v>Whole Foods Store</v>
      </c>
      <c r="O533" t="str">
        <f t="shared" si="68"/>
        <v>Groceries</v>
      </c>
      <c r="P533" t="str">
        <f t="shared" si="69"/>
        <v>Withdrawal</v>
      </c>
      <c r="Q533">
        <f t="shared" si="70"/>
        <v>792.16</v>
      </c>
      <c r="R533">
        <f t="shared" si="71"/>
        <v>59.730000000000018</v>
      </c>
    </row>
    <row r="534" spans="1:18" x14ac:dyDescent="0.3">
      <c r="A534" t="s">
        <v>542</v>
      </c>
      <c r="B534" t="s">
        <v>812</v>
      </c>
      <c r="C534" s="4" t="s">
        <v>1014</v>
      </c>
      <c r="D534" t="s">
        <v>1292</v>
      </c>
      <c r="E534" t="s">
        <v>1297</v>
      </c>
      <c r="F534" t="s">
        <v>1319</v>
      </c>
      <c r="G534" s="9">
        <v>150.63</v>
      </c>
      <c r="H534">
        <v>186.79</v>
      </c>
      <c r="I534">
        <v>36.159999999999997</v>
      </c>
      <c r="J534">
        <v>160.22</v>
      </c>
      <c r="K534">
        <f t="shared" si="64"/>
        <v>186.79</v>
      </c>
      <c r="L534">
        <f t="shared" si="65"/>
        <v>150.63</v>
      </c>
      <c r="M534">
        <f t="shared" si="66"/>
        <v>36.159999999999997</v>
      </c>
      <c r="N534" t="str">
        <f t="shared" si="67"/>
        <v>Starbucks Hub Cafe</v>
      </c>
      <c r="O534" t="str">
        <f t="shared" si="68"/>
        <v>Dining Out</v>
      </c>
      <c r="P534" t="str">
        <f t="shared" si="69"/>
        <v>Deposit</v>
      </c>
      <c r="Q534">
        <f t="shared" si="70"/>
        <v>150.63</v>
      </c>
      <c r="R534">
        <f t="shared" si="71"/>
        <v>-9.5900000000000034</v>
      </c>
    </row>
    <row r="535" spans="1:18" x14ac:dyDescent="0.3">
      <c r="A535" t="s">
        <v>543</v>
      </c>
      <c r="B535" t="s">
        <v>793</v>
      </c>
      <c r="C535" s="4" t="s">
        <v>1193</v>
      </c>
      <c r="D535" t="s">
        <v>1292</v>
      </c>
      <c r="E535" t="s">
        <v>1293</v>
      </c>
      <c r="F535" t="s">
        <v>1320</v>
      </c>
      <c r="G535" s="9">
        <v>594.22</v>
      </c>
      <c r="H535">
        <v>822.1</v>
      </c>
      <c r="I535">
        <v>227.88</v>
      </c>
      <c r="J535">
        <v>581.28</v>
      </c>
      <c r="K535">
        <f t="shared" si="64"/>
        <v>822.1</v>
      </c>
      <c r="L535">
        <f t="shared" si="65"/>
        <v>594.22</v>
      </c>
      <c r="M535">
        <f t="shared" si="66"/>
        <v>227.88</v>
      </c>
      <c r="N535" t="str">
        <f t="shared" si="67"/>
        <v>City Power &amp; Gas Co</v>
      </c>
      <c r="O535" t="str">
        <f t="shared" si="68"/>
        <v>Utilities</v>
      </c>
      <c r="P535" t="str">
        <f t="shared" si="69"/>
        <v>Deposit</v>
      </c>
      <c r="Q535">
        <f t="shared" si="70"/>
        <v>594.22</v>
      </c>
      <c r="R535">
        <f t="shared" si="71"/>
        <v>12.940000000000055</v>
      </c>
    </row>
    <row r="536" spans="1:18" x14ac:dyDescent="0.3">
      <c r="A536" t="s">
        <v>544</v>
      </c>
      <c r="B536" t="s">
        <v>921</v>
      </c>
      <c r="C536" s="4" t="s">
        <v>1034</v>
      </c>
      <c r="D536" t="s">
        <v>1292</v>
      </c>
      <c r="E536" t="s">
        <v>1296</v>
      </c>
      <c r="F536" t="s">
        <v>1307</v>
      </c>
      <c r="G536" s="9">
        <v>5612.19</v>
      </c>
      <c r="H536">
        <v>7807.43</v>
      </c>
      <c r="I536">
        <v>2195.2399999999998</v>
      </c>
      <c r="J536">
        <v>6565.51</v>
      </c>
      <c r="K536">
        <f t="shared" si="64"/>
        <v>7807.43</v>
      </c>
      <c r="L536">
        <f t="shared" si="65"/>
        <v>5612.1900000000005</v>
      </c>
      <c r="M536">
        <f t="shared" si="66"/>
        <v>2195.2399999999998</v>
      </c>
      <c r="N536" t="str">
        <f t="shared" si="67"/>
        <v>Techcorp Payroll Inc</v>
      </c>
      <c r="O536" t="str">
        <f t="shared" si="68"/>
        <v>Salary</v>
      </c>
      <c r="P536" t="str">
        <f t="shared" si="69"/>
        <v>Deposit</v>
      </c>
      <c r="Q536">
        <f t="shared" si="70"/>
        <v>5612.19</v>
      </c>
      <c r="R536">
        <f t="shared" si="71"/>
        <v>-953.32000000000062</v>
      </c>
    </row>
    <row r="537" spans="1:18" x14ac:dyDescent="0.3">
      <c r="A537" t="s">
        <v>545</v>
      </c>
      <c r="B537" t="s">
        <v>900</v>
      </c>
      <c r="C537" s="4" t="s">
        <v>1154</v>
      </c>
      <c r="D537" t="s">
        <v>1291</v>
      </c>
      <c r="E537" t="s">
        <v>1294</v>
      </c>
      <c r="F537" t="s">
        <v>1315</v>
      </c>
      <c r="G537" s="9">
        <v>579.21</v>
      </c>
      <c r="H537">
        <v>692.02</v>
      </c>
      <c r="I537">
        <v>-103.8</v>
      </c>
      <c r="J537">
        <v>613.57000000000005</v>
      </c>
      <c r="K537">
        <f t="shared" si="64"/>
        <v>692.02</v>
      </c>
      <c r="L537">
        <f t="shared" si="65"/>
        <v>795.81999999999994</v>
      </c>
      <c r="M537">
        <f t="shared" si="66"/>
        <v>-103.8</v>
      </c>
      <c r="N537" t="str">
        <f t="shared" si="67"/>
        <v>Ebay International</v>
      </c>
      <c r="O537" t="str">
        <f t="shared" si="68"/>
        <v>Online Shopping</v>
      </c>
      <c r="P537" t="str">
        <f t="shared" si="69"/>
        <v>Withdrawal</v>
      </c>
      <c r="Q537">
        <f t="shared" si="70"/>
        <v>579.21</v>
      </c>
      <c r="R537">
        <f t="shared" si="71"/>
        <v>-34.360000000000014</v>
      </c>
    </row>
    <row r="538" spans="1:18" x14ac:dyDescent="0.3">
      <c r="A538" t="s">
        <v>546</v>
      </c>
      <c r="B538" t="s">
        <v>880</v>
      </c>
      <c r="C538" s="4" t="s">
        <v>1211</v>
      </c>
      <c r="D538" t="s">
        <v>1292</v>
      </c>
      <c r="E538" t="s">
        <v>1298</v>
      </c>
      <c r="F538" t="s">
        <v>1317</v>
      </c>
      <c r="G538" s="9">
        <v>1101.3800000000001</v>
      </c>
      <c r="H538">
        <v>1456.47</v>
      </c>
      <c r="I538">
        <v>355.09</v>
      </c>
      <c r="J538">
        <v>1286.32</v>
      </c>
      <c r="K538">
        <f t="shared" si="64"/>
        <v>1456.47</v>
      </c>
      <c r="L538">
        <f t="shared" si="65"/>
        <v>1101.3800000000001</v>
      </c>
      <c r="M538">
        <f t="shared" si="66"/>
        <v>355.09</v>
      </c>
      <c r="N538" t="str">
        <f t="shared" si="67"/>
        <v>External Wire Clearance</v>
      </c>
      <c r="O538" t="str">
        <f t="shared" si="68"/>
        <v>Transfer</v>
      </c>
      <c r="P538" t="str">
        <f t="shared" si="69"/>
        <v>Deposit</v>
      </c>
      <c r="Q538">
        <f t="shared" si="70"/>
        <v>1101.3800000000001</v>
      </c>
      <c r="R538">
        <f t="shared" si="71"/>
        <v>-184.93999999999983</v>
      </c>
    </row>
    <row r="539" spans="1:18" x14ac:dyDescent="0.3">
      <c r="A539" t="s">
        <v>547</v>
      </c>
      <c r="B539" t="s">
        <v>929</v>
      </c>
      <c r="C539" s="4" t="s">
        <v>1210</v>
      </c>
      <c r="D539" t="s">
        <v>1291</v>
      </c>
      <c r="E539" t="s">
        <v>1299</v>
      </c>
      <c r="F539" t="s">
        <v>1312</v>
      </c>
      <c r="H539">
        <v>136.59</v>
      </c>
      <c r="I539">
        <v>-20.49</v>
      </c>
      <c r="J539">
        <v>103.89</v>
      </c>
      <c r="K539">
        <f t="shared" si="64"/>
        <v>136.59</v>
      </c>
      <c r="L539">
        <f t="shared" si="65"/>
        <v>157.08000000000001</v>
      </c>
      <c r="M539">
        <f t="shared" si="66"/>
        <v>-20.49</v>
      </c>
      <c r="N539" t="str">
        <f t="shared" si="67"/>
        <v>Netflix Streaming Premium</v>
      </c>
      <c r="O539" t="str">
        <f t="shared" si="68"/>
        <v>Entertainment</v>
      </c>
      <c r="P539" t="str">
        <f t="shared" si="69"/>
        <v>Withdrawal</v>
      </c>
      <c r="Q539">
        <f t="shared" si="70"/>
        <v>1219.4163333333336</v>
      </c>
      <c r="R539">
        <f t="shared" si="71"/>
        <v>1115.5263333333335</v>
      </c>
    </row>
    <row r="540" spans="1:18" x14ac:dyDescent="0.3">
      <c r="A540" t="s">
        <v>548</v>
      </c>
      <c r="B540" t="s">
        <v>930</v>
      </c>
      <c r="C540" s="4" t="s">
        <v>1188</v>
      </c>
      <c r="D540" t="s">
        <v>1292</v>
      </c>
      <c r="E540" t="s">
        <v>1299</v>
      </c>
      <c r="F540" t="s">
        <v>1316</v>
      </c>
      <c r="G540" s="9">
        <v>45.94</v>
      </c>
      <c r="H540">
        <v>61.23</v>
      </c>
      <c r="I540">
        <v>15.29</v>
      </c>
      <c r="J540">
        <v>51.77</v>
      </c>
      <c r="K540">
        <f t="shared" si="64"/>
        <v>61.23</v>
      </c>
      <c r="L540">
        <f t="shared" si="65"/>
        <v>45.94</v>
      </c>
      <c r="M540">
        <f t="shared" si="66"/>
        <v>15.29</v>
      </c>
      <c r="N540" t="str">
        <f t="shared" si="67"/>
        <v>Amc Cinema Network</v>
      </c>
      <c r="O540" t="str">
        <f t="shared" si="68"/>
        <v>Entertainment</v>
      </c>
      <c r="P540" t="str">
        <f t="shared" si="69"/>
        <v>Deposit</v>
      </c>
      <c r="Q540">
        <f t="shared" si="70"/>
        <v>45.94</v>
      </c>
      <c r="R540">
        <f t="shared" si="71"/>
        <v>-5.8300000000000054</v>
      </c>
    </row>
    <row r="541" spans="1:18" x14ac:dyDescent="0.3">
      <c r="A541" t="s">
        <v>549</v>
      </c>
      <c r="B541" t="s">
        <v>825</v>
      </c>
      <c r="C541" s="4" t="s">
        <v>1226</v>
      </c>
      <c r="D541" t="s">
        <v>1291</v>
      </c>
      <c r="E541" t="s">
        <v>1298</v>
      </c>
      <c r="F541" t="s">
        <v>1317</v>
      </c>
      <c r="G541" s="9">
        <v>176.92</v>
      </c>
      <c r="H541">
        <v>238.47</v>
      </c>
      <c r="I541">
        <v>-35.770000000000003</v>
      </c>
      <c r="J541">
        <v>164.6</v>
      </c>
      <c r="K541">
        <f t="shared" si="64"/>
        <v>238.47</v>
      </c>
      <c r="L541">
        <f t="shared" si="65"/>
        <v>274.24</v>
      </c>
      <c r="M541">
        <f t="shared" si="66"/>
        <v>-35.770000000000003</v>
      </c>
      <c r="N541" t="str">
        <f t="shared" si="67"/>
        <v>External Wire Clearance</v>
      </c>
      <c r="O541" t="str">
        <f t="shared" si="68"/>
        <v>Transfer</v>
      </c>
      <c r="P541" t="str">
        <f t="shared" si="69"/>
        <v>Withdrawal</v>
      </c>
      <c r="Q541">
        <f t="shared" si="70"/>
        <v>176.92</v>
      </c>
      <c r="R541">
        <f t="shared" si="71"/>
        <v>12.319999999999993</v>
      </c>
    </row>
    <row r="542" spans="1:18" x14ac:dyDescent="0.3">
      <c r="A542" t="s">
        <v>550</v>
      </c>
      <c r="B542" t="s">
        <v>862</v>
      </c>
      <c r="C542" s="4" t="s">
        <v>1179</v>
      </c>
      <c r="D542" t="s">
        <v>1291</v>
      </c>
      <c r="E542" t="s">
        <v>1299</v>
      </c>
      <c r="F542" t="s">
        <v>1316</v>
      </c>
      <c r="G542" s="9">
        <v>595.24</v>
      </c>
      <c r="H542">
        <v>786.72</v>
      </c>
      <c r="I542">
        <v>-118.01</v>
      </c>
      <c r="J542">
        <v>607.47</v>
      </c>
      <c r="K542">
        <f t="shared" si="64"/>
        <v>786.72</v>
      </c>
      <c r="L542">
        <f t="shared" si="65"/>
        <v>904.73</v>
      </c>
      <c r="M542">
        <f t="shared" si="66"/>
        <v>-118.01</v>
      </c>
      <c r="N542" t="str">
        <f t="shared" si="67"/>
        <v>Amc Cinema Network</v>
      </c>
      <c r="O542" t="str">
        <f t="shared" si="68"/>
        <v>Entertainment</v>
      </c>
      <c r="P542" t="str">
        <f t="shared" si="69"/>
        <v>Withdrawal</v>
      </c>
      <c r="Q542">
        <f t="shared" si="70"/>
        <v>595.24</v>
      </c>
      <c r="R542">
        <f t="shared" si="71"/>
        <v>-12.230000000000018</v>
      </c>
    </row>
    <row r="543" spans="1:18" x14ac:dyDescent="0.3">
      <c r="A543" t="s">
        <v>551</v>
      </c>
      <c r="B543" t="s">
        <v>901</v>
      </c>
      <c r="C543" s="4" t="s">
        <v>995</v>
      </c>
      <c r="D543" t="s">
        <v>1291</v>
      </c>
      <c r="E543" t="s">
        <v>1295</v>
      </c>
      <c r="F543" t="s">
        <v>1304</v>
      </c>
      <c r="G543" s="9">
        <v>648.41</v>
      </c>
      <c r="H543">
        <v>865.81</v>
      </c>
      <c r="I543">
        <v>-129.87</v>
      </c>
      <c r="J543">
        <v>587.37</v>
      </c>
      <c r="K543">
        <f t="shared" si="64"/>
        <v>865.81</v>
      </c>
      <c r="L543">
        <f t="shared" si="65"/>
        <v>995.68</v>
      </c>
      <c r="M543">
        <f t="shared" si="66"/>
        <v>-129.87</v>
      </c>
      <c r="N543" t="str">
        <f t="shared" si="67"/>
        <v>Whole Foods Store</v>
      </c>
      <c r="O543" t="str">
        <f t="shared" si="68"/>
        <v>Groceries</v>
      </c>
      <c r="P543" t="str">
        <f t="shared" si="69"/>
        <v>Withdrawal</v>
      </c>
      <c r="Q543">
        <f t="shared" si="70"/>
        <v>648.41</v>
      </c>
      <c r="R543">
        <f t="shared" si="71"/>
        <v>61.039999999999964</v>
      </c>
    </row>
    <row r="544" spans="1:18" x14ac:dyDescent="0.3">
      <c r="A544" t="s">
        <v>552</v>
      </c>
      <c r="B544" t="s">
        <v>805</v>
      </c>
      <c r="C544" s="4" t="s">
        <v>998</v>
      </c>
      <c r="D544" t="s">
        <v>1291</v>
      </c>
      <c r="E544" t="s">
        <v>1295</v>
      </c>
      <c r="F544" t="s">
        <v>1313</v>
      </c>
      <c r="G544" s="9">
        <v>819.91</v>
      </c>
      <c r="H544">
        <v>1031.3599999999999</v>
      </c>
      <c r="I544">
        <v>-154.69999999999999</v>
      </c>
      <c r="J544">
        <v>899.5</v>
      </c>
      <c r="K544">
        <f t="shared" si="64"/>
        <v>1031.3599999999999</v>
      </c>
      <c r="L544">
        <f t="shared" si="65"/>
        <v>1186.06</v>
      </c>
      <c r="M544">
        <f t="shared" si="66"/>
        <v>-154.69999999999999</v>
      </c>
      <c r="N544" t="str">
        <f t="shared" si="67"/>
        <v>Fresh &amp; Fast Logistics</v>
      </c>
      <c r="O544" t="str">
        <f t="shared" si="68"/>
        <v>Groceries</v>
      </c>
      <c r="P544" t="str">
        <f t="shared" si="69"/>
        <v>Withdrawal</v>
      </c>
      <c r="Q544">
        <f t="shared" si="70"/>
        <v>819.91</v>
      </c>
      <c r="R544">
        <f t="shared" si="71"/>
        <v>-79.590000000000032</v>
      </c>
    </row>
    <row r="545" spans="1:18" x14ac:dyDescent="0.3">
      <c r="A545" t="s">
        <v>553</v>
      </c>
      <c r="B545" t="s">
        <v>796</v>
      </c>
      <c r="C545" s="4" t="s">
        <v>1234</v>
      </c>
      <c r="D545" t="s">
        <v>1292</v>
      </c>
      <c r="E545" t="s">
        <v>1296</v>
      </c>
      <c r="F545" t="s">
        <v>1308</v>
      </c>
      <c r="H545">
        <v>135.03</v>
      </c>
      <c r="I545">
        <v>35.03</v>
      </c>
      <c r="J545">
        <v>113.36</v>
      </c>
      <c r="K545">
        <f t="shared" si="64"/>
        <v>135.03</v>
      </c>
      <c r="L545">
        <f t="shared" si="65"/>
        <v>100</v>
      </c>
      <c r="M545">
        <f t="shared" si="66"/>
        <v>35.03</v>
      </c>
      <c r="N545" t="str">
        <f t="shared" si="67"/>
        <v>Stark Retail Labs</v>
      </c>
      <c r="O545" t="str">
        <f t="shared" si="68"/>
        <v>Salary</v>
      </c>
      <c r="P545" t="str">
        <f t="shared" si="69"/>
        <v>Deposit</v>
      </c>
      <c r="Q545">
        <f t="shared" si="70"/>
        <v>1219.4163333333336</v>
      </c>
      <c r="R545">
        <f t="shared" si="71"/>
        <v>1106.0563333333337</v>
      </c>
    </row>
    <row r="546" spans="1:18" x14ac:dyDescent="0.3">
      <c r="A546" t="s">
        <v>554</v>
      </c>
      <c r="B546" t="s">
        <v>885</v>
      </c>
      <c r="C546" s="4" t="s">
        <v>965</v>
      </c>
      <c r="D546" t="s">
        <v>1292</v>
      </c>
      <c r="E546" t="s">
        <v>1294</v>
      </c>
      <c r="F546" t="s">
        <v>1301</v>
      </c>
      <c r="G546" s="9">
        <v>405.06</v>
      </c>
      <c r="H546">
        <v>535.37</v>
      </c>
      <c r="I546">
        <v>130.31</v>
      </c>
      <c r="J546">
        <v>384.21</v>
      </c>
      <c r="K546">
        <f t="shared" si="64"/>
        <v>535.37</v>
      </c>
      <c r="L546">
        <f t="shared" si="65"/>
        <v>405.06</v>
      </c>
      <c r="M546">
        <f t="shared" si="66"/>
        <v>130.31</v>
      </c>
      <c r="N546" t="str">
        <f t="shared" si="67"/>
        <v>Amazon Digital Supply</v>
      </c>
      <c r="O546" t="str">
        <f t="shared" si="68"/>
        <v>Online Shopping</v>
      </c>
      <c r="P546" t="str">
        <f t="shared" si="69"/>
        <v>Deposit</v>
      </c>
      <c r="Q546">
        <f t="shared" si="70"/>
        <v>405.06</v>
      </c>
      <c r="R546">
        <f t="shared" si="71"/>
        <v>20.850000000000023</v>
      </c>
    </row>
    <row r="547" spans="1:18" x14ac:dyDescent="0.3">
      <c r="A547" t="s">
        <v>555</v>
      </c>
      <c r="B547" t="s">
        <v>895</v>
      </c>
      <c r="C547" s="4" t="s">
        <v>1063</v>
      </c>
      <c r="D547" t="s">
        <v>1291</v>
      </c>
      <c r="E547" t="s">
        <v>1296</v>
      </c>
      <c r="F547" t="s">
        <v>1307</v>
      </c>
      <c r="G547" s="9">
        <v>8836.74</v>
      </c>
      <c r="H547">
        <v>11919.04</v>
      </c>
      <c r="I547">
        <v>-1787.86</v>
      </c>
      <c r="J547">
        <v>8714.92</v>
      </c>
      <c r="K547">
        <f t="shared" si="64"/>
        <v>11919.04</v>
      </c>
      <c r="L547">
        <f t="shared" si="65"/>
        <v>13706.900000000001</v>
      </c>
      <c r="M547">
        <f t="shared" si="66"/>
        <v>-1787.86</v>
      </c>
      <c r="N547" t="str">
        <f t="shared" si="67"/>
        <v>Techcorp Payroll Inc</v>
      </c>
      <c r="O547" t="str">
        <f t="shared" si="68"/>
        <v>Salary</v>
      </c>
      <c r="P547" t="str">
        <f t="shared" si="69"/>
        <v>Withdrawal</v>
      </c>
      <c r="Q547">
        <f t="shared" si="70"/>
        <v>8836.74</v>
      </c>
      <c r="R547">
        <f t="shared" si="71"/>
        <v>121.81999999999971</v>
      </c>
    </row>
    <row r="548" spans="1:18" x14ac:dyDescent="0.3">
      <c r="A548" t="s">
        <v>556</v>
      </c>
      <c r="B548" t="s">
        <v>834</v>
      </c>
      <c r="C548" s="4" t="s">
        <v>1074</v>
      </c>
      <c r="D548" t="s">
        <v>1292</v>
      </c>
      <c r="E548" t="s">
        <v>1298</v>
      </c>
      <c r="F548" t="s">
        <v>1317</v>
      </c>
      <c r="G548" s="9">
        <v>1158.1199999999999</v>
      </c>
      <c r="H548">
        <v>1372.34</v>
      </c>
      <c r="I548">
        <v>214.22</v>
      </c>
      <c r="J548">
        <v>1365.62</v>
      </c>
      <c r="K548">
        <f t="shared" si="64"/>
        <v>1372.34</v>
      </c>
      <c r="L548">
        <f t="shared" si="65"/>
        <v>1158.1199999999999</v>
      </c>
      <c r="M548">
        <f t="shared" si="66"/>
        <v>214.22</v>
      </c>
      <c r="N548" t="str">
        <f t="shared" si="67"/>
        <v>External Wire Clearance</v>
      </c>
      <c r="O548" t="str">
        <f t="shared" si="68"/>
        <v>Transfer</v>
      </c>
      <c r="P548" t="str">
        <f t="shared" si="69"/>
        <v>Deposit</v>
      </c>
      <c r="Q548">
        <f t="shared" si="70"/>
        <v>1158.1199999999999</v>
      </c>
      <c r="R548">
        <f t="shared" si="71"/>
        <v>-207.5</v>
      </c>
    </row>
    <row r="549" spans="1:18" x14ac:dyDescent="0.3">
      <c r="A549" t="s">
        <v>557</v>
      </c>
      <c r="B549" t="s">
        <v>861</v>
      </c>
      <c r="C549" s="4" t="s">
        <v>1235</v>
      </c>
      <c r="D549" t="s">
        <v>1291</v>
      </c>
      <c r="E549" t="s">
        <v>1294</v>
      </c>
      <c r="F549" t="s">
        <v>1315</v>
      </c>
      <c r="G549" s="9">
        <v>1106.2</v>
      </c>
      <c r="H549">
        <v>1415.4</v>
      </c>
      <c r="I549">
        <v>-212.31</v>
      </c>
      <c r="J549">
        <v>1145.01</v>
      </c>
      <c r="K549">
        <f t="shared" si="64"/>
        <v>1415.4</v>
      </c>
      <c r="L549">
        <f t="shared" si="65"/>
        <v>1627.71</v>
      </c>
      <c r="M549">
        <f t="shared" si="66"/>
        <v>-212.31</v>
      </c>
      <c r="N549" t="str">
        <f t="shared" si="67"/>
        <v>Ebay International</v>
      </c>
      <c r="O549" t="str">
        <f t="shared" si="68"/>
        <v>Online Shopping</v>
      </c>
      <c r="P549" t="str">
        <f t="shared" si="69"/>
        <v>Withdrawal</v>
      </c>
      <c r="Q549">
        <f t="shared" si="70"/>
        <v>1106.2</v>
      </c>
      <c r="R549">
        <f t="shared" si="71"/>
        <v>-38.809999999999945</v>
      </c>
    </row>
    <row r="550" spans="1:18" x14ac:dyDescent="0.3">
      <c r="A550" t="s">
        <v>558</v>
      </c>
      <c r="B550" t="s">
        <v>788</v>
      </c>
      <c r="C550" s="4" t="s">
        <v>1036</v>
      </c>
      <c r="D550" t="s">
        <v>1292</v>
      </c>
      <c r="E550" t="s">
        <v>1293</v>
      </c>
      <c r="F550" t="s">
        <v>1320</v>
      </c>
      <c r="H550">
        <v>117.88</v>
      </c>
      <c r="I550">
        <v>17.88</v>
      </c>
      <c r="J550">
        <v>109.74</v>
      </c>
      <c r="K550">
        <f t="shared" si="64"/>
        <v>117.88</v>
      </c>
      <c r="L550">
        <f t="shared" si="65"/>
        <v>100</v>
      </c>
      <c r="M550">
        <f t="shared" si="66"/>
        <v>17.88</v>
      </c>
      <c r="N550" t="str">
        <f t="shared" si="67"/>
        <v>City Power &amp; Gas Co</v>
      </c>
      <c r="O550" t="str">
        <f t="shared" si="68"/>
        <v>Utilities</v>
      </c>
      <c r="P550" t="str">
        <f t="shared" si="69"/>
        <v>Deposit</v>
      </c>
      <c r="Q550">
        <f t="shared" si="70"/>
        <v>1219.4163333333336</v>
      </c>
      <c r="R550">
        <f t="shared" si="71"/>
        <v>1109.6763333333336</v>
      </c>
    </row>
    <row r="551" spans="1:18" x14ac:dyDescent="0.3">
      <c r="A551" t="s">
        <v>559</v>
      </c>
      <c r="B551" t="s">
        <v>864</v>
      </c>
      <c r="C551" s="4" t="s">
        <v>1226</v>
      </c>
      <c r="D551" t="s">
        <v>1291</v>
      </c>
      <c r="E551" t="s">
        <v>1299</v>
      </c>
      <c r="F551" t="s">
        <v>1312</v>
      </c>
      <c r="G551" s="9">
        <v>607.41</v>
      </c>
      <c r="H551">
        <v>760.34</v>
      </c>
      <c r="I551">
        <v>-114.05</v>
      </c>
      <c r="J551">
        <v>695.56</v>
      </c>
      <c r="K551">
        <f t="shared" si="64"/>
        <v>760.34</v>
      </c>
      <c r="L551">
        <f t="shared" si="65"/>
        <v>874.39</v>
      </c>
      <c r="M551">
        <f t="shared" si="66"/>
        <v>-114.05</v>
      </c>
      <c r="N551" t="str">
        <f t="shared" si="67"/>
        <v>Netflix Streaming Premium</v>
      </c>
      <c r="O551" t="str">
        <f t="shared" si="68"/>
        <v>Entertainment</v>
      </c>
      <c r="P551" t="str">
        <f t="shared" si="69"/>
        <v>Withdrawal</v>
      </c>
      <c r="Q551">
        <f t="shared" si="70"/>
        <v>607.41</v>
      </c>
      <c r="R551">
        <f t="shared" si="71"/>
        <v>-88.149999999999977</v>
      </c>
    </row>
    <row r="552" spans="1:18" x14ac:dyDescent="0.3">
      <c r="A552" t="s">
        <v>560</v>
      </c>
      <c r="B552" t="s">
        <v>855</v>
      </c>
      <c r="C552" s="4" t="s">
        <v>1079</v>
      </c>
      <c r="D552" t="s">
        <v>1291</v>
      </c>
      <c r="E552" t="s">
        <v>1297</v>
      </c>
      <c r="F552" t="s">
        <v>1305</v>
      </c>
      <c r="G552" s="9">
        <v>587.61</v>
      </c>
      <c r="H552">
        <v>731.49</v>
      </c>
      <c r="I552">
        <v>-109.72</v>
      </c>
      <c r="J552">
        <v>619.21</v>
      </c>
      <c r="K552">
        <f t="shared" si="64"/>
        <v>731.49</v>
      </c>
      <c r="L552">
        <f t="shared" si="65"/>
        <v>841.21</v>
      </c>
      <c r="M552">
        <f t="shared" si="66"/>
        <v>-109.72</v>
      </c>
      <c r="N552" t="str">
        <f t="shared" si="67"/>
        <v>Mcdonalds Corp Express</v>
      </c>
      <c r="O552" t="str">
        <f t="shared" si="68"/>
        <v>Dining Out</v>
      </c>
      <c r="P552" t="str">
        <f t="shared" si="69"/>
        <v>Withdrawal</v>
      </c>
      <c r="Q552">
        <f t="shared" si="70"/>
        <v>587.61</v>
      </c>
      <c r="R552">
        <f t="shared" si="71"/>
        <v>-31.600000000000023</v>
      </c>
    </row>
    <row r="553" spans="1:18" x14ac:dyDescent="0.3">
      <c r="A553" t="s">
        <v>561</v>
      </c>
      <c r="B553" t="s">
        <v>837</v>
      </c>
      <c r="C553" s="4" t="s">
        <v>1058</v>
      </c>
      <c r="D553" t="s">
        <v>1292</v>
      </c>
      <c r="E553" t="s">
        <v>1294</v>
      </c>
      <c r="F553" t="s">
        <v>1314</v>
      </c>
      <c r="G553" s="9">
        <v>888.84</v>
      </c>
      <c r="H553">
        <v>1064.07</v>
      </c>
      <c r="J553">
        <v>910.2</v>
      </c>
      <c r="K553">
        <f t="shared" si="64"/>
        <v>1064.07</v>
      </c>
      <c r="L553">
        <f t="shared" si="65"/>
        <v>1108.2529850746268</v>
      </c>
      <c r="M553">
        <f t="shared" si="66"/>
        <v>-44.182985074626863</v>
      </c>
      <c r="N553" t="str">
        <f t="shared" si="67"/>
        <v>Target Direct Online</v>
      </c>
      <c r="O553" t="str">
        <f t="shared" si="68"/>
        <v>Online Shopping</v>
      </c>
      <c r="P553" t="str">
        <f t="shared" si="69"/>
        <v>Deposit</v>
      </c>
      <c r="Q553">
        <f t="shared" si="70"/>
        <v>888.84</v>
      </c>
      <c r="R553">
        <f t="shared" si="71"/>
        <v>-21.360000000000014</v>
      </c>
    </row>
    <row r="554" spans="1:18" x14ac:dyDescent="0.3">
      <c r="A554" t="s">
        <v>562</v>
      </c>
      <c r="B554" t="s">
        <v>862</v>
      </c>
      <c r="C554" s="4" t="s">
        <v>1052</v>
      </c>
      <c r="D554" t="s">
        <v>1292</v>
      </c>
      <c r="E554" t="s">
        <v>1297</v>
      </c>
      <c r="F554" t="s">
        <v>1319</v>
      </c>
      <c r="G554" s="9">
        <v>42.78</v>
      </c>
      <c r="H554">
        <v>57.75</v>
      </c>
      <c r="I554">
        <v>14.97</v>
      </c>
      <c r="J554">
        <v>47.46</v>
      </c>
      <c r="K554">
        <f t="shared" si="64"/>
        <v>57.75</v>
      </c>
      <c r="L554">
        <f t="shared" si="65"/>
        <v>42.78</v>
      </c>
      <c r="M554">
        <f t="shared" si="66"/>
        <v>14.97</v>
      </c>
      <c r="N554" t="str">
        <f t="shared" si="67"/>
        <v>Starbucks Hub Cafe</v>
      </c>
      <c r="O554" t="str">
        <f t="shared" si="68"/>
        <v>Dining Out</v>
      </c>
      <c r="P554" t="str">
        <f t="shared" si="69"/>
        <v>Deposit</v>
      </c>
      <c r="Q554">
        <f t="shared" si="70"/>
        <v>42.78</v>
      </c>
      <c r="R554">
        <f t="shared" si="71"/>
        <v>-4.68</v>
      </c>
    </row>
    <row r="555" spans="1:18" x14ac:dyDescent="0.3">
      <c r="A555" t="s">
        <v>563</v>
      </c>
      <c r="B555" t="s">
        <v>843</v>
      </c>
      <c r="C555" s="4" t="s">
        <v>1236</v>
      </c>
      <c r="D555" t="s">
        <v>1292</v>
      </c>
      <c r="E555" t="s">
        <v>1298</v>
      </c>
      <c r="F555" t="s">
        <v>1317</v>
      </c>
      <c r="G555" s="9">
        <v>269.33999999999997</v>
      </c>
      <c r="H555">
        <v>321.56</v>
      </c>
      <c r="I555">
        <v>52.22</v>
      </c>
      <c r="J555">
        <v>317.61</v>
      </c>
      <c r="K555">
        <f t="shared" si="64"/>
        <v>321.56</v>
      </c>
      <c r="L555">
        <f t="shared" si="65"/>
        <v>269.34000000000003</v>
      </c>
      <c r="M555">
        <f t="shared" si="66"/>
        <v>52.22</v>
      </c>
      <c r="N555" t="str">
        <f t="shared" si="67"/>
        <v>External Wire Clearance</v>
      </c>
      <c r="O555" t="str">
        <f t="shared" si="68"/>
        <v>Transfer</v>
      </c>
      <c r="P555" t="str">
        <f t="shared" si="69"/>
        <v>Deposit</v>
      </c>
      <c r="Q555">
        <f t="shared" si="70"/>
        <v>269.33999999999997</v>
      </c>
      <c r="R555">
        <f t="shared" si="71"/>
        <v>-48.270000000000039</v>
      </c>
    </row>
    <row r="556" spans="1:18" x14ac:dyDescent="0.3">
      <c r="A556" t="s">
        <v>564</v>
      </c>
      <c r="B556" t="s">
        <v>816</v>
      </c>
      <c r="C556" s="4" t="s">
        <v>1196</v>
      </c>
      <c r="D556" t="s">
        <v>1292</v>
      </c>
      <c r="E556" t="s">
        <v>1298</v>
      </c>
      <c r="F556" t="s">
        <v>1317</v>
      </c>
      <c r="G556" s="9">
        <v>936.37</v>
      </c>
      <c r="H556">
        <v>1236.97</v>
      </c>
      <c r="I556">
        <v>300.60000000000002</v>
      </c>
      <c r="J556">
        <v>902.31</v>
      </c>
      <c r="K556">
        <f t="shared" si="64"/>
        <v>1236.97</v>
      </c>
      <c r="L556">
        <f t="shared" si="65"/>
        <v>936.37</v>
      </c>
      <c r="M556">
        <f t="shared" si="66"/>
        <v>300.60000000000002</v>
      </c>
      <c r="N556" t="str">
        <f t="shared" si="67"/>
        <v>External Wire Clearance</v>
      </c>
      <c r="O556" t="str">
        <f t="shared" si="68"/>
        <v>Transfer</v>
      </c>
      <c r="P556" t="str">
        <f t="shared" si="69"/>
        <v>Deposit</v>
      </c>
      <c r="Q556">
        <f t="shared" si="70"/>
        <v>936.37</v>
      </c>
      <c r="R556">
        <f t="shared" si="71"/>
        <v>34.060000000000059</v>
      </c>
    </row>
    <row r="557" spans="1:18" x14ac:dyDescent="0.3">
      <c r="A557" t="s">
        <v>565</v>
      </c>
      <c r="B557" t="s">
        <v>869</v>
      </c>
      <c r="C557" s="4" t="s">
        <v>1237</v>
      </c>
      <c r="D557" t="s">
        <v>1292</v>
      </c>
      <c r="E557" t="s">
        <v>1298</v>
      </c>
      <c r="F557" t="s">
        <v>1317</v>
      </c>
      <c r="G557" s="9">
        <v>911.88</v>
      </c>
      <c r="H557">
        <v>1056.6400000000001</v>
      </c>
      <c r="I557">
        <v>144.76</v>
      </c>
      <c r="J557">
        <v>1006.2</v>
      </c>
      <c r="K557">
        <f t="shared" si="64"/>
        <v>1056.6400000000001</v>
      </c>
      <c r="L557">
        <f t="shared" si="65"/>
        <v>911.88000000000011</v>
      </c>
      <c r="M557">
        <f t="shared" si="66"/>
        <v>144.76</v>
      </c>
      <c r="N557" t="str">
        <f t="shared" si="67"/>
        <v>External Wire Clearance</v>
      </c>
      <c r="O557" t="str">
        <f t="shared" si="68"/>
        <v>Transfer</v>
      </c>
      <c r="P557" t="str">
        <f t="shared" si="69"/>
        <v>Deposit</v>
      </c>
      <c r="Q557">
        <f t="shared" si="70"/>
        <v>911.88</v>
      </c>
      <c r="R557">
        <f t="shared" si="71"/>
        <v>-94.32000000000005</v>
      </c>
    </row>
    <row r="558" spans="1:18" x14ac:dyDescent="0.3">
      <c r="A558" t="s">
        <v>566</v>
      </c>
      <c r="B558" t="s">
        <v>871</v>
      </c>
      <c r="C558" s="4" t="s">
        <v>1238</v>
      </c>
      <c r="D558" t="s">
        <v>1291</v>
      </c>
      <c r="E558" t="s">
        <v>1294</v>
      </c>
      <c r="F558" t="s">
        <v>1314</v>
      </c>
      <c r="G558" s="9">
        <v>1136.52</v>
      </c>
      <c r="H558">
        <v>1337.4</v>
      </c>
      <c r="I558">
        <v>-200.61</v>
      </c>
      <c r="J558">
        <v>1249.55</v>
      </c>
      <c r="K558">
        <f t="shared" si="64"/>
        <v>1337.4</v>
      </c>
      <c r="L558">
        <f t="shared" si="65"/>
        <v>1538.0100000000002</v>
      </c>
      <c r="M558">
        <f t="shared" si="66"/>
        <v>-200.61</v>
      </c>
      <c r="N558" t="str">
        <f t="shared" si="67"/>
        <v>Target Direct Online</v>
      </c>
      <c r="O558" t="str">
        <f t="shared" si="68"/>
        <v>Online Shopping</v>
      </c>
      <c r="P558" t="str">
        <f t="shared" si="69"/>
        <v>Withdrawal</v>
      </c>
      <c r="Q558">
        <f t="shared" si="70"/>
        <v>1136.52</v>
      </c>
      <c r="R558">
        <f t="shared" si="71"/>
        <v>-113.02999999999997</v>
      </c>
    </row>
    <row r="559" spans="1:18" x14ac:dyDescent="0.3">
      <c r="A559" t="s">
        <v>567</v>
      </c>
      <c r="B559" t="s">
        <v>883</v>
      </c>
      <c r="C559" s="4" t="s">
        <v>1186</v>
      </c>
      <c r="D559" t="s">
        <v>1291</v>
      </c>
      <c r="E559" t="s">
        <v>1296</v>
      </c>
      <c r="F559" t="s">
        <v>1307</v>
      </c>
      <c r="G559" s="9">
        <v>7737.57</v>
      </c>
      <c r="H559">
        <v>9134.74</v>
      </c>
      <c r="I559">
        <v>-1370.21</v>
      </c>
      <c r="J559">
        <v>8929.16</v>
      </c>
      <c r="K559">
        <f t="shared" si="64"/>
        <v>9134.74</v>
      </c>
      <c r="L559">
        <f t="shared" si="65"/>
        <v>10504.95</v>
      </c>
      <c r="M559">
        <f t="shared" si="66"/>
        <v>-1370.21</v>
      </c>
      <c r="N559" t="str">
        <f t="shared" si="67"/>
        <v>Techcorp Payroll Inc</v>
      </c>
      <c r="O559" t="str">
        <f t="shared" si="68"/>
        <v>Salary</v>
      </c>
      <c r="P559" t="str">
        <f t="shared" si="69"/>
        <v>Withdrawal</v>
      </c>
      <c r="Q559">
        <f t="shared" si="70"/>
        <v>7737.57</v>
      </c>
      <c r="R559">
        <f t="shared" si="71"/>
        <v>-1191.5900000000001</v>
      </c>
    </row>
    <row r="560" spans="1:18" x14ac:dyDescent="0.3">
      <c r="A560" t="s">
        <v>568</v>
      </c>
      <c r="B560" t="s">
        <v>914</v>
      </c>
      <c r="C560" s="4" t="s">
        <v>1041</v>
      </c>
      <c r="D560" t="s">
        <v>1291</v>
      </c>
      <c r="E560" t="s">
        <v>1293</v>
      </c>
      <c r="F560" t="s">
        <v>1300</v>
      </c>
      <c r="G560" s="9">
        <v>799.55</v>
      </c>
      <c r="H560">
        <v>998.74</v>
      </c>
      <c r="I560">
        <v>-149.81</v>
      </c>
      <c r="J560">
        <v>762.82</v>
      </c>
      <c r="K560">
        <f t="shared" si="64"/>
        <v>998.74</v>
      </c>
      <c r="L560">
        <f t="shared" si="65"/>
        <v>1148.55</v>
      </c>
      <c r="M560">
        <f t="shared" si="66"/>
        <v>-149.81</v>
      </c>
      <c r="N560" t="str">
        <f t="shared" si="67"/>
        <v>State Hydro Grid</v>
      </c>
      <c r="O560" t="str">
        <f t="shared" si="68"/>
        <v>Utilities</v>
      </c>
      <c r="P560" t="str">
        <f t="shared" si="69"/>
        <v>Withdrawal</v>
      </c>
      <c r="Q560">
        <f t="shared" si="70"/>
        <v>799.55</v>
      </c>
      <c r="R560">
        <f t="shared" si="71"/>
        <v>36.729999999999905</v>
      </c>
    </row>
    <row r="561" spans="1:18" x14ac:dyDescent="0.3">
      <c r="A561" t="s">
        <v>569</v>
      </c>
      <c r="B561" t="s">
        <v>875</v>
      </c>
      <c r="C561" s="4" t="s">
        <v>1239</v>
      </c>
      <c r="D561" t="s">
        <v>1291</v>
      </c>
      <c r="E561" t="s">
        <v>1296</v>
      </c>
      <c r="F561" t="s">
        <v>1303</v>
      </c>
      <c r="G561" s="9">
        <v>5365.7</v>
      </c>
      <c r="H561">
        <v>7052.05</v>
      </c>
      <c r="I561">
        <v>-1057.81</v>
      </c>
      <c r="J561">
        <v>6014.13</v>
      </c>
      <c r="K561">
        <f t="shared" si="64"/>
        <v>7052.05</v>
      </c>
      <c r="L561">
        <f t="shared" si="65"/>
        <v>8109.8600000000006</v>
      </c>
      <c r="M561">
        <f t="shared" si="66"/>
        <v>-1057.81</v>
      </c>
      <c r="N561" t="str">
        <f t="shared" si="67"/>
        <v>Global Industries Llc</v>
      </c>
      <c r="O561" t="str">
        <f t="shared" si="68"/>
        <v>Salary</v>
      </c>
      <c r="P561" t="str">
        <f t="shared" si="69"/>
        <v>Withdrawal</v>
      </c>
      <c r="Q561">
        <f t="shared" si="70"/>
        <v>5365.7</v>
      </c>
      <c r="R561">
        <f t="shared" si="71"/>
        <v>-648.43000000000029</v>
      </c>
    </row>
    <row r="562" spans="1:18" x14ac:dyDescent="0.3">
      <c r="A562" t="s">
        <v>570</v>
      </c>
      <c r="B562" t="s">
        <v>897</v>
      </c>
      <c r="C562" s="4" t="s">
        <v>951</v>
      </c>
      <c r="D562" t="s">
        <v>1292</v>
      </c>
      <c r="E562" t="s">
        <v>1296</v>
      </c>
      <c r="F562" t="s">
        <v>1307</v>
      </c>
      <c r="G562" s="9">
        <v>5547.54</v>
      </c>
      <c r="H562">
        <v>7580.66</v>
      </c>
      <c r="I562">
        <v>2033.12</v>
      </c>
      <c r="J562">
        <v>6003.61</v>
      </c>
      <c r="K562">
        <f t="shared" si="64"/>
        <v>7580.66</v>
      </c>
      <c r="L562">
        <f t="shared" si="65"/>
        <v>5547.54</v>
      </c>
      <c r="M562">
        <f t="shared" si="66"/>
        <v>2033.12</v>
      </c>
      <c r="N562" t="str">
        <f t="shared" si="67"/>
        <v>Techcorp Payroll Inc</v>
      </c>
      <c r="O562" t="str">
        <f t="shared" si="68"/>
        <v>Salary</v>
      </c>
      <c r="P562" t="str">
        <f t="shared" si="69"/>
        <v>Deposit</v>
      </c>
      <c r="Q562">
        <f t="shared" si="70"/>
        <v>5547.54</v>
      </c>
      <c r="R562">
        <f t="shared" si="71"/>
        <v>-456.06999999999971</v>
      </c>
    </row>
    <row r="563" spans="1:18" x14ac:dyDescent="0.3">
      <c r="A563" t="s">
        <v>571</v>
      </c>
      <c r="B563" t="s">
        <v>892</v>
      </c>
      <c r="C563" s="4" t="s">
        <v>1121</v>
      </c>
      <c r="D563" t="s">
        <v>1292</v>
      </c>
      <c r="E563" t="s">
        <v>1294</v>
      </c>
      <c r="F563" t="s">
        <v>1315</v>
      </c>
      <c r="G563" s="9">
        <v>450.8</v>
      </c>
      <c r="H563">
        <v>620.58000000000004</v>
      </c>
      <c r="I563">
        <v>169.78</v>
      </c>
      <c r="J563">
        <v>516.1</v>
      </c>
      <c r="K563">
        <f t="shared" si="64"/>
        <v>620.58000000000004</v>
      </c>
      <c r="L563">
        <f t="shared" si="65"/>
        <v>450.80000000000007</v>
      </c>
      <c r="M563">
        <f t="shared" si="66"/>
        <v>169.78</v>
      </c>
      <c r="N563" t="str">
        <f t="shared" si="67"/>
        <v>Ebay International</v>
      </c>
      <c r="O563" t="str">
        <f t="shared" si="68"/>
        <v>Online Shopping</v>
      </c>
      <c r="P563" t="str">
        <f t="shared" si="69"/>
        <v>Deposit</v>
      </c>
      <c r="Q563">
        <f t="shared" si="70"/>
        <v>450.8</v>
      </c>
      <c r="R563">
        <f t="shared" si="71"/>
        <v>-65.300000000000011</v>
      </c>
    </row>
    <row r="564" spans="1:18" x14ac:dyDescent="0.3">
      <c r="A564" t="s">
        <v>572</v>
      </c>
      <c r="B564" t="s">
        <v>867</v>
      </c>
      <c r="C564" s="4" t="s">
        <v>1226</v>
      </c>
      <c r="D564" t="s">
        <v>1291</v>
      </c>
      <c r="E564" t="s">
        <v>1293</v>
      </c>
      <c r="F564" t="s">
        <v>1318</v>
      </c>
      <c r="G564" s="9">
        <v>963.81</v>
      </c>
      <c r="H564">
        <v>1280.8499999999999</v>
      </c>
      <c r="I564">
        <v>-192.13</v>
      </c>
      <c r="J564">
        <v>1042.72</v>
      </c>
      <c r="K564">
        <f t="shared" si="64"/>
        <v>1280.8499999999999</v>
      </c>
      <c r="L564">
        <f t="shared" si="65"/>
        <v>1472.98</v>
      </c>
      <c r="M564">
        <f t="shared" si="66"/>
        <v>-192.13</v>
      </c>
      <c r="N564" t="str">
        <f t="shared" si="67"/>
        <v>Metropolitan Water Sewer</v>
      </c>
      <c r="O564" t="str">
        <f t="shared" si="68"/>
        <v>Utilities</v>
      </c>
      <c r="P564" t="str">
        <f t="shared" si="69"/>
        <v>Withdrawal</v>
      </c>
      <c r="Q564">
        <f t="shared" si="70"/>
        <v>963.81</v>
      </c>
      <c r="R564">
        <f t="shared" si="71"/>
        <v>-78.910000000000082</v>
      </c>
    </row>
    <row r="565" spans="1:18" x14ac:dyDescent="0.3">
      <c r="A565" t="s">
        <v>573</v>
      </c>
      <c r="B565" t="s">
        <v>908</v>
      </c>
      <c r="C565" s="4" t="s">
        <v>965</v>
      </c>
      <c r="D565" t="s">
        <v>1291</v>
      </c>
      <c r="E565" t="s">
        <v>1295</v>
      </c>
      <c r="F565" t="s">
        <v>1302</v>
      </c>
      <c r="G565" s="9">
        <v>690.86</v>
      </c>
      <c r="H565">
        <v>827.06</v>
      </c>
      <c r="I565">
        <v>-124.06</v>
      </c>
      <c r="J565">
        <v>643.76</v>
      </c>
      <c r="K565">
        <f t="shared" si="64"/>
        <v>827.06</v>
      </c>
      <c r="L565">
        <f t="shared" si="65"/>
        <v>951.11999999999989</v>
      </c>
      <c r="M565">
        <f t="shared" si="66"/>
        <v>-124.06</v>
      </c>
      <c r="N565" t="str">
        <f t="shared" si="67"/>
        <v>Supermart Marketplace</v>
      </c>
      <c r="O565" t="str">
        <f t="shared" si="68"/>
        <v>Groceries</v>
      </c>
      <c r="P565" t="str">
        <f t="shared" si="69"/>
        <v>Withdrawal</v>
      </c>
      <c r="Q565">
        <f t="shared" si="70"/>
        <v>690.86</v>
      </c>
      <c r="R565">
        <f t="shared" si="71"/>
        <v>47.100000000000023</v>
      </c>
    </row>
    <row r="566" spans="1:18" x14ac:dyDescent="0.3">
      <c r="A566" t="s">
        <v>574</v>
      </c>
      <c r="B566" t="s">
        <v>854</v>
      </c>
      <c r="C566" s="4" t="s">
        <v>1112</v>
      </c>
      <c r="D566" t="s">
        <v>1291</v>
      </c>
      <c r="E566" t="s">
        <v>1294</v>
      </c>
      <c r="F566" t="s">
        <v>1315</v>
      </c>
      <c r="G566" s="9">
        <v>1074.71</v>
      </c>
      <c r="H566">
        <v>1355.26</v>
      </c>
      <c r="I566">
        <v>-203.29</v>
      </c>
      <c r="J566">
        <v>1057.42</v>
      </c>
      <c r="K566">
        <f t="shared" si="64"/>
        <v>1355.26</v>
      </c>
      <c r="L566">
        <f t="shared" si="65"/>
        <v>1558.55</v>
      </c>
      <c r="M566">
        <f t="shared" si="66"/>
        <v>-203.29</v>
      </c>
      <c r="N566" t="str">
        <f t="shared" si="67"/>
        <v>Ebay International</v>
      </c>
      <c r="O566" t="str">
        <f t="shared" si="68"/>
        <v>Online Shopping</v>
      </c>
      <c r="P566" t="str">
        <f t="shared" si="69"/>
        <v>Withdrawal</v>
      </c>
      <c r="Q566">
        <f t="shared" si="70"/>
        <v>1074.71</v>
      </c>
      <c r="R566">
        <f t="shared" si="71"/>
        <v>17.289999999999964</v>
      </c>
    </row>
    <row r="567" spans="1:18" x14ac:dyDescent="0.3">
      <c r="A567" t="s">
        <v>575</v>
      </c>
      <c r="B567" t="s">
        <v>855</v>
      </c>
      <c r="C567" s="4" t="s">
        <v>1141</v>
      </c>
      <c r="D567" t="s">
        <v>1291</v>
      </c>
      <c r="E567" t="s">
        <v>1296</v>
      </c>
      <c r="F567" t="s">
        <v>1308</v>
      </c>
      <c r="G567" s="9">
        <v>7867.01</v>
      </c>
      <c r="H567">
        <v>9721.69</v>
      </c>
      <c r="I567">
        <v>-1458.25</v>
      </c>
      <c r="J567">
        <v>8473.76</v>
      </c>
      <c r="K567">
        <f t="shared" si="64"/>
        <v>9721.69</v>
      </c>
      <c r="L567">
        <f t="shared" si="65"/>
        <v>11179.94</v>
      </c>
      <c r="M567">
        <f t="shared" si="66"/>
        <v>-1458.25</v>
      </c>
      <c r="N567" t="str">
        <f t="shared" si="67"/>
        <v>Stark Retail Labs</v>
      </c>
      <c r="O567" t="str">
        <f t="shared" si="68"/>
        <v>Salary</v>
      </c>
      <c r="P567" t="str">
        <f t="shared" si="69"/>
        <v>Withdrawal</v>
      </c>
      <c r="Q567">
        <f t="shared" si="70"/>
        <v>7867.01</v>
      </c>
      <c r="R567">
        <f t="shared" si="71"/>
        <v>-606.75</v>
      </c>
    </row>
    <row r="568" spans="1:18" x14ac:dyDescent="0.3">
      <c r="A568" t="s">
        <v>576</v>
      </c>
      <c r="B568" t="s">
        <v>794</v>
      </c>
      <c r="C568" s="4" t="s">
        <v>1240</v>
      </c>
      <c r="D568" t="s">
        <v>1292</v>
      </c>
      <c r="E568" t="s">
        <v>1299</v>
      </c>
      <c r="F568" t="s">
        <v>1311</v>
      </c>
      <c r="G568" s="9">
        <v>128.91999999999999</v>
      </c>
      <c r="H568">
        <v>158.66</v>
      </c>
      <c r="I568">
        <v>29.74</v>
      </c>
      <c r="J568">
        <v>154.16999999999999</v>
      </c>
      <c r="K568">
        <f t="shared" si="64"/>
        <v>158.66</v>
      </c>
      <c r="L568">
        <f t="shared" si="65"/>
        <v>128.91999999999999</v>
      </c>
      <c r="M568">
        <f t="shared" si="66"/>
        <v>29.74</v>
      </c>
      <c r="N568" t="str">
        <f t="shared" si="67"/>
        <v>Spotify Music Hub</v>
      </c>
      <c r="O568" t="str">
        <f t="shared" si="68"/>
        <v>Entertainment</v>
      </c>
      <c r="P568" t="str">
        <f t="shared" si="69"/>
        <v>Deposit</v>
      </c>
      <c r="Q568">
        <f t="shared" si="70"/>
        <v>128.91999999999999</v>
      </c>
      <c r="R568">
        <f t="shared" si="71"/>
        <v>-25.25</v>
      </c>
    </row>
    <row r="569" spans="1:18" x14ac:dyDescent="0.3">
      <c r="A569" t="s">
        <v>577</v>
      </c>
      <c r="B569" t="s">
        <v>786</v>
      </c>
      <c r="C569" s="4" t="s">
        <v>963</v>
      </c>
      <c r="D569" t="s">
        <v>1292</v>
      </c>
      <c r="E569" t="s">
        <v>1298</v>
      </c>
      <c r="F569" t="s">
        <v>1310</v>
      </c>
      <c r="G569" s="9">
        <v>35.76</v>
      </c>
      <c r="H569">
        <v>47.61</v>
      </c>
      <c r="I569">
        <v>11.85</v>
      </c>
      <c r="J569">
        <v>36.99</v>
      </c>
      <c r="K569">
        <f t="shared" si="64"/>
        <v>47.61</v>
      </c>
      <c r="L569">
        <f t="shared" si="65"/>
        <v>35.76</v>
      </c>
      <c r="M569">
        <f t="shared" si="66"/>
        <v>11.85</v>
      </c>
      <c r="N569" t="str">
        <f t="shared" si="67"/>
        <v>Zelle Payment Engine</v>
      </c>
      <c r="O569" t="str">
        <f t="shared" si="68"/>
        <v>Transfer</v>
      </c>
      <c r="P569" t="str">
        <f t="shared" si="69"/>
        <v>Deposit</v>
      </c>
      <c r="Q569">
        <f t="shared" si="70"/>
        <v>35.76</v>
      </c>
      <c r="R569">
        <f t="shared" si="71"/>
        <v>-1.230000000000004</v>
      </c>
    </row>
    <row r="570" spans="1:18" x14ac:dyDescent="0.3">
      <c r="A570" t="s">
        <v>578</v>
      </c>
      <c r="B570" t="s">
        <v>929</v>
      </c>
      <c r="C570" s="4" t="s">
        <v>1241</v>
      </c>
      <c r="D570" t="s">
        <v>1291</v>
      </c>
      <c r="E570" t="s">
        <v>1299</v>
      </c>
      <c r="F570" t="s">
        <v>1311</v>
      </c>
      <c r="G570" s="9">
        <v>679.28</v>
      </c>
      <c r="H570">
        <v>791.81</v>
      </c>
      <c r="I570">
        <v>-118.77</v>
      </c>
      <c r="J570">
        <v>652.57000000000005</v>
      </c>
      <c r="K570">
        <f t="shared" si="64"/>
        <v>791.81</v>
      </c>
      <c r="L570">
        <f t="shared" si="65"/>
        <v>910.57999999999993</v>
      </c>
      <c r="M570">
        <f t="shared" si="66"/>
        <v>-118.77</v>
      </c>
      <c r="N570" t="str">
        <f t="shared" si="67"/>
        <v>Spotify Music Hub</v>
      </c>
      <c r="O570" t="str">
        <f t="shared" si="68"/>
        <v>Entertainment</v>
      </c>
      <c r="P570" t="str">
        <f t="shared" si="69"/>
        <v>Withdrawal</v>
      </c>
      <c r="Q570">
        <f t="shared" si="70"/>
        <v>679.28</v>
      </c>
      <c r="R570">
        <f t="shared" si="71"/>
        <v>26.709999999999923</v>
      </c>
    </row>
    <row r="571" spans="1:18" x14ac:dyDescent="0.3">
      <c r="A571" t="s">
        <v>579</v>
      </c>
      <c r="B571" t="s">
        <v>790</v>
      </c>
      <c r="C571" s="4" t="s">
        <v>1212</v>
      </c>
      <c r="D571" t="s">
        <v>1291</v>
      </c>
      <c r="E571" t="s">
        <v>1296</v>
      </c>
      <c r="F571" t="s">
        <v>1308</v>
      </c>
      <c r="H571">
        <v>129.55000000000001</v>
      </c>
      <c r="I571">
        <v>-19.43</v>
      </c>
      <c r="J571">
        <v>92.66</v>
      </c>
      <c r="K571">
        <f t="shared" si="64"/>
        <v>129.55000000000001</v>
      </c>
      <c r="L571">
        <f t="shared" si="65"/>
        <v>148.98000000000002</v>
      </c>
      <c r="M571">
        <f t="shared" si="66"/>
        <v>-19.43</v>
      </c>
      <c r="N571" t="str">
        <f t="shared" si="67"/>
        <v>Stark Retail Labs</v>
      </c>
      <c r="O571" t="str">
        <f t="shared" si="68"/>
        <v>Salary</v>
      </c>
      <c r="P571" t="str">
        <f t="shared" si="69"/>
        <v>Withdrawal</v>
      </c>
      <c r="Q571">
        <f t="shared" si="70"/>
        <v>1219.4163333333336</v>
      </c>
      <c r="R571">
        <f t="shared" si="71"/>
        <v>1126.7563333333335</v>
      </c>
    </row>
    <row r="572" spans="1:18" x14ac:dyDescent="0.3">
      <c r="A572" t="s">
        <v>580</v>
      </c>
      <c r="B572" t="s">
        <v>893</v>
      </c>
      <c r="C572" s="4" t="s">
        <v>957</v>
      </c>
      <c r="D572" t="s">
        <v>1292</v>
      </c>
      <c r="E572" t="s">
        <v>1297</v>
      </c>
      <c r="F572" t="s">
        <v>1319</v>
      </c>
      <c r="G572" s="9">
        <v>1018.57</v>
      </c>
      <c r="H572">
        <v>1304.3599999999999</v>
      </c>
      <c r="I572">
        <v>285.79000000000002</v>
      </c>
      <c r="J572">
        <v>1024.68</v>
      </c>
      <c r="K572">
        <f t="shared" si="64"/>
        <v>1304.3599999999999</v>
      </c>
      <c r="L572">
        <f t="shared" si="65"/>
        <v>1018.5699999999999</v>
      </c>
      <c r="M572">
        <f t="shared" si="66"/>
        <v>285.79000000000002</v>
      </c>
      <c r="N572" t="str">
        <f t="shared" si="67"/>
        <v>Starbucks Hub Cafe</v>
      </c>
      <c r="O572" t="str">
        <f t="shared" si="68"/>
        <v>Dining Out</v>
      </c>
      <c r="P572" t="str">
        <f t="shared" si="69"/>
        <v>Deposit</v>
      </c>
      <c r="Q572">
        <f t="shared" si="70"/>
        <v>1018.57</v>
      </c>
      <c r="R572">
        <f t="shared" si="71"/>
        <v>-6.1100000000000136</v>
      </c>
    </row>
    <row r="573" spans="1:18" x14ac:dyDescent="0.3">
      <c r="A573" t="s">
        <v>581</v>
      </c>
      <c r="B573" t="s">
        <v>929</v>
      </c>
      <c r="C573" s="4" t="s">
        <v>1242</v>
      </c>
      <c r="D573" t="s">
        <v>1291</v>
      </c>
      <c r="E573" t="s">
        <v>1296</v>
      </c>
      <c r="F573" t="s">
        <v>1308</v>
      </c>
      <c r="G573" s="9">
        <v>5219.7</v>
      </c>
      <c r="H573">
        <v>7225.42</v>
      </c>
      <c r="I573">
        <v>-1083.81</v>
      </c>
      <c r="J573">
        <v>6086.8</v>
      </c>
      <c r="K573">
        <f t="shared" si="64"/>
        <v>7225.42</v>
      </c>
      <c r="L573">
        <f t="shared" si="65"/>
        <v>8309.23</v>
      </c>
      <c r="M573">
        <f t="shared" si="66"/>
        <v>-1083.81</v>
      </c>
      <c r="N573" t="str">
        <f t="shared" si="67"/>
        <v>Stark Retail Labs</v>
      </c>
      <c r="O573" t="str">
        <f t="shared" si="68"/>
        <v>Salary</v>
      </c>
      <c r="P573" t="str">
        <f t="shared" si="69"/>
        <v>Withdrawal</v>
      </c>
      <c r="Q573">
        <f t="shared" si="70"/>
        <v>5219.7</v>
      </c>
      <c r="R573">
        <f t="shared" si="71"/>
        <v>-867.10000000000036</v>
      </c>
    </row>
    <row r="574" spans="1:18" x14ac:dyDescent="0.3">
      <c r="A574" t="s">
        <v>582</v>
      </c>
      <c r="B574" t="s">
        <v>877</v>
      </c>
      <c r="C574" s="4" t="s">
        <v>1183</v>
      </c>
      <c r="D574" t="s">
        <v>1291</v>
      </c>
      <c r="E574" t="s">
        <v>1293</v>
      </c>
      <c r="F574" t="s">
        <v>1318</v>
      </c>
      <c r="G574" s="9">
        <v>1125.1199999999999</v>
      </c>
      <c r="H574">
        <v>1317.92</v>
      </c>
      <c r="I574">
        <v>-197.69</v>
      </c>
      <c r="J574">
        <v>1197.28</v>
      </c>
      <c r="K574">
        <f t="shared" si="64"/>
        <v>1317.92</v>
      </c>
      <c r="L574">
        <f t="shared" si="65"/>
        <v>1515.6100000000001</v>
      </c>
      <c r="M574">
        <f t="shared" si="66"/>
        <v>-197.69</v>
      </c>
      <c r="N574" t="str">
        <f t="shared" si="67"/>
        <v>Metropolitan Water Sewer</v>
      </c>
      <c r="O574" t="str">
        <f t="shared" si="68"/>
        <v>Utilities</v>
      </c>
      <c r="P574" t="str">
        <f t="shared" si="69"/>
        <v>Withdrawal</v>
      </c>
      <c r="Q574">
        <f t="shared" si="70"/>
        <v>1125.1199999999999</v>
      </c>
      <c r="R574">
        <f t="shared" si="71"/>
        <v>-72.160000000000082</v>
      </c>
    </row>
    <row r="575" spans="1:18" x14ac:dyDescent="0.3">
      <c r="A575" t="s">
        <v>583</v>
      </c>
      <c r="B575" t="s">
        <v>863</v>
      </c>
      <c r="C575" s="4" t="s">
        <v>1243</v>
      </c>
      <c r="D575" t="s">
        <v>1292</v>
      </c>
      <c r="E575" t="s">
        <v>1294</v>
      </c>
      <c r="F575" t="s">
        <v>1314</v>
      </c>
      <c r="G575" s="9">
        <v>936.01</v>
      </c>
      <c r="H575">
        <v>1082.6300000000001</v>
      </c>
      <c r="I575">
        <v>146.62</v>
      </c>
      <c r="J575">
        <v>888.27</v>
      </c>
      <c r="K575">
        <f t="shared" si="64"/>
        <v>1082.6300000000001</v>
      </c>
      <c r="L575">
        <f t="shared" si="65"/>
        <v>936.0100000000001</v>
      </c>
      <c r="M575">
        <f t="shared" si="66"/>
        <v>146.62</v>
      </c>
      <c r="N575" t="str">
        <f t="shared" si="67"/>
        <v>Target Direct Online</v>
      </c>
      <c r="O575" t="str">
        <f t="shared" si="68"/>
        <v>Online Shopping</v>
      </c>
      <c r="P575" t="str">
        <f t="shared" si="69"/>
        <v>Deposit</v>
      </c>
      <c r="Q575">
        <f t="shared" si="70"/>
        <v>936.01</v>
      </c>
      <c r="R575">
        <f t="shared" si="71"/>
        <v>47.740000000000009</v>
      </c>
    </row>
    <row r="576" spans="1:18" x14ac:dyDescent="0.3">
      <c r="A576" t="s">
        <v>584</v>
      </c>
      <c r="B576" t="s">
        <v>862</v>
      </c>
      <c r="C576" s="4" t="s">
        <v>1030</v>
      </c>
      <c r="D576" t="s">
        <v>1291</v>
      </c>
      <c r="E576" t="s">
        <v>1299</v>
      </c>
      <c r="F576" t="s">
        <v>1311</v>
      </c>
      <c r="G576" s="9">
        <v>372.44</v>
      </c>
      <c r="H576">
        <v>492.45</v>
      </c>
      <c r="I576">
        <v>-73.87</v>
      </c>
      <c r="J576">
        <v>358.85</v>
      </c>
      <c r="K576">
        <f t="shared" si="64"/>
        <v>492.45</v>
      </c>
      <c r="L576">
        <f t="shared" si="65"/>
        <v>566.31999999999994</v>
      </c>
      <c r="M576">
        <f t="shared" si="66"/>
        <v>-73.87</v>
      </c>
      <c r="N576" t="str">
        <f t="shared" si="67"/>
        <v>Spotify Music Hub</v>
      </c>
      <c r="O576" t="str">
        <f t="shared" si="68"/>
        <v>Entertainment</v>
      </c>
      <c r="P576" t="str">
        <f t="shared" si="69"/>
        <v>Withdrawal</v>
      </c>
      <c r="Q576">
        <f t="shared" si="70"/>
        <v>372.44</v>
      </c>
      <c r="R576">
        <f t="shared" si="71"/>
        <v>13.589999999999975</v>
      </c>
    </row>
    <row r="577" spans="1:18" x14ac:dyDescent="0.3">
      <c r="A577" t="s">
        <v>585</v>
      </c>
      <c r="B577" t="s">
        <v>878</v>
      </c>
      <c r="C577" s="4" t="s">
        <v>1154</v>
      </c>
      <c r="D577" t="s">
        <v>1291</v>
      </c>
      <c r="E577" t="s">
        <v>1296</v>
      </c>
      <c r="F577" t="s">
        <v>1308</v>
      </c>
      <c r="G577" s="9">
        <v>6412.51</v>
      </c>
      <c r="H577">
        <v>8240.7900000000009</v>
      </c>
      <c r="I577">
        <v>-1236.1199999999999</v>
      </c>
      <c r="J577">
        <v>6553.18</v>
      </c>
      <c r="K577">
        <f t="shared" si="64"/>
        <v>8240.7900000000009</v>
      </c>
      <c r="L577">
        <f t="shared" si="65"/>
        <v>9476.91</v>
      </c>
      <c r="M577">
        <f t="shared" si="66"/>
        <v>-1236.1199999999999</v>
      </c>
      <c r="N577" t="str">
        <f t="shared" si="67"/>
        <v>Stark Retail Labs</v>
      </c>
      <c r="O577" t="str">
        <f t="shared" si="68"/>
        <v>Salary</v>
      </c>
      <c r="P577" t="str">
        <f t="shared" si="69"/>
        <v>Withdrawal</v>
      </c>
      <c r="Q577">
        <f t="shared" si="70"/>
        <v>6412.51</v>
      </c>
      <c r="R577">
        <f t="shared" si="71"/>
        <v>-140.67000000000007</v>
      </c>
    </row>
    <row r="578" spans="1:18" x14ac:dyDescent="0.3">
      <c r="A578" t="s">
        <v>586</v>
      </c>
      <c r="B578" t="s">
        <v>875</v>
      </c>
      <c r="C578" s="4" t="s">
        <v>1065</v>
      </c>
      <c r="D578" t="s">
        <v>1292</v>
      </c>
      <c r="E578" t="s">
        <v>1298</v>
      </c>
      <c r="F578" t="s">
        <v>1317</v>
      </c>
      <c r="G578" s="9">
        <v>512.92999999999995</v>
      </c>
      <c r="H578">
        <v>681.79</v>
      </c>
      <c r="I578">
        <v>168.86</v>
      </c>
      <c r="J578">
        <v>569.72</v>
      </c>
      <c r="K578">
        <f t="shared" si="64"/>
        <v>681.79</v>
      </c>
      <c r="L578">
        <f t="shared" si="65"/>
        <v>512.92999999999995</v>
      </c>
      <c r="M578">
        <f t="shared" si="66"/>
        <v>168.86</v>
      </c>
      <c r="N578" t="str">
        <f t="shared" si="67"/>
        <v>External Wire Clearance</v>
      </c>
      <c r="O578" t="str">
        <f t="shared" si="68"/>
        <v>Transfer</v>
      </c>
      <c r="P578" t="str">
        <f t="shared" si="69"/>
        <v>Deposit</v>
      </c>
      <c r="Q578">
        <f t="shared" si="70"/>
        <v>512.92999999999995</v>
      </c>
      <c r="R578">
        <f t="shared" si="71"/>
        <v>-56.790000000000077</v>
      </c>
    </row>
    <row r="579" spans="1:18" x14ac:dyDescent="0.3">
      <c r="A579" t="s">
        <v>587</v>
      </c>
      <c r="B579" t="s">
        <v>803</v>
      </c>
      <c r="C579" s="4" t="s">
        <v>1230</v>
      </c>
      <c r="D579" t="s">
        <v>1292</v>
      </c>
      <c r="E579" t="s">
        <v>1298</v>
      </c>
      <c r="F579" t="s">
        <v>1310</v>
      </c>
      <c r="G579" s="9">
        <v>984.25</v>
      </c>
      <c r="H579">
        <v>1217.95</v>
      </c>
      <c r="I579">
        <v>233.7</v>
      </c>
      <c r="J579">
        <v>1084.45</v>
      </c>
      <c r="K579">
        <f t="shared" ref="K579:K642" si="72">IF(H579,H579,AVERAGE($H$2:$H$35))</f>
        <v>1217.95</v>
      </c>
      <c r="L579">
        <f t="shared" ref="L579:L642" si="73">K579-M579</f>
        <v>984.25</v>
      </c>
      <c r="M579">
        <f t="shared" ref="M579:M642" si="74">IF(I579,I579,AVERAGE($I$2:$I$68))</f>
        <v>233.7</v>
      </c>
      <c r="N579" t="str">
        <f t="shared" ref="N579:N642" si="75">PROPER(F579)</f>
        <v>Zelle Payment Engine</v>
      </c>
      <c r="O579" t="str">
        <f t="shared" ref="O579:O642" si="76">PROPER(E579)</f>
        <v>Transfer</v>
      </c>
      <c r="P579" t="str">
        <f t="shared" ref="P579:P642" si="77">PROPER(D579)</f>
        <v>Deposit</v>
      </c>
      <c r="Q579">
        <f t="shared" ref="Q579:Q642" si="78">IF(G579,G579,AVERAGE($G$2:$G$31))</f>
        <v>984.25</v>
      </c>
      <c r="R579">
        <f t="shared" ref="R579:R642" si="79">Q579-J579</f>
        <v>-100.20000000000005</v>
      </c>
    </row>
    <row r="580" spans="1:18" x14ac:dyDescent="0.3">
      <c r="A580" t="s">
        <v>588</v>
      </c>
      <c r="B580" t="s">
        <v>840</v>
      </c>
      <c r="C580" s="4" t="s">
        <v>1244</v>
      </c>
      <c r="D580" t="s">
        <v>1292</v>
      </c>
      <c r="E580" t="s">
        <v>1295</v>
      </c>
      <c r="F580" t="s">
        <v>1304</v>
      </c>
      <c r="G580" s="9">
        <v>360.49</v>
      </c>
      <c r="H580">
        <v>425.08</v>
      </c>
      <c r="I580">
        <v>64.59</v>
      </c>
      <c r="J580">
        <v>335.53</v>
      </c>
      <c r="K580">
        <f t="shared" si="72"/>
        <v>425.08</v>
      </c>
      <c r="L580">
        <f t="shared" si="73"/>
        <v>360.49</v>
      </c>
      <c r="M580">
        <f t="shared" si="74"/>
        <v>64.59</v>
      </c>
      <c r="N580" t="str">
        <f t="shared" si="75"/>
        <v>Whole Foods Store</v>
      </c>
      <c r="O580" t="str">
        <f t="shared" si="76"/>
        <v>Groceries</v>
      </c>
      <c r="P580" t="str">
        <f t="shared" si="77"/>
        <v>Deposit</v>
      </c>
      <c r="Q580">
        <f t="shared" si="78"/>
        <v>360.49</v>
      </c>
      <c r="R580">
        <f t="shared" si="79"/>
        <v>24.960000000000036</v>
      </c>
    </row>
    <row r="581" spans="1:18" x14ac:dyDescent="0.3">
      <c r="A581" t="s">
        <v>589</v>
      </c>
      <c r="B581" t="s">
        <v>811</v>
      </c>
      <c r="C581" s="4" t="s">
        <v>1065</v>
      </c>
      <c r="D581" t="s">
        <v>1292</v>
      </c>
      <c r="E581" t="s">
        <v>1297</v>
      </c>
      <c r="F581" t="s">
        <v>1319</v>
      </c>
      <c r="G581" s="9">
        <v>426.93</v>
      </c>
      <c r="H581">
        <v>525.41999999999996</v>
      </c>
      <c r="I581">
        <v>98.49</v>
      </c>
      <c r="J581">
        <v>490.21</v>
      </c>
      <c r="K581">
        <f t="shared" si="72"/>
        <v>525.41999999999996</v>
      </c>
      <c r="L581">
        <f t="shared" si="73"/>
        <v>426.92999999999995</v>
      </c>
      <c r="M581">
        <f t="shared" si="74"/>
        <v>98.49</v>
      </c>
      <c r="N581" t="str">
        <f t="shared" si="75"/>
        <v>Starbucks Hub Cafe</v>
      </c>
      <c r="O581" t="str">
        <f t="shared" si="76"/>
        <v>Dining Out</v>
      </c>
      <c r="P581" t="str">
        <f t="shared" si="77"/>
        <v>Deposit</v>
      </c>
      <c r="Q581">
        <f t="shared" si="78"/>
        <v>426.93</v>
      </c>
      <c r="R581">
        <f t="shared" si="79"/>
        <v>-63.279999999999973</v>
      </c>
    </row>
    <row r="582" spans="1:18" x14ac:dyDescent="0.3">
      <c r="A582" t="s">
        <v>590</v>
      </c>
      <c r="B582" t="s">
        <v>902</v>
      </c>
      <c r="C582" s="4" t="s">
        <v>982</v>
      </c>
      <c r="D582" t="s">
        <v>1291</v>
      </c>
      <c r="E582" t="s">
        <v>1299</v>
      </c>
      <c r="F582" t="s">
        <v>1316</v>
      </c>
      <c r="G582" s="9">
        <v>84.04</v>
      </c>
      <c r="H582">
        <v>104.72</v>
      </c>
      <c r="I582">
        <v>-15.71</v>
      </c>
      <c r="J582">
        <v>95.36</v>
      </c>
      <c r="K582">
        <f t="shared" si="72"/>
        <v>104.72</v>
      </c>
      <c r="L582">
        <f t="shared" si="73"/>
        <v>120.43</v>
      </c>
      <c r="M582">
        <f t="shared" si="74"/>
        <v>-15.71</v>
      </c>
      <c r="N582" t="str">
        <f t="shared" si="75"/>
        <v>Amc Cinema Network</v>
      </c>
      <c r="O582" t="str">
        <f t="shared" si="76"/>
        <v>Entertainment</v>
      </c>
      <c r="P582" t="str">
        <f t="shared" si="77"/>
        <v>Withdrawal</v>
      </c>
      <c r="Q582">
        <f t="shared" si="78"/>
        <v>84.04</v>
      </c>
      <c r="R582">
        <f t="shared" si="79"/>
        <v>-11.319999999999993</v>
      </c>
    </row>
    <row r="583" spans="1:18" x14ac:dyDescent="0.3">
      <c r="A583" t="s">
        <v>591</v>
      </c>
      <c r="B583" t="s">
        <v>840</v>
      </c>
      <c r="C583" s="4" t="s">
        <v>1245</v>
      </c>
      <c r="D583" t="s">
        <v>1291</v>
      </c>
      <c r="E583" t="s">
        <v>1294</v>
      </c>
      <c r="F583" t="s">
        <v>1314</v>
      </c>
      <c r="G583" s="9">
        <v>448.16</v>
      </c>
      <c r="H583">
        <v>521.94000000000005</v>
      </c>
      <c r="I583">
        <v>-78.290000000000006</v>
      </c>
      <c r="J583">
        <v>451.51</v>
      </c>
      <c r="K583">
        <f t="shared" si="72"/>
        <v>521.94000000000005</v>
      </c>
      <c r="L583">
        <f t="shared" si="73"/>
        <v>600.23</v>
      </c>
      <c r="M583">
        <f t="shared" si="74"/>
        <v>-78.290000000000006</v>
      </c>
      <c r="N583" t="str">
        <f t="shared" si="75"/>
        <v>Target Direct Online</v>
      </c>
      <c r="O583" t="str">
        <f t="shared" si="76"/>
        <v>Online Shopping</v>
      </c>
      <c r="P583" t="str">
        <f t="shared" si="77"/>
        <v>Withdrawal</v>
      </c>
      <c r="Q583">
        <f t="shared" si="78"/>
        <v>448.16</v>
      </c>
      <c r="R583">
        <f t="shared" si="79"/>
        <v>-3.3499999999999659</v>
      </c>
    </row>
    <row r="584" spans="1:18" x14ac:dyDescent="0.3">
      <c r="A584" t="s">
        <v>592</v>
      </c>
      <c r="B584" t="s">
        <v>878</v>
      </c>
      <c r="C584" s="4" t="s">
        <v>1246</v>
      </c>
      <c r="D584" t="s">
        <v>1292</v>
      </c>
      <c r="E584" t="s">
        <v>1294</v>
      </c>
      <c r="F584" t="s">
        <v>1315</v>
      </c>
      <c r="G584" s="9">
        <v>835.4</v>
      </c>
      <c r="H584">
        <v>987.23</v>
      </c>
      <c r="I584">
        <v>151.83000000000001</v>
      </c>
      <c r="J584">
        <v>769.2</v>
      </c>
      <c r="K584">
        <f t="shared" si="72"/>
        <v>987.23</v>
      </c>
      <c r="L584">
        <f t="shared" si="73"/>
        <v>835.4</v>
      </c>
      <c r="M584">
        <f t="shared" si="74"/>
        <v>151.83000000000001</v>
      </c>
      <c r="N584" t="str">
        <f t="shared" si="75"/>
        <v>Ebay International</v>
      </c>
      <c r="O584" t="str">
        <f t="shared" si="76"/>
        <v>Online Shopping</v>
      </c>
      <c r="P584" t="str">
        <f t="shared" si="77"/>
        <v>Deposit</v>
      </c>
      <c r="Q584">
        <f t="shared" si="78"/>
        <v>835.4</v>
      </c>
      <c r="R584">
        <f t="shared" si="79"/>
        <v>66.199999999999932</v>
      </c>
    </row>
    <row r="585" spans="1:18" x14ac:dyDescent="0.3">
      <c r="A585" t="s">
        <v>593</v>
      </c>
      <c r="B585" t="s">
        <v>925</v>
      </c>
      <c r="C585" s="4" t="s">
        <v>1048</v>
      </c>
      <c r="D585" t="s">
        <v>1291</v>
      </c>
      <c r="E585" t="s">
        <v>1295</v>
      </c>
      <c r="F585" t="s">
        <v>1313</v>
      </c>
      <c r="G585" s="9">
        <v>164.4</v>
      </c>
      <c r="H585">
        <v>219.37</v>
      </c>
      <c r="I585">
        <v>-32.909999999999997</v>
      </c>
      <c r="J585">
        <v>189.79</v>
      </c>
      <c r="K585">
        <f t="shared" si="72"/>
        <v>219.37</v>
      </c>
      <c r="L585">
        <f t="shared" si="73"/>
        <v>252.28</v>
      </c>
      <c r="M585">
        <f t="shared" si="74"/>
        <v>-32.909999999999997</v>
      </c>
      <c r="N585" t="str">
        <f t="shared" si="75"/>
        <v>Fresh &amp; Fast Logistics</v>
      </c>
      <c r="O585" t="str">
        <f t="shared" si="76"/>
        <v>Groceries</v>
      </c>
      <c r="P585" t="str">
        <f t="shared" si="77"/>
        <v>Withdrawal</v>
      </c>
      <c r="Q585">
        <f t="shared" si="78"/>
        <v>164.4</v>
      </c>
      <c r="R585">
        <f t="shared" si="79"/>
        <v>-25.389999999999986</v>
      </c>
    </row>
    <row r="586" spans="1:18" x14ac:dyDescent="0.3">
      <c r="A586" t="s">
        <v>594</v>
      </c>
      <c r="B586" t="s">
        <v>917</v>
      </c>
      <c r="C586" s="4" t="s">
        <v>1000</v>
      </c>
      <c r="D586" t="s">
        <v>1291</v>
      </c>
      <c r="E586" t="s">
        <v>1294</v>
      </c>
      <c r="F586" t="s">
        <v>1301</v>
      </c>
      <c r="G586" s="9">
        <v>614.09</v>
      </c>
      <c r="H586">
        <v>706.57</v>
      </c>
      <c r="I586">
        <v>-105.99</v>
      </c>
      <c r="J586">
        <v>587.09</v>
      </c>
      <c r="K586">
        <f t="shared" si="72"/>
        <v>706.57</v>
      </c>
      <c r="L586">
        <f t="shared" si="73"/>
        <v>812.56000000000006</v>
      </c>
      <c r="M586">
        <f t="shared" si="74"/>
        <v>-105.99</v>
      </c>
      <c r="N586" t="str">
        <f t="shared" si="75"/>
        <v>Amazon Digital Supply</v>
      </c>
      <c r="O586" t="str">
        <f t="shared" si="76"/>
        <v>Online Shopping</v>
      </c>
      <c r="P586" t="str">
        <f t="shared" si="77"/>
        <v>Withdrawal</v>
      </c>
      <c r="Q586">
        <f t="shared" si="78"/>
        <v>614.09</v>
      </c>
      <c r="R586">
        <f t="shared" si="79"/>
        <v>27</v>
      </c>
    </row>
    <row r="587" spans="1:18" x14ac:dyDescent="0.3">
      <c r="A587" t="s">
        <v>595</v>
      </c>
      <c r="B587" t="s">
        <v>794</v>
      </c>
      <c r="C587" s="4" t="s">
        <v>1131</v>
      </c>
      <c r="D587" t="s">
        <v>1292</v>
      </c>
      <c r="E587" t="s">
        <v>1299</v>
      </c>
      <c r="F587" t="s">
        <v>1316</v>
      </c>
      <c r="G587" s="9">
        <v>1069.32</v>
      </c>
      <c r="H587">
        <v>1447.19</v>
      </c>
      <c r="I587">
        <v>377.87</v>
      </c>
      <c r="J587">
        <v>1082.82</v>
      </c>
      <c r="K587">
        <f t="shared" si="72"/>
        <v>1447.19</v>
      </c>
      <c r="L587">
        <f t="shared" si="73"/>
        <v>1069.3200000000002</v>
      </c>
      <c r="M587">
        <f t="shared" si="74"/>
        <v>377.87</v>
      </c>
      <c r="N587" t="str">
        <f t="shared" si="75"/>
        <v>Amc Cinema Network</v>
      </c>
      <c r="O587" t="str">
        <f t="shared" si="76"/>
        <v>Entertainment</v>
      </c>
      <c r="P587" t="str">
        <f t="shared" si="77"/>
        <v>Deposit</v>
      </c>
      <c r="Q587">
        <f t="shared" si="78"/>
        <v>1069.32</v>
      </c>
      <c r="R587">
        <f t="shared" si="79"/>
        <v>-13.5</v>
      </c>
    </row>
    <row r="588" spans="1:18" x14ac:dyDescent="0.3">
      <c r="A588" t="s">
        <v>596</v>
      </c>
      <c r="B588" t="s">
        <v>812</v>
      </c>
      <c r="C588" s="4" t="s">
        <v>1247</v>
      </c>
      <c r="D588" t="s">
        <v>1292</v>
      </c>
      <c r="E588" t="s">
        <v>1299</v>
      </c>
      <c r="F588" t="s">
        <v>1312</v>
      </c>
      <c r="G588" s="9">
        <v>1152.31</v>
      </c>
      <c r="H588">
        <v>1512.49</v>
      </c>
      <c r="I588">
        <v>360.18</v>
      </c>
      <c r="J588">
        <v>1126.19</v>
      </c>
      <c r="K588">
        <f t="shared" si="72"/>
        <v>1512.49</v>
      </c>
      <c r="L588">
        <f t="shared" si="73"/>
        <v>1152.31</v>
      </c>
      <c r="M588">
        <f t="shared" si="74"/>
        <v>360.18</v>
      </c>
      <c r="N588" t="str">
        <f t="shared" si="75"/>
        <v>Netflix Streaming Premium</v>
      </c>
      <c r="O588" t="str">
        <f t="shared" si="76"/>
        <v>Entertainment</v>
      </c>
      <c r="P588" t="str">
        <f t="shared" si="77"/>
        <v>Deposit</v>
      </c>
      <c r="Q588">
        <f t="shared" si="78"/>
        <v>1152.31</v>
      </c>
      <c r="R588">
        <f t="shared" si="79"/>
        <v>26.119999999999891</v>
      </c>
    </row>
    <row r="589" spans="1:18" x14ac:dyDescent="0.3">
      <c r="A589" t="s">
        <v>597</v>
      </c>
      <c r="B589" t="s">
        <v>931</v>
      </c>
      <c r="C589" s="4" t="s">
        <v>1141</v>
      </c>
      <c r="D589" t="s">
        <v>1292</v>
      </c>
      <c r="E589" t="s">
        <v>1298</v>
      </c>
      <c r="F589" t="s">
        <v>1317</v>
      </c>
      <c r="G589" s="9">
        <v>359.23</v>
      </c>
      <c r="H589">
        <v>415.49</v>
      </c>
      <c r="I589">
        <v>56.26</v>
      </c>
      <c r="J589">
        <v>340.07</v>
      </c>
      <c r="K589">
        <f t="shared" si="72"/>
        <v>415.49</v>
      </c>
      <c r="L589">
        <f t="shared" si="73"/>
        <v>359.23</v>
      </c>
      <c r="M589">
        <f t="shared" si="74"/>
        <v>56.26</v>
      </c>
      <c r="N589" t="str">
        <f t="shared" si="75"/>
        <v>External Wire Clearance</v>
      </c>
      <c r="O589" t="str">
        <f t="shared" si="76"/>
        <v>Transfer</v>
      </c>
      <c r="P589" t="str">
        <f t="shared" si="77"/>
        <v>Deposit</v>
      </c>
      <c r="Q589">
        <f t="shared" si="78"/>
        <v>359.23</v>
      </c>
      <c r="R589">
        <f t="shared" si="79"/>
        <v>19.160000000000025</v>
      </c>
    </row>
    <row r="590" spans="1:18" x14ac:dyDescent="0.3">
      <c r="A590" t="s">
        <v>598</v>
      </c>
      <c r="B590" t="s">
        <v>868</v>
      </c>
      <c r="C590" s="4" t="s">
        <v>984</v>
      </c>
      <c r="D590" t="s">
        <v>1292</v>
      </c>
      <c r="E590" t="s">
        <v>1297</v>
      </c>
      <c r="F590" t="s">
        <v>1305</v>
      </c>
      <c r="H590">
        <v>136.46</v>
      </c>
      <c r="I590">
        <v>36.46</v>
      </c>
      <c r="J590">
        <v>105.02</v>
      </c>
      <c r="K590">
        <f t="shared" si="72"/>
        <v>136.46</v>
      </c>
      <c r="L590">
        <f t="shared" si="73"/>
        <v>100</v>
      </c>
      <c r="M590">
        <f t="shared" si="74"/>
        <v>36.46</v>
      </c>
      <c r="N590" t="str">
        <f t="shared" si="75"/>
        <v>Mcdonalds Corp Express</v>
      </c>
      <c r="O590" t="str">
        <f t="shared" si="76"/>
        <v>Dining Out</v>
      </c>
      <c r="P590" t="str">
        <f t="shared" si="77"/>
        <v>Deposit</v>
      </c>
      <c r="Q590">
        <f t="shared" si="78"/>
        <v>1219.4163333333336</v>
      </c>
      <c r="R590">
        <f t="shared" si="79"/>
        <v>1114.3963333333336</v>
      </c>
    </row>
    <row r="591" spans="1:18" x14ac:dyDescent="0.3">
      <c r="A591" t="s">
        <v>599</v>
      </c>
      <c r="B591" t="s">
        <v>799</v>
      </c>
      <c r="C591" s="4" t="s">
        <v>1159</v>
      </c>
      <c r="D591" t="s">
        <v>1291</v>
      </c>
      <c r="E591" t="s">
        <v>1297</v>
      </c>
      <c r="F591" t="s">
        <v>1305</v>
      </c>
      <c r="G591" s="9">
        <v>123.94</v>
      </c>
      <c r="H591">
        <v>168.04</v>
      </c>
      <c r="I591">
        <v>-25.21</v>
      </c>
      <c r="J591">
        <v>139.03</v>
      </c>
      <c r="K591">
        <f t="shared" si="72"/>
        <v>168.04</v>
      </c>
      <c r="L591">
        <f t="shared" si="73"/>
        <v>193.25</v>
      </c>
      <c r="M591">
        <f t="shared" si="74"/>
        <v>-25.21</v>
      </c>
      <c r="N591" t="str">
        <f t="shared" si="75"/>
        <v>Mcdonalds Corp Express</v>
      </c>
      <c r="O591" t="str">
        <f t="shared" si="76"/>
        <v>Dining Out</v>
      </c>
      <c r="P591" t="str">
        <f t="shared" si="77"/>
        <v>Withdrawal</v>
      </c>
      <c r="Q591">
        <f t="shared" si="78"/>
        <v>123.94</v>
      </c>
      <c r="R591">
        <f t="shared" si="79"/>
        <v>-15.090000000000003</v>
      </c>
    </row>
    <row r="592" spans="1:18" x14ac:dyDescent="0.3">
      <c r="A592" t="s">
        <v>600</v>
      </c>
      <c r="B592" t="s">
        <v>875</v>
      </c>
      <c r="C592" s="4" t="s">
        <v>1144</v>
      </c>
      <c r="D592" t="s">
        <v>1291</v>
      </c>
      <c r="E592" t="s">
        <v>1293</v>
      </c>
      <c r="F592" t="s">
        <v>1300</v>
      </c>
      <c r="G592" s="9">
        <v>1140.6300000000001</v>
      </c>
      <c r="H592">
        <v>1565.55</v>
      </c>
      <c r="I592">
        <v>-234.83</v>
      </c>
      <c r="J592">
        <v>1076.53</v>
      </c>
      <c r="K592">
        <f t="shared" si="72"/>
        <v>1565.55</v>
      </c>
      <c r="L592">
        <f t="shared" si="73"/>
        <v>1800.3799999999999</v>
      </c>
      <c r="M592">
        <f t="shared" si="74"/>
        <v>-234.83</v>
      </c>
      <c r="N592" t="str">
        <f t="shared" si="75"/>
        <v>State Hydro Grid</v>
      </c>
      <c r="O592" t="str">
        <f t="shared" si="76"/>
        <v>Utilities</v>
      </c>
      <c r="P592" t="str">
        <f t="shared" si="77"/>
        <v>Withdrawal</v>
      </c>
      <c r="Q592">
        <f t="shared" si="78"/>
        <v>1140.6300000000001</v>
      </c>
      <c r="R592">
        <f t="shared" si="79"/>
        <v>64.100000000000136</v>
      </c>
    </row>
    <row r="593" spans="1:18" x14ac:dyDescent="0.3">
      <c r="A593" t="s">
        <v>601</v>
      </c>
      <c r="B593" t="s">
        <v>901</v>
      </c>
      <c r="C593" s="4" t="s">
        <v>974</v>
      </c>
      <c r="D593" t="s">
        <v>1292</v>
      </c>
      <c r="E593" t="s">
        <v>1293</v>
      </c>
      <c r="F593" t="s">
        <v>1320</v>
      </c>
      <c r="G593" s="9">
        <v>532.64</v>
      </c>
      <c r="H593">
        <v>691.44</v>
      </c>
      <c r="I593">
        <v>158.80000000000001</v>
      </c>
      <c r="J593">
        <v>558.63</v>
      </c>
      <c r="K593">
        <f t="shared" si="72"/>
        <v>691.44</v>
      </c>
      <c r="L593">
        <f t="shared" si="73"/>
        <v>532.6400000000001</v>
      </c>
      <c r="M593">
        <f t="shared" si="74"/>
        <v>158.80000000000001</v>
      </c>
      <c r="N593" t="str">
        <f t="shared" si="75"/>
        <v>City Power &amp; Gas Co</v>
      </c>
      <c r="O593" t="str">
        <f t="shared" si="76"/>
        <v>Utilities</v>
      </c>
      <c r="P593" t="str">
        <f t="shared" si="77"/>
        <v>Deposit</v>
      </c>
      <c r="Q593">
        <f t="shared" si="78"/>
        <v>532.64</v>
      </c>
      <c r="R593">
        <f t="shared" si="79"/>
        <v>-25.990000000000009</v>
      </c>
    </row>
    <row r="594" spans="1:18" x14ac:dyDescent="0.3">
      <c r="A594" t="s">
        <v>602</v>
      </c>
      <c r="B594" t="s">
        <v>833</v>
      </c>
      <c r="C594" s="4" t="s">
        <v>1248</v>
      </c>
      <c r="D594" t="s">
        <v>1292</v>
      </c>
      <c r="E594" t="s">
        <v>1293</v>
      </c>
      <c r="F594" t="s">
        <v>1320</v>
      </c>
      <c r="G594" s="9">
        <v>996.28</v>
      </c>
      <c r="H594">
        <v>1261.3800000000001</v>
      </c>
      <c r="I594">
        <v>265.10000000000002</v>
      </c>
      <c r="J594">
        <v>1149.1500000000001</v>
      </c>
      <c r="K594">
        <f t="shared" si="72"/>
        <v>1261.3800000000001</v>
      </c>
      <c r="L594">
        <f t="shared" si="73"/>
        <v>996.28000000000009</v>
      </c>
      <c r="M594">
        <f t="shared" si="74"/>
        <v>265.10000000000002</v>
      </c>
      <c r="N594" t="str">
        <f t="shared" si="75"/>
        <v>City Power &amp; Gas Co</v>
      </c>
      <c r="O594" t="str">
        <f t="shared" si="76"/>
        <v>Utilities</v>
      </c>
      <c r="P594" t="str">
        <f t="shared" si="77"/>
        <v>Deposit</v>
      </c>
      <c r="Q594">
        <f t="shared" si="78"/>
        <v>996.28</v>
      </c>
      <c r="R594">
        <f t="shared" si="79"/>
        <v>-152.87000000000012</v>
      </c>
    </row>
    <row r="595" spans="1:18" x14ac:dyDescent="0.3">
      <c r="A595" t="s">
        <v>603</v>
      </c>
      <c r="B595" t="s">
        <v>881</v>
      </c>
      <c r="C595" s="4" t="s">
        <v>1128</v>
      </c>
      <c r="D595" t="s">
        <v>1291</v>
      </c>
      <c r="E595" t="s">
        <v>1299</v>
      </c>
      <c r="F595" t="s">
        <v>1312</v>
      </c>
      <c r="G595" s="9">
        <v>1131.46</v>
      </c>
      <c r="H595">
        <v>1572.98</v>
      </c>
      <c r="I595">
        <v>-235.95</v>
      </c>
      <c r="J595">
        <v>1332.68</v>
      </c>
      <c r="K595">
        <f t="shared" si="72"/>
        <v>1572.98</v>
      </c>
      <c r="L595">
        <f t="shared" si="73"/>
        <v>1808.93</v>
      </c>
      <c r="M595">
        <f t="shared" si="74"/>
        <v>-235.95</v>
      </c>
      <c r="N595" t="str">
        <f t="shared" si="75"/>
        <v>Netflix Streaming Premium</v>
      </c>
      <c r="O595" t="str">
        <f t="shared" si="76"/>
        <v>Entertainment</v>
      </c>
      <c r="P595" t="str">
        <f t="shared" si="77"/>
        <v>Withdrawal</v>
      </c>
      <c r="Q595">
        <f t="shared" si="78"/>
        <v>1131.46</v>
      </c>
      <c r="R595">
        <f t="shared" si="79"/>
        <v>-201.22000000000003</v>
      </c>
    </row>
    <row r="596" spans="1:18" x14ac:dyDescent="0.3">
      <c r="A596" t="s">
        <v>604</v>
      </c>
      <c r="B596" t="s">
        <v>786</v>
      </c>
      <c r="C596" s="4" t="s">
        <v>1070</v>
      </c>
      <c r="D596" t="s">
        <v>1292</v>
      </c>
      <c r="E596" t="s">
        <v>1293</v>
      </c>
      <c r="F596" t="s">
        <v>1320</v>
      </c>
      <c r="G596" s="9">
        <v>758.21</v>
      </c>
      <c r="H596">
        <v>1053.03</v>
      </c>
      <c r="I596">
        <v>294.82</v>
      </c>
      <c r="J596">
        <v>770.96</v>
      </c>
      <c r="K596">
        <f t="shared" si="72"/>
        <v>1053.03</v>
      </c>
      <c r="L596">
        <f t="shared" si="73"/>
        <v>758.21</v>
      </c>
      <c r="M596">
        <f t="shared" si="74"/>
        <v>294.82</v>
      </c>
      <c r="N596" t="str">
        <f t="shared" si="75"/>
        <v>City Power &amp; Gas Co</v>
      </c>
      <c r="O596" t="str">
        <f t="shared" si="76"/>
        <v>Utilities</v>
      </c>
      <c r="P596" t="str">
        <f t="shared" si="77"/>
        <v>Deposit</v>
      </c>
      <c r="Q596">
        <f t="shared" si="78"/>
        <v>758.21</v>
      </c>
      <c r="R596">
        <f t="shared" si="79"/>
        <v>-12.75</v>
      </c>
    </row>
    <row r="597" spans="1:18" x14ac:dyDescent="0.3">
      <c r="A597" t="s">
        <v>605</v>
      </c>
      <c r="B597" t="s">
        <v>842</v>
      </c>
      <c r="C597" s="4" t="s">
        <v>1249</v>
      </c>
      <c r="D597" t="s">
        <v>1291</v>
      </c>
      <c r="E597" t="s">
        <v>1295</v>
      </c>
      <c r="F597" t="s">
        <v>1302</v>
      </c>
      <c r="G597" s="9">
        <v>1112.56</v>
      </c>
      <c r="H597">
        <v>1279.53</v>
      </c>
      <c r="I597">
        <v>-191.93</v>
      </c>
      <c r="J597">
        <v>1276.5999999999999</v>
      </c>
      <c r="K597">
        <f t="shared" si="72"/>
        <v>1279.53</v>
      </c>
      <c r="L597">
        <f t="shared" si="73"/>
        <v>1471.46</v>
      </c>
      <c r="M597">
        <f t="shared" si="74"/>
        <v>-191.93</v>
      </c>
      <c r="N597" t="str">
        <f t="shared" si="75"/>
        <v>Supermart Marketplace</v>
      </c>
      <c r="O597" t="str">
        <f t="shared" si="76"/>
        <v>Groceries</v>
      </c>
      <c r="P597" t="str">
        <f t="shared" si="77"/>
        <v>Withdrawal</v>
      </c>
      <c r="Q597">
        <f t="shared" si="78"/>
        <v>1112.56</v>
      </c>
      <c r="R597">
        <f t="shared" si="79"/>
        <v>-164.03999999999996</v>
      </c>
    </row>
    <row r="598" spans="1:18" x14ac:dyDescent="0.3">
      <c r="A598" t="s">
        <v>606</v>
      </c>
      <c r="B598" t="s">
        <v>813</v>
      </c>
      <c r="C598" s="4" t="s">
        <v>1250</v>
      </c>
      <c r="D598" t="s">
        <v>1292</v>
      </c>
      <c r="E598" t="s">
        <v>1299</v>
      </c>
      <c r="F598" t="s">
        <v>1312</v>
      </c>
      <c r="G598" s="9">
        <v>868.17</v>
      </c>
      <c r="H598">
        <v>1159.98</v>
      </c>
      <c r="I598">
        <v>291.81</v>
      </c>
      <c r="J598">
        <v>826.98</v>
      </c>
      <c r="K598">
        <f t="shared" si="72"/>
        <v>1159.98</v>
      </c>
      <c r="L598">
        <f t="shared" si="73"/>
        <v>868.17000000000007</v>
      </c>
      <c r="M598">
        <f t="shared" si="74"/>
        <v>291.81</v>
      </c>
      <c r="N598" t="str">
        <f t="shared" si="75"/>
        <v>Netflix Streaming Premium</v>
      </c>
      <c r="O598" t="str">
        <f t="shared" si="76"/>
        <v>Entertainment</v>
      </c>
      <c r="P598" t="str">
        <f t="shared" si="77"/>
        <v>Deposit</v>
      </c>
      <c r="Q598">
        <f t="shared" si="78"/>
        <v>868.17</v>
      </c>
      <c r="R598">
        <f t="shared" si="79"/>
        <v>41.189999999999941</v>
      </c>
    </row>
    <row r="599" spans="1:18" x14ac:dyDescent="0.3">
      <c r="A599" t="s">
        <v>607</v>
      </c>
      <c r="B599" t="s">
        <v>858</v>
      </c>
      <c r="C599" s="4" t="s">
        <v>985</v>
      </c>
      <c r="D599" t="s">
        <v>1292</v>
      </c>
      <c r="E599" t="s">
        <v>1293</v>
      </c>
      <c r="F599" t="s">
        <v>1320</v>
      </c>
      <c r="G599" s="9">
        <v>990.97</v>
      </c>
      <c r="H599">
        <v>1315.85</v>
      </c>
      <c r="I599">
        <v>324.88</v>
      </c>
      <c r="J599">
        <v>1134.78</v>
      </c>
      <c r="K599">
        <f t="shared" si="72"/>
        <v>1315.85</v>
      </c>
      <c r="L599">
        <f t="shared" si="73"/>
        <v>990.96999999999991</v>
      </c>
      <c r="M599">
        <f t="shared" si="74"/>
        <v>324.88</v>
      </c>
      <c r="N599" t="str">
        <f t="shared" si="75"/>
        <v>City Power &amp; Gas Co</v>
      </c>
      <c r="O599" t="str">
        <f t="shared" si="76"/>
        <v>Utilities</v>
      </c>
      <c r="P599" t="str">
        <f t="shared" si="77"/>
        <v>Deposit</v>
      </c>
      <c r="Q599">
        <f t="shared" si="78"/>
        <v>990.97</v>
      </c>
      <c r="R599">
        <f t="shared" si="79"/>
        <v>-143.80999999999995</v>
      </c>
    </row>
    <row r="600" spans="1:18" x14ac:dyDescent="0.3">
      <c r="A600" t="s">
        <v>608</v>
      </c>
      <c r="B600" t="s">
        <v>800</v>
      </c>
      <c r="C600" s="4" t="s">
        <v>1251</v>
      </c>
      <c r="D600" t="s">
        <v>1291</v>
      </c>
      <c r="E600" t="s">
        <v>1298</v>
      </c>
      <c r="F600" t="s">
        <v>1317</v>
      </c>
      <c r="G600" s="9">
        <v>37.39</v>
      </c>
      <c r="H600">
        <v>46.21</v>
      </c>
      <c r="I600">
        <v>-6.93</v>
      </c>
      <c r="J600">
        <v>34.770000000000003</v>
      </c>
      <c r="K600">
        <f t="shared" si="72"/>
        <v>46.21</v>
      </c>
      <c r="L600">
        <f t="shared" si="73"/>
        <v>53.14</v>
      </c>
      <c r="M600">
        <f t="shared" si="74"/>
        <v>-6.93</v>
      </c>
      <c r="N600" t="str">
        <f t="shared" si="75"/>
        <v>External Wire Clearance</v>
      </c>
      <c r="O600" t="str">
        <f t="shared" si="76"/>
        <v>Transfer</v>
      </c>
      <c r="P600" t="str">
        <f t="shared" si="77"/>
        <v>Withdrawal</v>
      </c>
      <c r="Q600">
        <f t="shared" si="78"/>
        <v>37.39</v>
      </c>
      <c r="R600">
        <f t="shared" si="79"/>
        <v>2.6199999999999974</v>
      </c>
    </row>
    <row r="601" spans="1:18" x14ac:dyDescent="0.3">
      <c r="A601" t="s">
        <v>609</v>
      </c>
      <c r="B601" t="s">
        <v>882</v>
      </c>
      <c r="C601" s="4" t="s">
        <v>951</v>
      </c>
      <c r="D601" t="s">
        <v>1291</v>
      </c>
      <c r="E601" t="s">
        <v>1298</v>
      </c>
      <c r="F601" t="s">
        <v>1306</v>
      </c>
      <c r="G601" s="9">
        <v>114.14</v>
      </c>
      <c r="H601">
        <v>138.5</v>
      </c>
      <c r="I601">
        <v>-20.77</v>
      </c>
      <c r="J601">
        <v>121.53</v>
      </c>
      <c r="K601">
        <f t="shared" si="72"/>
        <v>138.5</v>
      </c>
      <c r="L601">
        <f t="shared" si="73"/>
        <v>159.27000000000001</v>
      </c>
      <c r="M601">
        <f t="shared" si="74"/>
        <v>-20.77</v>
      </c>
      <c r="N601" t="str">
        <f t="shared" si="75"/>
        <v>Internal P2P Route</v>
      </c>
      <c r="O601" t="str">
        <f t="shared" si="76"/>
        <v>Transfer</v>
      </c>
      <c r="P601" t="str">
        <f t="shared" si="77"/>
        <v>Withdrawal</v>
      </c>
      <c r="Q601">
        <f t="shared" si="78"/>
        <v>114.14</v>
      </c>
      <c r="R601">
        <f t="shared" si="79"/>
        <v>-7.3900000000000006</v>
      </c>
    </row>
    <row r="602" spans="1:18" x14ac:dyDescent="0.3">
      <c r="A602" t="s">
        <v>610</v>
      </c>
      <c r="B602" t="s">
        <v>814</v>
      </c>
      <c r="C602" s="4" t="s">
        <v>964</v>
      </c>
      <c r="D602" t="s">
        <v>1291</v>
      </c>
      <c r="E602" t="s">
        <v>1293</v>
      </c>
      <c r="F602" t="s">
        <v>1318</v>
      </c>
      <c r="G602" s="9">
        <v>138.80000000000001</v>
      </c>
      <c r="H602">
        <v>190.33</v>
      </c>
      <c r="I602">
        <v>-28.55</v>
      </c>
      <c r="J602">
        <v>125.63</v>
      </c>
      <c r="K602">
        <f t="shared" si="72"/>
        <v>190.33</v>
      </c>
      <c r="L602">
        <f t="shared" si="73"/>
        <v>218.88000000000002</v>
      </c>
      <c r="M602">
        <f t="shared" si="74"/>
        <v>-28.55</v>
      </c>
      <c r="N602" t="str">
        <f t="shared" si="75"/>
        <v>Metropolitan Water Sewer</v>
      </c>
      <c r="O602" t="str">
        <f t="shared" si="76"/>
        <v>Utilities</v>
      </c>
      <c r="P602" t="str">
        <f t="shared" si="77"/>
        <v>Withdrawal</v>
      </c>
      <c r="Q602">
        <f t="shared" si="78"/>
        <v>138.80000000000001</v>
      </c>
      <c r="R602">
        <f t="shared" si="79"/>
        <v>13.170000000000016</v>
      </c>
    </row>
    <row r="603" spans="1:18" x14ac:dyDescent="0.3">
      <c r="A603" t="s">
        <v>611</v>
      </c>
      <c r="B603" t="s">
        <v>916</v>
      </c>
      <c r="C603" s="4" t="s">
        <v>1101</v>
      </c>
      <c r="D603" t="s">
        <v>1292</v>
      </c>
      <c r="E603" t="s">
        <v>1297</v>
      </c>
      <c r="F603" t="s">
        <v>1309</v>
      </c>
      <c r="G603" s="9">
        <v>18.670000000000002</v>
      </c>
      <c r="H603">
        <v>23.75</v>
      </c>
      <c r="I603">
        <v>5.08</v>
      </c>
      <c r="J603">
        <v>20.8</v>
      </c>
      <c r="K603">
        <f t="shared" si="72"/>
        <v>23.75</v>
      </c>
      <c r="L603">
        <f t="shared" si="73"/>
        <v>18.670000000000002</v>
      </c>
      <c r="M603">
        <f t="shared" si="74"/>
        <v>5.08</v>
      </c>
      <c r="N603" t="str">
        <f t="shared" si="75"/>
        <v>Olive Garden Gourmet</v>
      </c>
      <c r="O603" t="str">
        <f t="shared" si="76"/>
        <v>Dining Out</v>
      </c>
      <c r="P603" t="str">
        <f t="shared" si="77"/>
        <v>Deposit</v>
      </c>
      <c r="Q603">
        <f t="shared" si="78"/>
        <v>18.670000000000002</v>
      </c>
      <c r="R603">
        <f t="shared" si="79"/>
        <v>-2.129999999999999</v>
      </c>
    </row>
    <row r="604" spans="1:18" x14ac:dyDescent="0.3">
      <c r="A604" t="s">
        <v>612</v>
      </c>
      <c r="B604" t="s">
        <v>801</v>
      </c>
      <c r="C604" s="4" t="s">
        <v>969</v>
      </c>
      <c r="D604" t="s">
        <v>1292</v>
      </c>
      <c r="E604" t="s">
        <v>1296</v>
      </c>
      <c r="F604" t="s">
        <v>1308</v>
      </c>
      <c r="G604" s="9">
        <v>9261.5</v>
      </c>
      <c r="H604">
        <v>11015.41</v>
      </c>
      <c r="I604">
        <v>1753.91</v>
      </c>
      <c r="J604">
        <v>10753.66</v>
      </c>
      <c r="K604">
        <f t="shared" si="72"/>
        <v>11015.41</v>
      </c>
      <c r="L604">
        <f t="shared" si="73"/>
        <v>9261.5</v>
      </c>
      <c r="M604">
        <f t="shared" si="74"/>
        <v>1753.91</v>
      </c>
      <c r="N604" t="str">
        <f t="shared" si="75"/>
        <v>Stark Retail Labs</v>
      </c>
      <c r="O604" t="str">
        <f t="shared" si="76"/>
        <v>Salary</v>
      </c>
      <c r="P604" t="str">
        <f t="shared" si="77"/>
        <v>Deposit</v>
      </c>
      <c r="Q604">
        <f t="shared" si="78"/>
        <v>9261.5</v>
      </c>
      <c r="R604">
        <f t="shared" si="79"/>
        <v>-1492.1599999999999</v>
      </c>
    </row>
    <row r="605" spans="1:18" x14ac:dyDescent="0.3">
      <c r="A605" t="s">
        <v>613</v>
      </c>
      <c r="B605" t="s">
        <v>919</v>
      </c>
      <c r="C605" s="4" t="s">
        <v>948</v>
      </c>
      <c r="D605" t="s">
        <v>1292</v>
      </c>
      <c r="E605" t="s">
        <v>1299</v>
      </c>
      <c r="F605" t="s">
        <v>1316</v>
      </c>
      <c r="G605" s="9">
        <v>1041.8</v>
      </c>
      <c r="H605">
        <v>1261.92</v>
      </c>
      <c r="J605">
        <v>1060.04</v>
      </c>
      <c r="K605">
        <f t="shared" si="72"/>
        <v>1261.92</v>
      </c>
      <c r="L605">
        <f t="shared" si="73"/>
        <v>1306.102985074627</v>
      </c>
      <c r="M605">
        <f t="shared" si="74"/>
        <v>-44.182985074626863</v>
      </c>
      <c r="N605" t="str">
        <f t="shared" si="75"/>
        <v>Amc Cinema Network</v>
      </c>
      <c r="O605" t="str">
        <f t="shared" si="76"/>
        <v>Entertainment</v>
      </c>
      <c r="P605" t="str">
        <f t="shared" si="77"/>
        <v>Deposit</v>
      </c>
      <c r="Q605">
        <f t="shared" si="78"/>
        <v>1041.8</v>
      </c>
      <c r="R605">
        <f t="shared" si="79"/>
        <v>-18.240000000000009</v>
      </c>
    </row>
    <row r="606" spans="1:18" x14ac:dyDescent="0.3">
      <c r="A606" t="s">
        <v>614</v>
      </c>
      <c r="B606" t="s">
        <v>855</v>
      </c>
      <c r="C606" s="4" t="s">
        <v>1120</v>
      </c>
      <c r="D606" t="s">
        <v>1291</v>
      </c>
      <c r="E606" t="s">
        <v>1298</v>
      </c>
      <c r="F606" t="s">
        <v>1310</v>
      </c>
      <c r="G606" s="9">
        <v>777.87</v>
      </c>
      <c r="H606">
        <v>936.7</v>
      </c>
      <c r="I606">
        <v>-140.5</v>
      </c>
      <c r="J606">
        <v>726.7</v>
      </c>
      <c r="K606">
        <f t="shared" si="72"/>
        <v>936.7</v>
      </c>
      <c r="L606">
        <f t="shared" si="73"/>
        <v>1077.2</v>
      </c>
      <c r="M606">
        <f t="shared" si="74"/>
        <v>-140.5</v>
      </c>
      <c r="N606" t="str">
        <f t="shared" si="75"/>
        <v>Zelle Payment Engine</v>
      </c>
      <c r="O606" t="str">
        <f t="shared" si="76"/>
        <v>Transfer</v>
      </c>
      <c r="P606" t="str">
        <f t="shared" si="77"/>
        <v>Withdrawal</v>
      </c>
      <c r="Q606">
        <f t="shared" si="78"/>
        <v>777.87</v>
      </c>
      <c r="R606">
        <f t="shared" si="79"/>
        <v>51.169999999999959</v>
      </c>
    </row>
    <row r="607" spans="1:18" x14ac:dyDescent="0.3">
      <c r="A607" t="s">
        <v>615</v>
      </c>
      <c r="B607" t="s">
        <v>932</v>
      </c>
      <c r="C607" s="4" t="s">
        <v>1252</v>
      </c>
      <c r="D607" t="s">
        <v>1291</v>
      </c>
      <c r="E607" t="s">
        <v>1295</v>
      </c>
      <c r="F607" t="s">
        <v>1302</v>
      </c>
      <c r="G607" s="9">
        <v>1065.3900000000001</v>
      </c>
      <c r="H607">
        <v>1357.37</v>
      </c>
      <c r="I607">
        <v>-203.61</v>
      </c>
      <c r="J607">
        <v>1130.83</v>
      </c>
      <c r="K607">
        <f t="shared" si="72"/>
        <v>1357.37</v>
      </c>
      <c r="L607">
        <f t="shared" si="73"/>
        <v>1560.98</v>
      </c>
      <c r="M607">
        <f t="shared" si="74"/>
        <v>-203.61</v>
      </c>
      <c r="N607" t="str">
        <f t="shared" si="75"/>
        <v>Supermart Marketplace</v>
      </c>
      <c r="O607" t="str">
        <f t="shared" si="76"/>
        <v>Groceries</v>
      </c>
      <c r="P607" t="str">
        <f t="shared" si="77"/>
        <v>Withdrawal</v>
      </c>
      <c r="Q607">
        <f t="shared" si="78"/>
        <v>1065.3900000000001</v>
      </c>
      <c r="R607">
        <f t="shared" si="79"/>
        <v>-65.439999999999827</v>
      </c>
    </row>
    <row r="608" spans="1:18" x14ac:dyDescent="0.3">
      <c r="A608" t="s">
        <v>616</v>
      </c>
      <c r="B608" t="s">
        <v>790</v>
      </c>
      <c r="C608" s="4" t="s">
        <v>1062</v>
      </c>
      <c r="D608" t="s">
        <v>1292</v>
      </c>
      <c r="E608" t="s">
        <v>1298</v>
      </c>
      <c r="F608" t="s">
        <v>1306</v>
      </c>
      <c r="G608" s="9">
        <v>632.51</v>
      </c>
      <c r="H608">
        <v>809.24</v>
      </c>
      <c r="I608">
        <v>176.73</v>
      </c>
      <c r="J608">
        <v>576.95000000000005</v>
      </c>
      <c r="K608">
        <f t="shared" si="72"/>
        <v>809.24</v>
      </c>
      <c r="L608">
        <f t="shared" si="73"/>
        <v>632.51</v>
      </c>
      <c r="M608">
        <f t="shared" si="74"/>
        <v>176.73</v>
      </c>
      <c r="N608" t="str">
        <f t="shared" si="75"/>
        <v>Internal P2P Route</v>
      </c>
      <c r="O608" t="str">
        <f t="shared" si="76"/>
        <v>Transfer</v>
      </c>
      <c r="P608" t="str">
        <f t="shared" si="77"/>
        <v>Deposit</v>
      </c>
      <c r="Q608">
        <f t="shared" si="78"/>
        <v>632.51</v>
      </c>
      <c r="R608">
        <f t="shared" si="79"/>
        <v>55.559999999999945</v>
      </c>
    </row>
    <row r="609" spans="1:18" x14ac:dyDescent="0.3">
      <c r="A609" t="s">
        <v>617</v>
      </c>
      <c r="B609" t="s">
        <v>869</v>
      </c>
      <c r="C609" s="4" t="s">
        <v>1253</v>
      </c>
      <c r="D609" t="s">
        <v>1292</v>
      </c>
      <c r="E609" t="s">
        <v>1299</v>
      </c>
      <c r="F609" t="s">
        <v>1312</v>
      </c>
      <c r="G609" s="9">
        <v>226.44</v>
      </c>
      <c r="H609">
        <v>308.77999999999997</v>
      </c>
      <c r="I609">
        <v>82.34</v>
      </c>
      <c r="J609">
        <v>221.4</v>
      </c>
      <c r="K609">
        <f t="shared" si="72"/>
        <v>308.77999999999997</v>
      </c>
      <c r="L609">
        <f t="shared" si="73"/>
        <v>226.43999999999997</v>
      </c>
      <c r="M609">
        <f t="shared" si="74"/>
        <v>82.34</v>
      </c>
      <c r="N609" t="str">
        <f t="shared" si="75"/>
        <v>Netflix Streaming Premium</v>
      </c>
      <c r="O609" t="str">
        <f t="shared" si="76"/>
        <v>Entertainment</v>
      </c>
      <c r="P609" t="str">
        <f t="shared" si="77"/>
        <v>Deposit</v>
      </c>
      <c r="Q609">
        <f t="shared" si="78"/>
        <v>226.44</v>
      </c>
      <c r="R609">
        <f t="shared" si="79"/>
        <v>5.039999999999992</v>
      </c>
    </row>
    <row r="610" spans="1:18" x14ac:dyDescent="0.3">
      <c r="A610" t="s">
        <v>618</v>
      </c>
      <c r="B610" t="s">
        <v>791</v>
      </c>
      <c r="C610" s="4" t="s">
        <v>1138</v>
      </c>
      <c r="D610" t="s">
        <v>1292</v>
      </c>
      <c r="E610" t="s">
        <v>1298</v>
      </c>
      <c r="F610" t="s">
        <v>1306</v>
      </c>
      <c r="G610" s="9">
        <v>19.260000000000002</v>
      </c>
      <c r="H610">
        <v>24.99</v>
      </c>
      <c r="I610">
        <v>5.73</v>
      </c>
      <c r="J610">
        <v>17.440000000000001</v>
      </c>
      <c r="K610">
        <f t="shared" si="72"/>
        <v>24.99</v>
      </c>
      <c r="L610">
        <f t="shared" si="73"/>
        <v>19.259999999999998</v>
      </c>
      <c r="M610">
        <f t="shared" si="74"/>
        <v>5.73</v>
      </c>
      <c r="N610" t="str">
        <f t="shared" si="75"/>
        <v>Internal P2P Route</v>
      </c>
      <c r="O610" t="str">
        <f t="shared" si="76"/>
        <v>Transfer</v>
      </c>
      <c r="P610" t="str">
        <f t="shared" si="77"/>
        <v>Deposit</v>
      </c>
      <c r="Q610">
        <f t="shared" si="78"/>
        <v>19.260000000000002</v>
      </c>
      <c r="R610">
        <f t="shared" si="79"/>
        <v>1.8200000000000003</v>
      </c>
    </row>
    <row r="611" spans="1:18" x14ac:dyDescent="0.3">
      <c r="A611" t="s">
        <v>619</v>
      </c>
      <c r="B611" t="s">
        <v>899</v>
      </c>
      <c r="C611" s="4" t="s">
        <v>1214</v>
      </c>
      <c r="D611" t="s">
        <v>1292</v>
      </c>
      <c r="E611" t="s">
        <v>1298</v>
      </c>
      <c r="F611" t="s">
        <v>1306</v>
      </c>
      <c r="G611" s="9">
        <v>1152.27</v>
      </c>
      <c r="H611">
        <v>1364.85</v>
      </c>
      <c r="I611">
        <v>212.58</v>
      </c>
      <c r="J611">
        <v>1363.66</v>
      </c>
      <c r="K611">
        <f t="shared" si="72"/>
        <v>1364.85</v>
      </c>
      <c r="L611">
        <f t="shared" si="73"/>
        <v>1152.27</v>
      </c>
      <c r="M611">
        <f t="shared" si="74"/>
        <v>212.58</v>
      </c>
      <c r="N611" t="str">
        <f t="shared" si="75"/>
        <v>Internal P2P Route</v>
      </c>
      <c r="O611" t="str">
        <f t="shared" si="76"/>
        <v>Transfer</v>
      </c>
      <c r="P611" t="str">
        <f t="shared" si="77"/>
        <v>Deposit</v>
      </c>
      <c r="Q611">
        <f t="shared" si="78"/>
        <v>1152.27</v>
      </c>
      <c r="R611">
        <f t="shared" si="79"/>
        <v>-211.3900000000001</v>
      </c>
    </row>
    <row r="612" spans="1:18" x14ac:dyDescent="0.3">
      <c r="A612" t="s">
        <v>620</v>
      </c>
      <c r="B612" t="s">
        <v>843</v>
      </c>
      <c r="C612" s="4" t="s">
        <v>1208</v>
      </c>
      <c r="D612" t="s">
        <v>1292</v>
      </c>
      <c r="E612" t="s">
        <v>1298</v>
      </c>
      <c r="F612" t="s">
        <v>1310</v>
      </c>
      <c r="G612" s="9">
        <v>1023.62</v>
      </c>
      <c r="H612">
        <v>1324.44</v>
      </c>
      <c r="I612">
        <v>300.82</v>
      </c>
      <c r="J612">
        <v>1173.53</v>
      </c>
      <c r="K612">
        <f t="shared" si="72"/>
        <v>1324.44</v>
      </c>
      <c r="L612">
        <f t="shared" si="73"/>
        <v>1023.6200000000001</v>
      </c>
      <c r="M612">
        <f t="shared" si="74"/>
        <v>300.82</v>
      </c>
      <c r="N612" t="str">
        <f t="shared" si="75"/>
        <v>Zelle Payment Engine</v>
      </c>
      <c r="O612" t="str">
        <f t="shared" si="76"/>
        <v>Transfer</v>
      </c>
      <c r="P612" t="str">
        <f t="shared" si="77"/>
        <v>Deposit</v>
      </c>
      <c r="Q612">
        <f t="shared" si="78"/>
        <v>1023.62</v>
      </c>
      <c r="R612">
        <f t="shared" si="79"/>
        <v>-149.90999999999997</v>
      </c>
    </row>
    <row r="613" spans="1:18" x14ac:dyDescent="0.3">
      <c r="A613" t="s">
        <v>621</v>
      </c>
      <c r="B613" t="s">
        <v>871</v>
      </c>
      <c r="C613" s="4" t="s">
        <v>1181</v>
      </c>
      <c r="D613" t="s">
        <v>1291</v>
      </c>
      <c r="E613" t="s">
        <v>1296</v>
      </c>
      <c r="F613" t="s">
        <v>1308</v>
      </c>
      <c r="G613" s="9">
        <v>6977.93</v>
      </c>
      <c r="H613">
        <v>8814.48</v>
      </c>
      <c r="I613">
        <v>-1322.17</v>
      </c>
      <c r="J613">
        <v>7907.15</v>
      </c>
      <c r="K613">
        <f t="shared" si="72"/>
        <v>8814.48</v>
      </c>
      <c r="L613">
        <f t="shared" si="73"/>
        <v>10136.65</v>
      </c>
      <c r="M613">
        <f t="shared" si="74"/>
        <v>-1322.17</v>
      </c>
      <c r="N613" t="str">
        <f t="shared" si="75"/>
        <v>Stark Retail Labs</v>
      </c>
      <c r="O613" t="str">
        <f t="shared" si="76"/>
        <v>Salary</v>
      </c>
      <c r="P613" t="str">
        <f t="shared" si="77"/>
        <v>Withdrawal</v>
      </c>
      <c r="Q613">
        <f t="shared" si="78"/>
        <v>6977.93</v>
      </c>
      <c r="R613">
        <f t="shared" si="79"/>
        <v>-929.21999999999935</v>
      </c>
    </row>
    <row r="614" spans="1:18" x14ac:dyDescent="0.3">
      <c r="A614" t="s">
        <v>622</v>
      </c>
      <c r="B614" t="s">
        <v>816</v>
      </c>
      <c r="C614" s="4" t="s">
        <v>1120</v>
      </c>
      <c r="D614" t="s">
        <v>1292</v>
      </c>
      <c r="E614" t="s">
        <v>1293</v>
      </c>
      <c r="F614" t="s">
        <v>1320</v>
      </c>
      <c r="G614" s="9">
        <v>456.51</v>
      </c>
      <c r="H614">
        <v>595.46</v>
      </c>
      <c r="I614">
        <v>138.94999999999999</v>
      </c>
      <c r="J614">
        <v>541.96</v>
      </c>
      <c r="K614">
        <f t="shared" si="72"/>
        <v>595.46</v>
      </c>
      <c r="L614">
        <f t="shared" si="73"/>
        <v>456.51000000000005</v>
      </c>
      <c r="M614">
        <f t="shared" si="74"/>
        <v>138.94999999999999</v>
      </c>
      <c r="N614" t="str">
        <f t="shared" si="75"/>
        <v>City Power &amp; Gas Co</v>
      </c>
      <c r="O614" t="str">
        <f t="shared" si="76"/>
        <v>Utilities</v>
      </c>
      <c r="P614" t="str">
        <f t="shared" si="77"/>
        <v>Deposit</v>
      </c>
      <c r="Q614">
        <f t="shared" si="78"/>
        <v>456.51</v>
      </c>
      <c r="R614">
        <f t="shared" si="79"/>
        <v>-85.450000000000045</v>
      </c>
    </row>
    <row r="615" spans="1:18" x14ac:dyDescent="0.3">
      <c r="A615" t="s">
        <v>623</v>
      </c>
      <c r="B615" t="s">
        <v>814</v>
      </c>
      <c r="C615" s="4" t="s">
        <v>1254</v>
      </c>
      <c r="D615" t="s">
        <v>1291</v>
      </c>
      <c r="E615" t="s">
        <v>1296</v>
      </c>
      <c r="F615" t="s">
        <v>1307</v>
      </c>
      <c r="G615" s="9">
        <v>7743.41</v>
      </c>
      <c r="H615">
        <v>9319.61</v>
      </c>
      <c r="I615">
        <v>-1397.94</v>
      </c>
      <c r="J615">
        <v>9164.1</v>
      </c>
      <c r="K615">
        <f t="shared" si="72"/>
        <v>9319.61</v>
      </c>
      <c r="L615">
        <f t="shared" si="73"/>
        <v>10717.550000000001</v>
      </c>
      <c r="M615">
        <f t="shared" si="74"/>
        <v>-1397.94</v>
      </c>
      <c r="N615" t="str">
        <f t="shared" si="75"/>
        <v>Techcorp Payroll Inc</v>
      </c>
      <c r="O615" t="str">
        <f t="shared" si="76"/>
        <v>Salary</v>
      </c>
      <c r="P615" t="str">
        <f t="shared" si="77"/>
        <v>Withdrawal</v>
      </c>
      <c r="Q615">
        <f t="shared" si="78"/>
        <v>7743.41</v>
      </c>
      <c r="R615">
        <f t="shared" si="79"/>
        <v>-1420.6900000000005</v>
      </c>
    </row>
    <row r="616" spans="1:18" x14ac:dyDescent="0.3">
      <c r="A616" t="s">
        <v>624</v>
      </c>
      <c r="B616" t="s">
        <v>913</v>
      </c>
      <c r="C616" s="4" t="s">
        <v>1179</v>
      </c>
      <c r="D616" t="s">
        <v>1292</v>
      </c>
      <c r="E616" t="s">
        <v>1294</v>
      </c>
      <c r="F616" t="s">
        <v>1315</v>
      </c>
      <c r="G616" s="9">
        <v>67.23</v>
      </c>
      <c r="H616">
        <v>90.88</v>
      </c>
      <c r="I616">
        <v>23.65</v>
      </c>
      <c r="J616">
        <v>69.959999999999994</v>
      </c>
      <c r="K616">
        <f t="shared" si="72"/>
        <v>90.88</v>
      </c>
      <c r="L616">
        <f t="shared" si="73"/>
        <v>67.22999999999999</v>
      </c>
      <c r="M616">
        <f t="shared" si="74"/>
        <v>23.65</v>
      </c>
      <c r="N616" t="str">
        <f t="shared" si="75"/>
        <v>Ebay International</v>
      </c>
      <c r="O616" t="str">
        <f t="shared" si="76"/>
        <v>Online Shopping</v>
      </c>
      <c r="P616" t="str">
        <f t="shared" si="77"/>
        <v>Deposit</v>
      </c>
      <c r="Q616">
        <f t="shared" si="78"/>
        <v>67.23</v>
      </c>
      <c r="R616">
        <f t="shared" si="79"/>
        <v>-2.7299999999999898</v>
      </c>
    </row>
    <row r="617" spans="1:18" x14ac:dyDescent="0.3">
      <c r="A617" t="s">
        <v>625</v>
      </c>
      <c r="B617" t="s">
        <v>916</v>
      </c>
      <c r="C617" s="4" t="s">
        <v>1182</v>
      </c>
      <c r="D617" t="s">
        <v>1291</v>
      </c>
      <c r="E617" t="s">
        <v>1296</v>
      </c>
      <c r="F617" t="s">
        <v>1307</v>
      </c>
      <c r="G617" s="9">
        <v>4142.87</v>
      </c>
      <c r="H617">
        <v>4800.0200000000004</v>
      </c>
      <c r="I617">
        <v>-720</v>
      </c>
      <c r="J617">
        <v>4874.88</v>
      </c>
      <c r="K617">
        <f t="shared" si="72"/>
        <v>4800.0200000000004</v>
      </c>
      <c r="L617">
        <f t="shared" si="73"/>
        <v>5520.02</v>
      </c>
      <c r="M617">
        <f t="shared" si="74"/>
        <v>-720</v>
      </c>
      <c r="N617" t="str">
        <f t="shared" si="75"/>
        <v>Techcorp Payroll Inc</v>
      </c>
      <c r="O617" t="str">
        <f t="shared" si="76"/>
        <v>Salary</v>
      </c>
      <c r="P617" t="str">
        <f t="shared" si="77"/>
        <v>Withdrawal</v>
      </c>
      <c r="Q617">
        <f t="shared" si="78"/>
        <v>4142.87</v>
      </c>
      <c r="R617">
        <f t="shared" si="79"/>
        <v>-732.01000000000022</v>
      </c>
    </row>
    <row r="618" spans="1:18" x14ac:dyDescent="0.3">
      <c r="A618" t="s">
        <v>626</v>
      </c>
      <c r="B618" t="s">
        <v>803</v>
      </c>
      <c r="C618" s="4" t="s">
        <v>961</v>
      </c>
      <c r="D618" t="s">
        <v>1292</v>
      </c>
      <c r="E618" t="s">
        <v>1294</v>
      </c>
      <c r="F618" t="s">
        <v>1301</v>
      </c>
      <c r="G618" s="9">
        <v>934.89</v>
      </c>
      <c r="H618">
        <v>1228.46</v>
      </c>
      <c r="I618">
        <v>293.57</v>
      </c>
      <c r="J618">
        <v>1066.33</v>
      </c>
      <c r="K618">
        <f t="shared" si="72"/>
        <v>1228.46</v>
      </c>
      <c r="L618">
        <f t="shared" si="73"/>
        <v>934.8900000000001</v>
      </c>
      <c r="M618">
        <f t="shared" si="74"/>
        <v>293.57</v>
      </c>
      <c r="N618" t="str">
        <f t="shared" si="75"/>
        <v>Amazon Digital Supply</v>
      </c>
      <c r="O618" t="str">
        <f t="shared" si="76"/>
        <v>Online Shopping</v>
      </c>
      <c r="P618" t="str">
        <f t="shared" si="77"/>
        <v>Deposit</v>
      </c>
      <c r="Q618">
        <f t="shared" si="78"/>
        <v>934.89</v>
      </c>
      <c r="R618">
        <f t="shared" si="79"/>
        <v>-131.43999999999994</v>
      </c>
    </row>
    <row r="619" spans="1:18" x14ac:dyDescent="0.3">
      <c r="A619" t="s">
        <v>627</v>
      </c>
      <c r="B619" t="s">
        <v>817</v>
      </c>
      <c r="C619" s="4" t="s">
        <v>1245</v>
      </c>
      <c r="D619" t="s">
        <v>1291</v>
      </c>
      <c r="E619" t="s">
        <v>1296</v>
      </c>
      <c r="F619" t="s">
        <v>1308</v>
      </c>
      <c r="G619" s="9">
        <v>5009.82</v>
      </c>
      <c r="H619">
        <v>6897.12</v>
      </c>
      <c r="I619">
        <v>-1034.57</v>
      </c>
      <c r="J619">
        <v>5849.19</v>
      </c>
      <c r="K619">
        <f t="shared" si="72"/>
        <v>6897.12</v>
      </c>
      <c r="L619">
        <f t="shared" si="73"/>
        <v>7931.69</v>
      </c>
      <c r="M619">
        <f t="shared" si="74"/>
        <v>-1034.57</v>
      </c>
      <c r="N619" t="str">
        <f t="shared" si="75"/>
        <v>Stark Retail Labs</v>
      </c>
      <c r="O619" t="str">
        <f t="shared" si="76"/>
        <v>Salary</v>
      </c>
      <c r="P619" t="str">
        <f t="shared" si="77"/>
        <v>Withdrawal</v>
      </c>
      <c r="Q619">
        <f t="shared" si="78"/>
        <v>5009.82</v>
      </c>
      <c r="R619">
        <f t="shared" si="79"/>
        <v>-839.36999999999989</v>
      </c>
    </row>
    <row r="620" spans="1:18" x14ac:dyDescent="0.3">
      <c r="A620" t="s">
        <v>628</v>
      </c>
      <c r="B620" t="s">
        <v>887</v>
      </c>
      <c r="C620" s="4" t="s">
        <v>1255</v>
      </c>
      <c r="D620" t="s">
        <v>1292</v>
      </c>
      <c r="E620" t="s">
        <v>1293</v>
      </c>
      <c r="F620" t="s">
        <v>1320</v>
      </c>
      <c r="G620" s="9">
        <v>776.83</v>
      </c>
      <c r="H620">
        <v>1030.3800000000001</v>
      </c>
      <c r="I620">
        <v>253.55</v>
      </c>
      <c r="J620">
        <v>822.84</v>
      </c>
      <c r="K620">
        <f t="shared" si="72"/>
        <v>1030.3800000000001</v>
      </c>
      <c r="L620">
        <f t="shared" si="73"/>
        <v>776.83000000000015</v>
      </c>
      <c r="M620">
        <f t="shared" si="74"/>
        <v>253.55</v>
      </c>
      <c r="N620" t="str">
        <f t="shared" si="75"/>
        <v>City Power &amp; Gas Co</v>
      </c>
      <c r="O620" t="str">
        <f t="shared" si="76"/>
        <v>Utilities</v>
      </c>
      <c r="P620" t="str">
        <f t="shared" si="77"/>
        <v>Deposit</v>
      </c>
      <c r="Q620">
        <f t="shared" si="78"/>
        <v>776.83</v>
      </c>
      <c r="R620">
        <f t="shared" si="79"/>
        <v>-46.009999999999991</v>
      </c>
    </row>
    <row r="621" spans="1:18" x14ac:dyDescent="0.3">
      <c r="A621" t="s">
        <v>629</v>
      </c>
      <c r="B621" t="s">
        <v>795</v>
      </c>
      <c r="C621" s="4" t="s">
        <v>1214</v>
      </c>
      <c r="D621" t="s">
        <v>1291</v>
      </c>
      <c r="E621" t="s">
        <v>1295</v>
      </c>
      <c r="F621" t="s">
        <v>1304</v>
      </c>
      <c r="G621" s="9">
        <v>722.42</v>
      </c>
      <c r="H621">
        <v>844.93</v>
      </c>
      <c r="I621">
        <v>-126.74</v>
      </c>
      <c r="J621">
        <v>787.81</v>
      </c>
      <c r="K621">
        <f t="shared" si="72"/>
        <v>844.93</v>
      </c>
      <c r="L621">
        <f t="shared" si="73"/>
        <v>971.67</v>
      </c>
      <c r="M621">
        <f t="shared" si="74"/>
        <v>-126.74</v>
      </c>
      <c r="N621" t="str">
        <f t="shared" si="75"/>
        <v>Whole Foods Store</v>
      </c>
      <c r="O621" t="str">
        <f t="shared" si="76"/>
        <v>Groceries</v>
      </c>
      <c r="P621" t="str">
        <f t="shared" si="77"/>
        <v>Withdrawal</v>
      </c>
      <c r="Q621">
        <f t="shared" si="78"/>
        <v>722.42</v>
      </c>
      <c r="R621">
        <f t="shared" si="79"/>
        <v>-65.389999999999986</v>
      </c>
    </row>
    <row r="622" spans="1:18" x14ac:dyDescent="0.3">
      <c r="A622" t="s">
        <v>630</v>
      </c>
      <c r="B622" t="s">
        <v>931</v>
      </c>
      <c r="C622" s="4" t="s">
        <v>1105</v>
      </c>
      <c r="D622" t="s">
        <v>1291</v>
      </c>
      <c r="E622" t="s">
        <v>1298</v>
      </c>
      <c r="F622" t="s">
        <v>1310</v>
      </c>
      <c r="G622" s="9">
        <v>793.06</v>
      </c>
      <c r="H622">
        <v>923.7</v>
      </c>
      <c r="I622">
        <v>-138.56</v>
      </c>
      <c r="J622">
        <v>906.75</v>
      </c>
      <c r="K622">
        <f t="shared" si="72"/>
        <v>923.7</v>
      </c>
      <c r="L622">
        <f t="shared" si="73"/>
        <v>1062.26</v>
      </c>
      <c r="M622">
        <f t="shared" si="74"/>
        <v>-138.56</v>
      </c>
      <c r="N622" t="str">
        <f t="shared" si="75"/>
        <v>Zelle Payment Engine</v>
      </c>
      <c r="O622" t="str">
        <f t="shared" si="76"/>
        <v>Transfer</v>
      </c>
      <c r="P622" t="str">
        <f t="shared" si="77"/>
        <v>Withdrawal</v>
      </c>
      <c r="Q622">
        <f t="shared" si="78"/>
        <v>793.06</v>
      </c>
      <c r="R622">
        <f t="shared" si="79"/>
        <v>-113.69000000000005</v>
      </c>
    </row>
    <row r="623" spans="1:18" x14ac:dyDescent="0.3">
      <c r="A623" t="s">
        <v>631</v>
      </c>
      <c r="B623" t="s">
        <v>862</v>
      </c>
      <c r="C623" s="4" t="s">
        <v>1216</v>
      </c>
      <c r="D623" t="s">
        <v>1291</v>
      </c>
      <c r="E623" t="s">
        <v>1298</v>
      </c>
      <c r="F623" t="s">
        <v>1317</v>
      </c>
      <c r="G623" s="9">
        <v>873.6</v>
      </c>
      <c r="H623">
        <v>1177.06</v>
      </c>
      <c r="I623">
        <v>-176.56</v>
      </c>
      <c r="J623">
        <v>1017.21</v>
      </c>
      <c r="K623">
        <f t="shared" si="72"/>
        <v>1177.06</v>
      </c>
      <c r="L623">
        <f t="shared" si="73"/>
        <v>1353.62</v>
      </c>
      <c r="M623">
        <f t="shared" si="74"/>
        <v>-176.56</v>
      </c>
      <c r="N623" t="str">
        <f t="shared" si="75"/>
        <v>External Wire Clearance</v>
      </c>
      <c r="O623" t="str">
        <f t="shared" si="76"/>
        <v>Transfer</v>
      </c>
      <c r="P623" t="str">
        <f t="shared" si="77"/>
        <v>Withdrawal</v>
      </c>
      <c r="Q623">
        <f t="shared" si="78"/>
        <v>873.6</v>
      </c>
      <c r="R623">
        <f t="shared" si="79"/>
        <v>-143.61000000000001</v>
      </c>
    </row>
    <row r="624" spans="1:18" x14ac:dyDescent="0.3">
      <c r="A624" t="s">
        <v>632</v>
      </c>
      <c r="B624" t="s">
        <v>861</v>
      </c>
      <c r="C624" s="4" t="s">
        <v>1256</v>
      </c>
      <c r="D624" t="s">
        <v>1291</v>
      </c>
      <c r="E624" t="s">
        <v>1294</v>
      </c>
      <c r="F624" t="s">
        <v>1314</v>
      </c>
      <c r="G624" s="9">
        <v>91.64</v>
      </c>
      <c r="H624">
        <v>127.55</v>
      </c>
      <c r="I624">
        <v>-19.13</v>
      </c>
      <c r="J624">
        <v>98.71</v>
      </c>
      <c r="K624">
        <f t="shared" si="72"/>
        <v>127.55</v>
      </c>
      <c r="L624">
        <f t="shared" si="73"/>
        <v>146.68</v>
      </c>
      <c r="M624">
        <f t="shared" si="74"/>
        <v>-19.13</v>
      </c>
      <c r="N624" t="str">
        <f t="shared" si="75"/>
        <v>Target Direct Online</v>
      </c>
      <c r="O624" t="str">
        <f t="shared" si="76"/>
        <v>Online Shopping</v>
      </c>
      <c r="P624" t="str">
        <f t="shared" si="77"/>
        <v>Withdrawal</v>
      </c>
      <c r="Q624">
        <f t="shared" si="78"/>
        <v>91.64</v>
      </c>
      <c r="R624">
        <f t="shared" si="79"/>
        <v>-7.0699999999999932</v>
      </c>
    </row>
    <row r="625" spans="1:18" x14ac:dyDescent="0.3">
      <c r="A625" t="s">
        <v>633</v>
      </c>
      <c r="B625" t="s">
        <v>846</v>
      </c>
      <c r="C625" s="4" t="s">
        <v>1223</v>
      </c>
      <c r="D625" t="s">
        <v>1292</v>
      </c>
      <c r="E625" t="s">
        <v>1299</v>
      </c>
      <c r="F625" t="s">
        <v>1311</v>
      </c>
      <c r="G625" s="9">
        <v>142.74</v>
      </c>
      <c r="H625">
        <v>187.58</v>
      </c>
      <c r="I625">
        <v>44.84</v>
      </c>
      <c r="J625">
        <v>149.19</v>
      </c>
      <c r="K625">
        <f t="shared" si="72"/>
        <v>187.58</v>
      </c>
      <c r="L625">
        <f t="shared" si="73"/>
        <v>142.74</v>
      </c>
      <c r="M625">
        <f t="shared" si="74"/>
        <v>44.84</v>
      </c>
      <c r="N625" t="str">
        <f t="shared" si="75"/>
        <v>Spotify Music Hub</v>
      </c>
      <c r="O625" t="str">
        <f t="shared" si="76"/>
        <v>Entertainment</v>
      </c>
      <c r="P625" t="str">
        <f t="shared" si="77"/>
        <v>Deposit</v>
      </c>
      <c r="Q625">
        <f t="shared" si="78"/>
        <v>142.74</v>
      </c>
      <c r="R625">
        <f t="shared" si="79"/>
        <v>-6.4499999999999886</v>
      </c>
    </row>
    <row r="626" spans="1:18" x14ac:dyDescent="0.3">
      <c r="A626" t="s">
        <v>634</v>
      </c>
      <c r="B626" t="s">
        <v>932</v>
      </c>
      <c r="C626" s="4" t="s">
        <v>1151</v>
      </c>
      <c r="D626" t="s">
        <v>1291</v>
      </c>
      <c r="E626" t="s">
        <v>1296</v>
      </c>
      <c r="F626" t="s">
        <v>1308</v>
      </c>
      <c r="G626" s="9">
        <v>9176.48</v>
      </c>
      <c r="H626">
        <v>11685.72</v>
      </c>
      <c r="I626">
        <v>-1752.86</v>
      </c>
      <c r="J626">
        <v>9761.39</v>
      </c>
      <c r="K626">
        <f t="shared" si="72"/>
        <v>11685.72</v>
      </c>
      <c r="L626">
        <f t="shared" si="73"/>
        <v>13438.58</v>
      </c>
      <c r="M626">
        <f t="shared" si="74"/>
        <v>-1752.86</v>
      </c>
      <c r="N626" t="str">
        <f t="shared" si="75"/>
        <v>Stark Retail Labs</v>
      </c>
      <c r="O626" t="str">
        <f t="shared" si="76"/>
        <v>Salary</v>
      </c>
      <c r="P626" t="str">
        <f t="shared" si="77"/>
        <v>Withdrawal</v>
      </c>
      <c r="Q626">
        <f t="shared" si="78"/>
        <v>9176.48</v>
      </c>
      <c r="R626">
        <f t="shared" si="79"/>
        <v>-584.90999999999985</v>
      </c>
    </row>
    <row r="627" spans="1:18" x14ac:dyDescent="0.3">
      <c r="A627" t="s">
        <v>635</v>
      </c>
      <c r="B627" t="s">
        <v>915</v>
      </c>
      <c r="C627" s="4" t="s">
        <v>951</v>
      </c>
      <c r="D627" t="s">
        <v>1292</v>
      </c>
      <c r="E627" t="s">
        <v>1298</v>
      </c>
      <c r="F627" t="s">
        <v>1317</v>
      </c>
      <c r="G627" s="9">
        <v>530.45000000000005</v>
      </c>
      <c r="H627">
        <v>691.89</v>
      </c>
      <c r="I627">
        <v>161.44</v>
      </c>
      <c r="J627">
        <v>526.11</v>
      </c>
      <c r="K627">
        <f t="shared" si="72"/>
        <v>691.89</v>
      </c>
      <c r="L627">
        <f t="shared" si="73"/>
        <v>530.45000000000005</v>
      </c>
      <c r="M627">
        <f t="shared" si="74"/>
        <v>161.44</v>
      </c>
      <c r="N627" t="str">
        <f t="shared" si="75"/>
        <v>External Wire Clearance</v>
      </c>
      <c r="O627" t="str">
        <f t="shared" si="76"/>
        <v>Transfer</v>
      </c>
      <c r="P627" t="str">
        <f t="shared" si="77"/>
        <v>Deposit</v>
      </c>
      <c r="Q627">
        <f t="shared" si="78"/>
        <v>530.45000000000005</v>
      </c>
      <c r="R627">
        <f t="shared" si="79"/>
        <v>4.3400000000000318</v>
      </c>
    </row>
    <row r="628" spans="1:18" x14ac:dyDescent="0.3">
      <c r="A628" t="s">
        <v>636</v>
      </c>
      <c r="B628" t="s">
        <v>864</v>
      </c>
      <c r="C628" s="4" t="s">
        <v>1167</v>
      </c>
      <c r="D628" t="s">
        <v>1292</v>
      </c>
      <c r="E628" t="s">
        <v>1293</v>
      </c>
      <c r="F628" t="s">
        <v>1300</v>
      </c>
      <c r="G628" s="9">
        <v>665.01</v>
      </c>
      <c r="H628">
        <v>771.7</v>
      </c>
      <c r="I628">
        <v>106.69</v>
      </c>
      <c r="J628">
        <v>634.47</v>
      </c>
      <c r="K628">
        <f t="shared" si="72"/>
        <v>771.7</v>
      </c>
      <c r="L628">
        <f t="shared" si="73"/>
        <v>665.01</v>
      </c>
      <c r="M628">
        <f t="shared" si="74"/>
        <v>106.69</v>
      </c>
      <c r="N628" t="str">
        <f t="shared" si="75"/>
        <v>State Hydro Grid</v>
      </c>
      <c r="O628" t="str">
        <f t="shared" si="76"/>
        <v>Utilities</v>
      </c>
      <c r="P628" t="str">
        <f t="shared" si="77"/>
        <v>Deposit</v>
      </c>
      <c r="Q628">
        <f t="shared" si="78"/>
        <v>665.01</v>
      </c>
      <c r="R628">
        <f t="shared" si="79"/>
        <v>30.539999999999964</v>
      </c>
    </row>
    <row r="629" spans="1:18" x14ac:dyDescent="0.3">
      <c r="A629" t="s">
        <v>637</v>
      </c>
      <c r="B629" t="s">
        <v>857</v>
      </c>
      <c r="C629" s="4" t="s">
        <v>951</v>
      </c>
      <c r="D629" t="s">
        <v>1292</v>
      </c>
      <c r="E629" t="s">
        <v>1298</v>
      </c>
      <c r="F629" t="s">
        <v>1310</v>
      </c>
      <c r="G629" s="9">
        <v>890.68</v>
      </c>
      <c r="H629">
        <v>1028.73</v>
      </c>
      <c r="I629">
        <v>138.05000000000001</v>
      </c>
      <c r="J629">
        <v>948.55</v>
      </c>
      <c r="K629">
        <f t="shared" si="72"/>
        <v>1028.73</v>
      </c>
      <c r="L629">
        <f t="shared" si="73"/>
        <v>890.68000000000006</v>
      </c>
      <c r="M629">
        <f t="shared" si="74"/>
        <v>138.05000000000001</v>
      </c>
      <c r="N629" t="str">
        <f t="shared" si="75"/>
        <v>Zelle Payment Engine</v>
      </c>
      <c r="O629" t="str">
        <f t="shared" si="76"/>
        <v>Transfer</v>
      </c>
      <c r="P629" t="str">
        <f t="shared" si="77"/>
        <v>Deposit</v>
      </c>
      <c r="Q629">
        <f t="shared" si="78"/>
        <v>890.68</v>
      </c>
      <c r="R629">
        <f t="shared" si="79"/>
        <v>-57.870000000000005</v>
      </c>
    </row>
    <row r="630" spans="1:18" x14ac:dyDescent="0.3">
      <c r="A630" t="s">
        <v>638</v>
      </c>
      <c r="B630" t="s">
        <v>912</v>
      </c>
      <c r="C630" s="4" t="s">
        <v>1052</v>
      </c>
      <c r="D630" t="s">
        <v>1291</v>
      </c>
      <c r="E630" t="s">
        <v>1297</v>
      </c>
      <c r="F630" t="s">
        <v>1309</v>
      </c>
      <c r="G630" s="9">
        <v>539.80999999999995</v>
      </c>
      <c r="H630">
        <v>626.61</v>
      </c>
      <c r="I630">
        <v>-93.99</v>
      </c>
      <c r="J630">
        <v>634.04</v>
      </c>
      <c r="K630">
        <f t="shared" si="72"/>
        <v>626.61</v>
      </c>
      <c r="L630">
        <f t="shared" si="73"/>
        <v>720.6</v>
      </c>
      <c r="M630">
        <f t="shared" si="74"/>
        <v>-93.99</v>
      </c>
      <c r="N630" t="str">
        <f t="shared" si="75"/>
        <v>Olive Garden Gourmet</v>
      </c>
      <c r="O630" t="str">
        <f t="shared" si="76"/>
        <v>Dining Out</v>
      </c>
      <c r="P630" t="str">
        <f t="shared" si="77"/>
        <v>Withdrawal</v>
      </c>
      <c r="Q630">
        <f t="shared" si="78"/>
        <v>539.80999999999995</v>
      </c>
      <c r="R630">
        <f t="shared" si="79"/>
        <v>-94.230000000000018</v>
      </c>
    </row>
    <row r="631" spans="1:18" x14ac:dyDescent="0.3">
      <c r="A631" t="s">
        <v>639</v>
      </c>
      <c r="B631" t="s">
        <v>824</v>
      </c>
      <c r="C631" s="4" t="s">
        <v>1257</v>
      </c>
      <c r="D631" t="s">
        <v>1292</v>
      </c>
      <c r="E631" t="s">
        <v>1299</v>
      </c>
      <c r="F631" t="s">
        <v>1311</v>
      </c>
      <c r="H631">
        <v>136.33000000000001</v>
      </c>
      <c r="I631">
        <v>36.33</v>
      </c>
      <c r="J631">
        <v>110.15</v>
      </c>
      <c r="K631">
        <f t="shared" si="72"/>
        <v>136.33000000000001</v>
      </c>
      <c r="L631">
        <f t="shared" si="73"/>
        <v>100.00000000000001</v>
      </c>
      <c r="M631">
        <f t="shared" si="74"/>
        <v>36.33</v>
      </c>
      <c r="N631" t="str">
        <f t="shared" si="75"/>
        <v>Spotify Music Hub</v>
      </c>
      <c r="O631" t="str">
        <f t="shared" si="76"/>
        <v>Entertainment</v>
      </c>
      <c r="P631" t="str">
        <f t="shared" si="77"/>
        <v>Deposit</v>
      </c>
      <c r="Q631">
        <f t="shared" si="78"/>
        <v>1219.4163333333336</v>
      </c>
      <c r="R631">
        <f t="shared" si="79"/>
        <v>1109.2663333333335</v>
      </c>
    </row>
    <row r="632" spans="1:18" x14ac:dyDescent="0.3">
      <c r="A632" t="s">
        <v>640</v>
      </c>
      <c r="B632" t="s">
        <v>922</v>
      </c>
      <c r="C632" s="4" t="s">
        <v>1258</v>
      </c>
      <c r="D632" t="s">
        <v>1291</v>
      </c>
      <c r="E632" t="s">
        <v>1299</v>
      </c>
      <c r="F632" t="s">
        <v>1312</v>
      </c>
      <c r="G632" s="9">
        <v>118.51</v>
      </c>
      <c r="H632">
        <v>138.79</v>
      </c>
      <c r="I632">
        <v>-20.82</v>
      </c>
      <c r="J632">
        <v>140.25</v>
      </c>
      <c r="K632">
        <f t="shared" si="72"/>
        <v>138.79</v>
      </c>
      <c r="L632">
        <f t="shared" si="73"/>
        <v>159.60999999999999</v>
      </c>
      <c r="M632">
        <f t="shared" si="74"/>
        <v>-20.82</v>
      </c>
      <c r="N632" t="str">
        <f t="shared" si="75"/>
        <v>Netflix Streaming Premium</v>
      </c>
      <c r="O632" t="str">
        <f t="shared" si="76"/>
        <v>Entertainment</v>
      </c>
      <c r="P632" t="str">
        <f t="shared" si="77"/>
        <v>Withdrawal</v>
      </c>
      <c r="Q632">
        <f t="shared" si="78"/>
        <v>118.51</v>
      </c>
      <c r="R632">
        <f t="shared" si="79"/>
        <v>-21.739999999999995</v>
      </c>
    </row>
    <row r="633" spans="1:18" x14ac:dyDescent="0.3">
      <c r="A633" t="s">
        <v>641</v>
      </c>
      <c r="B633" t="s">
        <v>933</v>
      </c>
      <c r="C633" s="4" t="s">
        <v>968</v>
      </c>
      <c r="D633" t="s">
        <v>1292</v>
      </c>
      <c r="E633" t="s">
        <v>1295</v>
      </c>
      <c r="F633" t="s">
        <v>1313</v>
      </c>
      <c r="G633" s="9">
        <v>513.66999999999996</v>
      </c>
      <c r="H633">
        <v>639.82000000000005</v>
      </c>
      <c r="I633">
        <v>126.15</v>
      </c>
      <c r="J633">
        <v>520.32000000000005</v>
      </c>
      <c r="K633">
        <f t="shared" si="72"/>
        <v>639.82000000000005</v>
      </c>
      <c r="L633">
        <f t="shared" si="73"/>
        <v>513.67000000000007</v>
      </c>
      <c r="M633">
        <f t="shared" si="74"/>
        <v>126.15</v>
      </c>
      <c r="N633" t="str">
        <f t="shared" si="75"/>
        <v>Fresh &amp; Fast Logistics</v>
      </c>
      <c r="O633" t="str">
        <f t="shared" si="76"/>
        <v>Groceries</v>
      </c>
      <c r="P633" t="str">
        <f t="shared" si="77"/>
        <v>Deposit</v>
      </c>
      <c r="Q633">
        <f t="shared" si="78"/>
        <v>513.66999999999996</v>
      </c>
      <c r="R633">
        <f t="shared" si="79"/>
        <v>-6.6500000000000909</v>
      </c>
    </row>
    <row r="634" spans="1:18" x14ac:dyDescent="0.3">
      <c r="A634" t="s">
        <v>642</v>
      </c>
      <c r="B634" t="s">
        <v>848</v>
      </c>
      <c r="C634" s="4" t="s">
        <v>955</v>
      </c>
      <c r="D634" t="s">
        <v>1291</v>
      </c>
      <c r="E634" t="s">
        <v>1296</v>
      </c>
      <c r="F634" t="s">
        <v>1308</v>
      </c>
      <c r="G634" s="9">
        <v>9129.56</v>
      </c>
      <c r="H634">
        <v>11411.99</v>
      </c>
      <c r="I634">
        <v>-1711.8</v>
      </c>
      <c r="J634">
        <v>9008.4699999999993</v>
      </c>
      <c r="K634">
        <f t="shared" si="72"/>
        <v>11411.99</v>
      </c>
      <c r="L634">
        <f t="shared" si="73"/>
        <v>13123.789999999999</v>
      </c>
      <c r="M634">
        <f t="shared" si="74"/>
        <v>-1711.8</v>
      </c>
      <c r="N634" t="str">
        <f t="shared" si="75"/>
        <v>Stark Retail Labs</v>
      </c>
      <c r="O634" t="str">
        <f t="shared" si="76"/>
        <v>Salary</v>
      </c>
      <c r="P634" t="str">
        <f t="shared" si="77"/>
        <v>Withdrawal</v>
      </c>
      <c r="Q634">
        <f t="shared" si="78"/>
        <v>9129.56</v>
      </c>
      <c r="R634">
        <f t="shared" si="79"/>
        <v>121.09000000000015</v>
      </c>
    </row>
    <row r="635" spans="1:18" x14ac:dyDescent="0.3">
      <c r="A635" t="s">
        <v>643</v>
      </c>
      <c r="B635" t="s">
        <v>888</v>
      </c>
      <c r="C635" s="4" t="s">
        <v>979</v>
      </c>
      <c r="D635" t="s">
        <v>1291</v>
      </c>
      <c r="E635" t="s">
        <v>1293</v>
      </c>
      <c r="F635" t="s">
        <v>1300</v>
      </c>
      <c r="G635" s="9">
        <v>1136.8900000000001</v>
      </c>
      <c r="H635">
        <v>1573.01</v>
      </c>
      <c r="I635">
        <v>-235.95</v>
      </c>
      <c r="J635">
        <v>1288.25</v>
      </c>
      <c r="K635">
        <f t="shared" si="72"/>
        <v>1573.01</v>
      </c>
      <c r="L635">
        <f t="shared" si="73"/>
        <v>1808.96</v>
      </c>
      <c r="M635">
        <f t="shared" si="74"/>
        <v>-235.95</v>
      </c>
      <c r="N635" t="str">
        <f t="shared" si="75"/>
        <v>State Hydro Grid</v>
      </c>
      <c r="O635" t="str">
        <f t="shared" si="76"/>
        <v>Utilities</v>
      </c>
      <c r="P635" t="str">
        <f t="shared" si="77"/>
        <v>Withdrawal</v>
      </c>
      <c r="Q635">
        <f t="shared" si="78"/>
        <v>1136.8900000000001</v>
      </c>
      <c r="R635">
        <f t="shared" si="79"/>
        <v>-151.3599999999999</v>
      </c>
    </row>
    <row r="636" spans="1:18" x14ac:dyDescent="0.3">
      <c r="A636" t="s">
        <v>644</v>
      </c>
      <c r="B636" t="s">
        <v>834</v>
      </c>
      <c r="C636" s="4" t="s">
        <v>1259</v>
      </c>
      <c r="D636" t="s">
        <v>1291</v>
      </c>
      <c r="E636" t="s">
        <v>1295</v>
      </c>
      <c r="F636" t="s">
        <v>1313</v>
      </c>
      <c r="G636" s="9">
        <v>249.69</v>
      </c>
      <c r="H636">
        <v>299.13</v>
      </c>
      <c r="I636">
        <v>-44.87</v>
      </c>
      <c r="J636">
        <v>236.84</v>
      </c>
      <c r="K636">
        <f t="shared" si="72"/>
        <v>299.13</v>
      </c>
      <c r="L636">
        <f t="shared" si="73"/>
        <v>344</v>
      </c>
      <c r="M636">
        <f t="shared" si="74"/>
        <v>-44.87</v>
      </c>
      <c r="N636" t="str">
        <f t="shared" si="75"/>
        <v>Fresh &amp; Fast Logistics</v>
      </c>
      <c r="O636" t="str">
        <f t="shared" si="76"/>
        <v>Groceries</v>
      </c>
      <c r="P636" t="str">
        <f t="shared" si="77"/>
        <v>Withdrawal</v>
      </c>
      <c r="Q636">
        <f t="shared" si="78"/>
        <v>249.69</v>
      </c>
      <c r="R636">
        <f t="shared" si="79"/>
        <v>12.849999999999994</v>
      </c>
    </row>
    <row r="637" spans="1:18" x14ac:dyDescent="0.3">
      <c r="A637" t="s">
        <v>645</v>
      </c>
      <c r="B637" t="s">
        <v>919</v>
      </c>
      <c r="C637" s="4" t="s">
        <v>1186</v>
      </c>
      <c r="D637" t="s">
        <v>1292</v>
      </c>
      <c r="E637" t="s">
        <v>1297</v>
      </c>
      <c r="F637" t="s">
        <v>1305</v>
      </c>
      <c r="G637" s="9">
        <v>931.21</v>
      </c>
      <c r="H637">
        <v>1295.3900000000001</v>
      </c>
      <c r="I637">
        <v>364.18</v>
      </c>
      <c r="J637">
        <v>1110.96</v>
      </c>
      <c r="K637">
        <f t="shared" si="72"/>
        <v>1295.3900000000001</v>
      </c>
      <c r="L637">
        <f t="shared" si="73"/>
        <v>931.21</v>
      </c>
      <c r="M637">
        <f t="shared" si="74"/>
        <v>364.18</v>
      </c>
      <c r="N637" t="str">
        <f t="shared" si="75"/>
        <v>Mcdonalds Corp Express</v>
      </c>
      <c r="O637" t="str">
        <f t="shared" si="76"/>
        <v>Dining Out</v>
      </c>
      <c r="P637" t="str">
        <f t="shared" si="77"/>
        <v>Deposit</v>
      </c>
      <c r="Q637">
        <f t="shared" si="78"/>
        <v>931.21</v>
      </c>
      <c r="R637">
        <f t="shared" si="79"/>
        <v>-179.75</v>
      </c>
    </row>
    <row r="638" spans="1:18" x14ac:dyDescent="0.3">
      <c r="A638" t="s">
        <v>646</v>
      </c>
      <c r="B638" t="s">
        <v>873</v>
      </c>
      <c r="C638" s="4" t="s">
        <v>964</v>
      </c>
      <c r="D638" t="s">
        <v>1291</v>
      </c>
      <c r="E638" t="s">
        <v>1298</v>
      </c>
      <c r="F638" t="s">
        <v>1317</v>
      </c>
      <c r="G638" s="9">
        <v>1049.3699999999999</v>
      </c>
      <c r="H638">
        <v>1271.43</v>
      </c>
      <c r="I638">
        <v>-190.71</v>
      </c>
      <c r="J638">
        <v>1135.07</v>
      </c>
      <c r="K638">
        <f t="shared" si="72"/>
        <v>1271.43</v>
      </c>
      <c r="L638">
        <f t="shared" si="73"/>
        <v>1462.14</v>
      </c>
      <c r="M638">
        <f t="shared" si="74"/>
        <v>-190.71</v>
      </c>
      <c r="N638" t="str">
        <f t="shared" si="75"/>
        <v>External Wire Clearance</v>
      </c>
      <c r="O638" t="str">
        <f t="shared" si="76"/>
        <v>Transfer</v>
      </c>
      <c r="P638" t="str">
        <f t="shared" si="77"/>
        <v>Withdrawal</v>
      </c>
      <c r="Q638">
        <f t="shared" si="78"/>
        <v>1049.3699999999999</v>
      </c>
      <c r="R638">
        <f t="shared" si="79"/>
        <v>-85.700000000000045</v>
      </c>
    </row>
    <row r="639" spans="1:18" x14ac:dyDescent="0.3">
      <c r="A639" t="s">
        <v>647</v>
      </c>
      <c r="B639" t="s">
        <v>880</v>
      </c>
      <c r="C639" s="4" t="s">
        <v>1260</v>
      </c>
      <c r="D639" t="s">
        <v>1291</v>
      </c>
      <c r="E639" t="s">
        <v>1293</v>
      </c>
      <c r="F639" t="s">
        <v>1300</v>
      </c>
      <c r="G639" s="9">
        <v>326.66000000000003</v>
      </c>
      <c r="H639">
        <v>425.76</v>
      </c>
      <c r="I639">
        <v>-63.86</v>
      </c>
      <c r="J639">
        <v>315.11</v>
      </c>
      <c r="K639">
        <f t="shared" si="72"/>
        <v>425.76</v>
      </c>
      <c r="L639">
        <f t="shared" si="73"/>
        <v>489.62</v>
      </c>
      <c r="M639">
        <f t="shared" si="74"/>
        <v>-63.86</v>
      </c>
      <c r="N639" t="str">
        <f t="shared" si="75"/>
        <v>State Hydro Grid</v>
      </c>
      <c r="O639" t="str">
        <f t="shared" si="76"/>
        <v>Utilities</v>
      </c>
      <c r="P639" t="str">
        <f t="shared" si="77"/>
        <v>Withdrawal</v>
      </c>
      <c r="Q639">
        <f t="shared" si="78"/>
        <v>326.66000000000003</v>
      </c>
      <c r="R639">
        <f t="shared" si="79"/>
        <v>11.550000000000011</v>
      </c>
    </row>
    <row r="640" spans="1:18" x14ac:dyDescent="0.3">
      <c r="A640" t="s">
        <v>648</v>
      </c>
      <c r="B640" t="s">
        <v>835</v>
      </c>
      <c r="C640" s="4" t="s">
        <v>1091</v>
      </c>
      <c r="D640" t="s">
        <v>1291</v>
      </c>
      <c r="E640" t="s">
        <v>1293</v>
      </c>
      <c r="F640" t="s">
        <v>1320</v>
      </c>
      <c r="G640" s="9">
        <v>172.77</v>
      </c>
      <c r="H640">
        <v>239.9</v>
      </c>
      <c r="I640">
        <v>-35.979999999999997</v>
      </c>
      <c r="J640">
        <v>182.56</v>
      </c>
      <c r="K640">
        <f t="shared" si="72"/>
        <v>239.9</v>
      </c>
      <c r="L640">
        <f t="shared" si="73"/>
        <v>275.88</v>
      </c>
      <c r="M640">
        <f t="shared" si="74"/>
        <v>-35.979999999999997</v>
      </c>
      <c r="N640" t="str">
        <f t="shared" si="75"/>
        <v>City Power &amp; Gas Co</v>
      </c>
      <c r="O640" t="str">
        <f t="shared" si="76"/>
        <v>Utilities</v>
      </c>
      <c r="P640" t="str">
        <f t="shared" si="77"/>
        <v>Withdrawal</v>
      </c>
      <c r="Q640">
        <f t="shared" si="78"/>
        <v>172.77</v>
      </c>
      <c r="R640">
        <f t="shared" si="79"/>
        <v>-9.789999999999992</v>
      </c>
    </row>
    <row r="641" spans="1:18" x14ac:dyDescent="0.3">
      <c r="A641" t="s">
        <v>649</v>
      </c>
      <c r="B641" t="s">
        <v>934</v>
      </c>
      <c r="C641" s="4" t="s">
        <v>1123</v>
      </c>
      <c r="D641" t="s">
        <v>1291</v>
      </c>
      <c r="E641" t="s">
        <v>1294</v>
      </c>
      <c r="F641" t="s">
        <v>1301</v>
      </c>
      <c r="G641" s="9">
        <v>731.11</v>
      </c>
      <c r="H641">
        <v>910.19</v>
      </c>
      <c r="I641">
        <v>-136.53</v>
      </c>
      <c r="J641">
        <v>673.09</v>
      </c>
      <c r="K641">
        <f t="shared" si="72"/>
        <v>910.19</v>
      </c>
      <c r="L641">
        <f t="shared" si="73"/>
        <v>1046.72</v>
      </c>
      <c r="M641">
        <f t="shared" si="74"/>
        <v>-136.53</v>
      </c>
      <c r="N641" t="str">
        <f t="shared" si="75"/>
        <v>Amazon Digital Supply</v>
      </c>
      <c r="O641" t="str">
        <f t="shared" si="76"/>
        <v>Online Shopping</v>
      </c>
      <c r="P641" t="str">
        <f t="shared" si="77"/>
        <v>Withdrawal</v>
      </c>
      <c r="Q641">
        <f t="shared" si="78"/>
        <v>731.11</v>
      </c>
      <c r="R641">
        <f t="shared" si="79"/>
        <v>58.019999999999982</v>
      </c>
    </row>
    <row r="642" spans="1:18" x14ac:dyDescent="0.3">
      <c r="A642" t="s">
        <v>650</v>
      </c>
      <c r="B642" t="s">
        <v>820</v>
      </c>
      <c r="C642" s="4" t="s">
        <v>1157</v>
      </c>
      <c r="D642" t="s">
        <v>1291</v>
      </c>
      <c r="E642" t="s">
        <v>1294</v>
      </c>
      <c r="F642" t="s">
        <v>1315</v>
      </c>
      <c r="G642" s="9">
        <v>1186.97</v>
      </c>
      <c r="H642">
        <v>1425.43</v>
      </c>
      <c r="I642">
        <v>-213.81</v>
      </c>
      <c r="J642">
        <v>1095.98</v>
      </c>
      <c r="K642">
        <f t="shared" si="72"/>
        <v>1425.43</v>
      </c>
      <c r="L642">
        <f t="shared" si="73"/>
        <v>1639.24</v>
      </c>
      <c r="M642">
        <f t="shared" si="74"/>
        <v>-213.81</v>
      </c>
      <c r="N642" t="str">
        <f t="shared" si="75"/>
        <v>Ebay International</v>
      </c>
      <c r="O642" t="str">
        <f t="shared" si="76"/>
        <v>Online Shopping</v>
      </c>
      <c r="P642" t="str">
        <f t="shared" si="77"/>
        <v>Withdrawal</v>
      </c>
      <c r="Q642">
        <f t="shared" si="78"/>
        <v>1186.97</v>
      </c>
      <c r="R642">
        <f t="shared" si="79"/>
        <v>90.990000000000009</v>
      </c>
    </row>
    <row r="643" spans="1:18" x14ac:dyDescent="0.3">
      <c r="A643" t="s">
        <v>651</v>
      </c>
      <c r="B643" t="s">
        <v>847</v>
      </c>
      <c r="C643" s="4" t="s">
        <v>1261</v>
      </c>
      <c r="D643" t="s">
        <v>1291</v>
      </c>
      <c r="E643" t="s">
        <v>1297</v>
      </c>
      <c r="F643" t="s">
        <v>1305</v>
      </c>
      <c r="G643" s="9">
        <v>156.33000000000001</v>
      </c>
      <c r="H643">
        <v>212.46</v>
      </c>
      <c r="I643">
        <v>-31.87</v>
      </c>
      <c r="J643">
        <v>146.91999999999999</v>
      </c>
      <c r="K643">
        <f t="shared" ref="K643:K706" si="80">IF(H643,H643,AVERAGE($H$2:$H$35))</f>
        <v>212.46</v>
      </c>
      <c r="L643">
        <f t="shared" ref="L643:L706" si="81">K643-M643</f>
        <v>244.33</v>
      </c>
      <c r="M643">
        <f t="shared" ref="M643:M706" si="82">IF(I643,I643,AVERAGE($I$2:$I$68))</f>
        <v>-31.87</v>
      </c>
      <c r="N643" t="str">
        <f t="shared" ref="N643:N706" si="83">PROPER(F643)</f>
        <v>Mcdonalds Corp Express</v>
      </c>
      <c r="O643" t="str">
        <f t="shared" ref="O643:O706" si="84">PROPER(E643)</f>
        <v>Dining Out</v>
      </c>
      <c r="P643" t="str">
        <f t="shared" ref="P643:P706" si="85">PROPER(D643)</f>
        <v>Withdrawal</v>
      </c>
      <c r="Q643">
        <f t="shared" ref="Q643:Q706" si="86">IF(G643,G643,AVERAGE($G$2:$G$31))</f>
        <v>156.33000000000001</v>
      </c>
      <c r="R643">
        <f t="shared" ref="R643:R706" si="87">Q643-J643</f>
        <v>9.410000000000025</v>
      </c>
    </row>
    <row r="644" spans="1:18" x14ac:dyDescent="0.3">
      <c r="A644" t="s">
        <v>652</v>
      </c>
      <c r="B644" t="s">
        <v>826</v>
      </c>
      <c r="C644" s="4" t="s">
        <v>1257</v>
      </c>
      <c r="D644" t="s">
        <v>1291</v>
      </c>
      <c r="E644" t="s">
        <v>1294</v>
      </c>
      <c r="F644" t="s">
        <v>1315</v>
      </c>
      <c r="G644" s="9">
        <v>174.57</v>
      </c>
      <c r="I644">
        <v>-31.47</v>
      </c>
      <c r="J644">
        <v>195.36</v>
      </c>
      <c r="K644">
        <f t="shared" si="80"/>
        <v>1420.2638235294123</v>
      </c>
      <c r="L644">
        <f t="shared" si="81"/>
        <v>1451.7338235294123</v>
      </c>
      <c r="M644">
        <f t="shared" si="82"/>
        <v>-31.47</v>
      </c>
      <c r="N644" t="str">
        <f t="shared" si="83"/>
        <v>Ebay International</v>
      </c>
      <c r="O644" t="str">
        <f t="shared" si="84"/>
        <v>Online Shopping</v>
      </c>
      <c r="P644" t="str">
        <f t="shared" si="85"/>
        <v>Withdrawal</v>
      </c>
      <c r="Q644">
        <f t="shared" si="86"/>
        <v>174.57</v>
      </c>
      <c r="R644">
        <f t="shared" si="87"/>
        <v>-20.79000000000002</v>
      </c>
    </row>
    <row r="645" spans="1:18" x14ac:dyDescent="0.3">
      <c r="A645" t="s">
        <v>653</v>
      </c>
      <c r="B645" t="s">
        <v>879</v>
      </c>
      <c r="C645" s="4" t="s">
        <v>1099</v>
      </c>
      <c r="D645" t="s">
        <v>1291</v>
      </c>
      <c r="E645" t="s">
        <v>1298</v>
      </c>
      <c r="F645" t="s">
        <v>1306</v>
      </c>
      <c r="G645" s="9">
        <v>807.24</v>
      </c>
      <c r="H645">
        <v>936.1</v>
      </c>
      <c r="I645">
        <v>-140.41</v>
      </c>
      <c r="J645">
        <v>894.76</v>
      </c>
      <c r="K645">
        <f t="shared" si="80"/>
        <v>936.1</v>
      </c>
      <c r="L645">
        <f t="shared" si="81"/>
        <v>1076.51</v>
      </c>
      <c r="M645">
        <f t="shared" si="82"/>
        <v>-140.41</v>
      </c>
      <c r="N645" t="str">
        <f t="shared" si="83"/>
        <v>Internal P2P Route</v>
      </c>
      <c r="O645" t="str">
        <f t="shared" si="84"/>
        <v>Transfer</v>
      </c>
      <c r="P645" t="str">
        <f t="shared" si="85"/>
        <v>Withdrawal</v>
      </c>
      <c r="Q645">
        <f t="shared" si="86"/>
        <v>807.24</v>
      </c>
      <c r="R645">
        <f t="shared" si="87"/>
        <v>-87.519999999999982</v>
      </c>
    </row>
    <row r="646" spans="1:18" x14ac:dyDescent="0.3">
      <c r="A646" t="s">
        <v>654</v>
      </c>
      <c r="B646" t="s">
        <v>832</v>
      </c>
      <c r="C646" s="4" t="s">
        <v>942</v>
      </c>
      <c r="D646" t="s">
        <v>1292</v>
      </c>
      <c r="E646" t="s">
        <v>1296</v>
      </c>
      <c r="F646" t="s">
        <v>1307</v>
      </c>
      <c r="G646" s="9">
        <v>7396.14</v>
      </c>
      <c r="H646">
        <v>9590.48</v>
      </c>
      <c r="I646">
        <v>2194.34</v>
      </c>
      <c r="J646">
        <v>7846.66</v>
      </c>
      <c r="K646">
        <f t="shared" si="80"/>
        <v>9590.48</v>
      </c>
      <c r="L646">
        <f t="shared" si="81"/>
        <v>7396.1399999999994</v>
      </c>
      <c r="M646">
        <f t="shared" si="82"/>
        <v>2194.34</v>
      </c>
      <c r="N646" t="str">
        <f t="shared" si="83"/>
        <v>Techcorp Payroll Inc</v>
      </c>
      <c r="O646" t="str">
        <f t="shared" si="84"/>
        <v>Salary</v>
      </c>
      <c r="P646" t="str">
        <f t="shared" si="85"/>
        <v>Deposit</v>
      </c>
      <c r="Q646">
        <f t="shared" si="86"/>
        <v>7396.14</v>
      </c>
      <c r="R646">
        <f t="shared" si="87"/>
        <v>-450.51999999999953</v>
      </c>
    </row>
    <row r="647" spans="1:18" x14ac:dyDescent="0.3">
      <c r="A647" t="s">
        <v>655</v>
      </c>
      <c r="B647" t="s">
        <v>885</v>
      </c>
      <c r="C647" s="4" t="s">
        <v>955</v>
      </c>
      <c r="D647" t="s">
        <v>1291</v>
      </c>
      <c r="E647" t="s">
        <v>1294</v>
      </c>
      <c r="F647" t="s">
        <v>1301</v>
      </c>
      <c r="G647" s="9">
        <v>375.1</v>
      </c>
      <c r="H647">
        <v>464.87</v>
      </c>
      <c r="I647">
        <v>-69.73</v>
      </c>
      <c r="J647">
        <v>404.95</v>
      </c>
      <c r="K647">
        <f t="shared" si="80"/>
        <v>464.87</v>
      </c>
      <c r="L647">
        <f t="shared" si="81"/>
        <v>534.6</v>
      </c>
      <c r="M647">
        <f t="shared" si="82"/>
        <v>-69.73</v>
      </c>
      <c r="N647" t="str">
        <f t="shared" si="83"/>
        <v>Amazon Digital Supply</v>
      </c>
      <c r="O647" t="str">
        <f t="shared" si="84"/>
        <v>Online Shopping</v>
      </c>
      <c r="P647" t="str">
        <f t="shared" si="85"/>
        <v>Withdrawal</v>
      </c>
      <c r="Q647">
        <f t="shared" si="86"/>
        <v>375.1</v>
      </c>
      <c r="R647">
        <f t="shared" si="87"/>
        <v>-29.849999999999966</v>
      </c>
    </row>
    <row r="648" spans="1:18" x14ac:dyDescent="0.3">
      <c r="A648" t="s">
        <v>656</v>
      </c>
      <c r="B648" t="s">
        <v>799</v>
      </c>
      <c r="C648" s="4" t="s">
        <v>1058</v>
      </c>
      <c r="D648" t="s">
        <v>1292</v>
      </c>
      <c r="E648" t="s">
        <v>1295</v>
      </c>
      <c r="F648" t="s">
        <v>1302</v>
      </c>
      <c r="G648" s="9">
        <v>330.82</v>
      </c>
      <c r="H648">
        <v>380.47</v>
      </c>
      <c r="I648">
        <v>49.65</v>
      </c>
      <c r="J648">
        <v>319.8</v>
      </c>
      <c r="K648">
        <f t="shared" si="80"/>
        <v>380.47</v>
      </c>
      <c r="L648">
        <f t="shared" si="81"/>
        <v>330.82000000000005</v>
      </c>
      <c r="M648">
        <f t="shared" si="82"/>
        <v>49.65</v>
      </c>
      <c r="N648" t="str">
        <f t="shared" si="83"/>
        <v>Supermart Marketplace</v>
      </c>
      <c r="O648" t="str">
        <f t="shared" si="84"/>
        <v>Groceries</v>
      </c>
      <c r="P648" t="str">
        <f t="shared" si="85"/>
        <v>Deposit</v>
      </c>
      <c r="Q648">
        <f t="shared" si="86"/>
        <v>330.82</v>
      </c>
      <c r="R648">
        <f t="shared" si="87"/>
        <v>11.019999999999982</v>
      </c>
    </row>
    <row r="649" spans="1:18" x14ac:dyDescent="0.3">
      <c r="A649" t="s">
        <v>657</v>
      </c>
      <c r="B649" t="s">
        <v>933</v>
      </c>
      <c r="C649" s="4" t="s">
        <v>972</v>
      </c>
      <c r="D649" t="s">
        <v>1291</v>
      </c>
      <c r="E649" t="s">
        <v>1294</v>
      </c>
      <c r="F649" t="s">
        <v>1314</v>
      </c>
      <c r="G649" s="9">
        <v>590.08000000000004</v>
      </c>
      <c r="I649">
        <v>-122.48</v>
      </c>
      <c r="J649">
        <v>598.16999999999996</v>
      </c>
      <c r="K649">
        <f t="shared" si="80"/>
        <v>1420.2638235294123</v>
      </c>
      <c r="L649">
        <f t="shared" si="81"/>
        <v>1542.7438235294123</v>
      </c>
      <c r="M649">
        <f t="shared" si="82"/>
        <v>-122.48</v>
      </c>
      <c r="N649" t="str">
        <f t="shared" si="83"/>
        <v>Target Direct Online</v>
      </c>
      <c r="O649" t="str">
        <f t="shared" si="84"/>
        <v>Online Shopping</v>
      </c>
      <c r="P649" t="str">
        <f t="shared" si="85"/>
        <v>Withdrawal</v>
      </c>
      <c r="Q649">
        <f t="shared" si="86"/>
        <v>590.08000000000004</v>
      </c>
      <c r="R649">
        <f t="shared" si="87"/>
        <v>-8.0899999999999181</v>
      </c>
    </row>
    <row r="650" spans="1:18" x14ac:dyDescent="0.3">
      <c r="A650" t="s">
        <v>658</v>
      </c>
      <c r="B650" t="s">
        <v>849</v>
      </c>
      <c r="C650" s="4" t="s">
        <v>964</v>
      </c>
      <c r="D650" t="s">
        <v>1291</v>
      </c>
      <c r="E650" t="s">
        <v>1295</v>
      </c>
      <c r="F650" t="s">
        <v>1313</v>
      </c>
      <c r="G650" s="9">
        <v>266.72000000000003</v>
      </c>
      <c r="H650">
        <v>344.01</v>
      </c>
      <c r="I650">
        <v>-51.6</v>
      </c>
      <c r="J650">
        <v>276.57</v>
      </c>
      <c r="K650">
        <f t="shared" si="80"/>
        <v>344.01</v>
      </c>
      <c r="L650">
        <f t="shared" si="81"/>
        <v>395.61</v>
      </c>
      <c r="M650">
        <f t="shared" si="82"/>
        <v>-51.6</v>
      </c>
      <c r="N650" t="str">
        <f t="shared" si="83"/>
        <v>Fresh &amp; Fast Logistics</v>
      </c>
      <c r="O650" t="str">
        <f t="shared" si="84"/>
        <v>Groceries</v>
      </c>
      <c r="P650" t="str">
        <f t="shared" si="85"/>
        <v>Withdrawal</v>
      </c>
      <c r="Q650">
        <f t="shared" si="86"/>
        <v>266.72000000000003</v>
      </c>
      <c r="R650">
        <f t="shared" si="87"/>
        <v>-9.8499999999999659</v>
      </c>
    </row>
    <row r="651" spans="1:18" x14ac:dyDescent="0.3">
      <c r="A651" t="s">
        <v>659</v>
      </c>
      <c r="B651" t="s">
        <v>892</v>
      </c>
      <c r="C651" s="4" t="s">
        <v>1186</v>
      </c>
      <c r="D651" t="s">
        <v>1292</v>
      </c>
      <c r="E651" t="s">
        <v>1299</v>
      </c>
      <c r="F651" t="s">
        <v>1316</v>
      </c>
      <c r="G651" s="9">
        <v>986.99</v>
      </c>
      <c r="H651">
        <v>1380.88</v>
      </c>
      <c r="I651">
        <v>393.89</v>
      </c>
      <c r="J651">
        <v>951.62</v>
      </c>
      <c r="K651">
        <f t="shared" si="80"/>
        <v>1380.88</v>
      </c>
      <c r="L651">
        <f t="shared" si="81"/>
        <v>986.99000000000012</v>
      </c>
      <c r="M651">
        <f t="shared" si="82"/>
        <v>393.89</v>
      </c>
      <c r="N651" t="str">
        <f t="shared" si="83"/>
        <v>Amc Cinema Network</v>
      </c>
      <c r="O651" t="str">
        <f t="shared" si="84"/>
        <v>Entertainment</v>
      </c>
      <c r="P651" t="str">
        <f t="shared" si="85"/>
        <v>Deposit</v>
      </c>
      <c r="Q651">
        <f t="shared" si="86"/>
        <v>986.99</v>
      </c>
      <c r="R651">
        <f t="shared" si="87"/>
        <v>35.370000000000005</v>
      </c>
    </row>
    <row r="652" spans="1:18" x14ac:dyDescent="0.3">
      <c r="A652" t="s">
        <v>660</v>
      </c>
      <c r="B652" t="s">
        <v>923</v>
      </c>
      <c r="C652" s="4" t="s">
        <v>1120</v>
      </c>
      <c r="D652" t="s">
        <v>1291</v>
      </c>
      <c r="E652" t="s">
        <v>1295</v>
      </c>
      <c r="F652" t="s">
        <v>1313</v>
      </c>
      <c r="G652" s="9">
        <v>419</v>
      </c>
      <c r="H652">
        <v>546.62</v>
      </c>
      <c r="I652">
        <v>-81.99</v>
      </c>
      <c r="J652">
        <v>496.48</v>
      </c>
      <c r="K652">
        <f t="shared" si="80"/>
        <v>546.62</v>
      </c>
      <c r="L652">
        <f t="shared" si="81"/>
        <v>628.61</v>
      </c>
      <c r="M652">
        <f t="shared" si="82"/>
        <v>-81.99</v>
      </c>
      <c r="N652" t="str">
        <f t="shared" si="83"/>
        <v>Fresh &amp; Fast Logistics</v>
      </c>
      <c r="O652" t="str">
        <f t="shared" si="84"/>
        <v>Groceries</v>
      </c>
      <c r="P652" t="str">
        <f t="shared" si="85"/>
        <v>Withdrawal</v>
      </c>
      <c r="Q652">
        <f t="shared" si="86"/>
        <v>419</v>
      </c>
      <c r="R652">
        <f t="shared" si="87"/>
        <v>-77.480000000000018</v>
      </c>
    </row>
    <row r="653" spans="1:18" x14ac:dyDescent="0.3">
      <c r="A653" t="s">
        <v>661</v>
      </c>
      <c r="B653" t="s">
        <v>878</v>
      </c>
      <c r="C653" s="4" t="s">
        <v>941</v>
      </c>
      <c r="D653" t="s">
        <v>1292</v>
      </c>
      <c r="E653" t="s">
        <v>1295</v>
      </c>
      <c r="F653" t="s">
        <v>1304</v>
      </c>
      <c r="G653" s="9">
        <v>132.04</v>
      </c>
      <c r="H653">
        <v>162.93</v>
      </c>
      <c r="I653">
        <v>30.89</v>
      </c>
      <c r="J653">
        <v>156.08000000000001</v>
      </c>
      <c r="K653">
        <f t="shared" si="80"/>
        <v>162.93</v>
      </c>
      <c r="L653">
        <f t="shared" si="81"/>
        <v>132.04000000000002</v>
      </c>
      <c r="M653">
        <f t="shared" si="82"/>
        <v>30.89</v>
      </c>
      <c r="N653" t="str">
        <f t="shared" si="83"/>
        <v>Whole Foods Store</v>
      </c>
      <c r="O653" t="str">
        <f t="shared" si="84"/>
        <v>Groceries</v>
      </c>
      <c r="P653" t="str">
        <f t="shared" si="85"/>
        <v>Deposit</v>
      </c>
      <c r="Q653">
        <f t="shared" si="86"/>
        <v>132.04</v>
      </c>
      <c r="R653">
        <f t="shared" si="87"/>
        <v>-24.04000000000002</v>
      </c>
    </row>
    <row r="654" spans="1:18" x14ac:dyDescent="0.3">
      <c r="A654" t="s">
        <v>662</v>
      </c>
      <c r="B654" t="s">
        <v>791</v>
      </c>
      <c r="C654" s="4" t="s">
        <v>1262</v>
      </c>
      <c r="D654" t="s">
        <v>1291</v>
      </c>
      <c r="E654" t="s">
        <v>1299</v>
      </c>
      <c r="F654" t="s">
        <v>1311</v>
      </c>
      <c r="G654" s="9">
        <v>958.44</v>
      </c>
      <c r="H654">
        <v>1168.9100000000001</v>
      </c>
      <c r="I654">
        <v>-175.34</v>
      </c>
      <c r="J654">
        <v>1101.32</v>
      </c>
      <c r="K654">
        <f t="shared" si="80"/>
        <v>1168.9100000000001</v>
      </c>
      <c r="L654">
        <f t="shared" si="81"/>
        <v>1344.25</v>
      </c>
      <c r="M654">
        <f t="shared" si="82"/>
        <v>-175.34</v>
      </c>
      <c r="N654" t="str">
        <f t="shared" si="83"/>
        <v>Spotify Music Hub</v>
      </c>
      <c r="O654" t="str">
        <f t="shared" si="84"/>
        <v>Entertainment</v>
      </c>
      <c r="P654" t="str">
        <f t="shared" si="85"/>
        <v>Withdrawal</v>
      </c>
      <c r="Q654">
        <f t="shared" si="86"/>
        <v>958.44</v>
      </c>
      <c r="R654">
        <f t="shared" si="87"/>
        <v>-142.87999999999988</v>
      </c>
    </row>
    <row r="655" spans="1:18" x14ac:dyDescent="0.3">
      <c r="A655" t="s">
        <v>663</v>
      </c>
      <c r="B655" t="s">
        <v>917</v>
      </c>
      <c r="C655" s="4" t="s">
        <v>1263</v>
      </c>
      <c r="D655" t="s">
        <v>1291</v>
      </c>
      <c r="E655" t="s">
        <v>1294</v>
      </c>
      <c r="F655" t="s">
        <v>1301</v>
      </c>
      <c r="G655" s="9">
        <v>562.27</v>
      </c>
      <c r="H655">
        <v>776.07</v>
      </c>
      <c r="I655">
        <v>-116.41</v>
      </c>
      <c r="J655">
        <v>604.57000000000005</v>
      </c>
      <c r="K655">
        <f t="shared" si="80"/>
        <v>776.07</v>
      </c>
      <c r="L655">
        <f t="shared" si="81"/>
        <v>892.48</v>
      </c>
      <c r="M655">
        <f t="shared" si="82"/>
        <v>-116.41</v>
      </c>
      <c r="N655" t="str">
        <f t="shared" si="83"/>
        <v>Amazon Digital Supply</v>
      </c>
      <c r="O655" t="str">
        <f t="shared" si="84"/>
        <v>Online Shopping</v>
      </c>
      <c r="P655" t="str">
        <f t="shared" si="85"/>
        <v>Withdrawal</v>
      </c>
      <c r="Q655">
        <f t="shared" si="86"/>
        <v>562.27</v>
      </c>
      <c r="R655">
        <f t="shared" si="87"/>
        <v>-42.300000000000068</v>
      </c>
    </row>
    <row r="656" spans="1:18" x14ac:dyDescent="0.3">
      <c r="A656" t="s">
        <v>664</v>
      </c>
      <c r="B656" t="s">
        <v>785</v>
      </c>
      <c r="C656" s="4" t="s">
        <v>1264</v>
      </c>
      <c r="D656" t="s">
        <v>1292</v>
      </c>
      <c r="E656" t="s">
        <v>1294</v>
      </c>
      <c r="F656" t="s">
        <v>1314</v>
      </c>
      <c r="G656" s="9">
        <v>958.59</v>
      </c>
      <c r="H656">
        <v>1190.77</v>
      </c>
      <c r="I656">
        <v>232.18</v>
      </c>
      <c r="J656">
        <v>1040.32</v>
      </c>
      <c r="K656">
        <f t="shared" si="80"/>
        <v>1190.77</v>
      </c>
      <c r="L656">
        <f t="shared" si="81"/>
        <v>958.58999999999992</v>
      </c>
      <c r="M656">
        <f t="shared" si="82"/>
        <v>232.18</v>
      </c>
      <c r="N656" t="str">
        <f t="shared" si="83"/>
        <v>Target Direct Online</v>
      </c>
      <c r="O656" t="str">
        <f t="shared" si="84"/>
        <v>Online Shopping</v>
      </c>
      <c r="P656" t="str">
        <f t="shared" si="85"/>
        <v>Deposit</v>
      </c>
      <c r="Q656">
        <f t="shared" si="86"/>
        <v>958.59</v>
      </c>
      <c r="R656">
        <f t="shared" si="87"/>
        <v>-81.729999999999905</v>
      </c>
    </row>
    <row r="657" spans="1:18" x14ac:dyDescent="0.3">
      <c r="A657" t="s">
        <v>665</v>
      </c>
      <c r="B657" t="s">
        <v>918</v>
      </c>
      <c r="C657" s="4" t="s">
        <v>1200</v>
      </c>
      <c r="D657" t="s">
        <v>1291</v>
      </c>
      <c r="E657" t="s">
        <v>1299</v>
      </c>
      <c r="F657" t="s">
        <v>1311</v>
      </c>
      <c r="G657" s="9">
        <v>170.52</v>
      </c>
      <c r="H657">
        <v>212.2</v>
      </c>
      <c r="I657">
        <v>-31.83</v>
      </c>
      <c r="J657">
        <v>171.73</v>
      </c>
      <c r="K657">
        <f t="shared" si="80"/>
        <v>212.2</v>
      </c>
      <c r="L657">
        <f t="shared" si="81"/>
        <v>244.02999999999997</v>
      </c>
      <c r="M657">
        <f t="shared" si="82"/>
        <v>-31.83</v>
      </c>
      <c r="N657" t="str">
        <f t="shared" si="83"/>
        <v>Spotify Music Hub</v>
      </c>
      <c r="O657" t="str">
        <f t="shared" si="84"/>
        <v>Entertainment</v>
      </c>
      <c r="P657" t="str">
        <f t="shared" si="85"/>
        <v>Withdrawal</v>
      </c>
      <c r="Q657">
        <f t="shared" si="86"/>
        <v>170.52</v>
      </c>
      <c r="R657">
        <f t="shared" si="87"/>
        <v>-1.2099999999999795</v>
      </c>
    </row>
    <row r="658" spans="1:18" x14ac:dyDescent="0.3">
      <c r="A658" t="s">
        <v>666</v>
      </c>
      <c r="B658" t="s">
        <v>907</v>
      </c>
      <c r="C658" s="4" t="s">
        <v>1124</v>
      </c>
      <c r="D658" t="s">
        <v>1291</v>
      </c>
      <c r="E658" t="s">
        <v>1299</v>
      </c>
      <c r="F658" t="s">
        <v>1316</v>
      </c>
      <c r="G658" s="9">
        <v>637.37</v>
      </c>
      <c r="H658">
        <v>766.91</v>
      </c>
      <c r="I658">
        <v>-115.04</v>
      </c>
      <c r="J658">
        <v>703.77</v>
      </c>
      <c r="K658">
        <f t="shared" si="80"/>
        <v>766.91</v>
      </c>
      <c r="L658">
        <f t="shared" si="81"/>
        <v>881.94999999999993</v>
      </c>
      <c r="M658">
        <f t="shared" si="82"/>
        <v>-115.04</v>
      </c>
      <c r="N658" t="str">
        <f t="shared" si="83"/>
        <v>Amc Cinema Network</v>
      </c>
      <c r="O658" t="str">
        <f t="shared" si="84"/>
        <v>Entertainment</v>
      </c>
      <c r="P658" t="str">
        <f t="shared" si="85"/>
        <v>Withdrawal</v>
      </c>
      <c r="Q658">
        <f t="shared" si="86"/>
        <v>637.37</v>
      </c>
      <c r="R658">
        <f t="shared" si="87"/>
        <v>-66.399999999999977</v>
      </c>
    </row>
    <row r="659" spans="1:18" x14ac:dyDescent="0.3">
      <c r="A659" t="s">
        <v>667</v>
      </c>
      <c r="B659" t="s">
        <v>832</v>
      </c>
      <c r="C659" s="4" t="s">
        <v>1203</v>
      </c>
      <c r="D659" t="s">
        <v>1292</v>
      </c>
      <c r="E659" t="s">
        <v>1298</v>
      </c>
      <c r="F659" t="s">
        <v>1310</v>
      </c>
      <c r="G659" s="9">
        <v>673.97</v>
      </c>
      <c r="H659">
        <v>777.62</v>
      </c>
      <c r="I659">
        <v>103.65</v>
      </c>
      <c r="J659">
        <v>770.2</v>
      </c>
      <c r="K659">
        <f t="shared" si="80"/>
        <v>777.62</v>
      </c>
      <c r="L659">
        <f t="shared" si="81"/>
        <v>673.97</v>
      </c>
      <c r="M659">
        <f t="shared" si="82"/>
        <v>103.65</v>
      </c>
      <c r="N659" t="str">
        <f t="shared" si="83"/>
        <v>Zelle Payment Engine</v>
      </c>
      <c r="O659" t="str">
        <f t="shared" si="84"/>
        <v>Transfer</v>
      </c>
      <c r="P659" t="str">
        <f t="shared" si="85"/>
        <v>Deposit</v>
      </c>
      <c r="Q659">
        <f t="shared" si="86"/>
        <v>673.97</v>
      </c>
      <c r="R659">
        <f t="shared" si="87"/>
        <v>-96.230000000000018</v>
      </c>
    </row>
    <row r="660" spans="1:18" x14ac:dyDescent="0.3">
      <c r="A660" t="s">
        <v>668</v>
      </c>
      <c r="B660" t="s">
        <v>907</v>
      </c>
      <c r="C660" s="4" t="s">
        <v>1006</v>
      </c>
      <c r="D660" t="s">
        <v>1292</v>
      </c>
      <c r="E660" t="s">
        <v>1296</v>
      </c>
      <c r="F660" t="s">
        <v>1308</v>
      </c>
      <c r="G660" s="9">
        <v>8800.99</v>
      </c>
      <c r="H660">
        <v>11935.15</v>
      </c>
      <c r="I660">
        <v>3134.16</v>
      </c>
      <c r="J660">
        <v>10518.06</v>
      </c>
      <c r="K660">
        <f t="shared" si="80"/>
        <v>11935.15</v>
      </c>
      <c r="L660">
        <f t="shared" si="81"/>
        <v>8800.99</v>
      </c>
      <c r="M660">
        <f t="shared" si="82"/>
        <v>3134.16</v>
      </c>
      <c r="N660" t="str">
        <f t="shared" si="83"/>
        <v>Stark Retail Labs</v>
      </c>
      <c r="O660" t="str">
        <f t="shared" si="84"/>
        <v>Salary</v>
      </c>
      <c r="P660" t="str">
        <f t="shared" si="85"/>
        <v>Deposit</v>
      </c>
      <c r="Q660">
        <f t="shared" si="86"/>
        <v>8800.99</v>
      </c>
      <c r="R660">
        <f t="shared" si="87"/>
        <v>-1717.0699999999997</v>
      </c>
    </row>
    <row r="661" spans="1:18" x14ac:dyDescent="0.3">
      <c r="A661" t="s">
        <v>669</v>
      </c>
      <c r="B661" t="s">
        <v>830</v>
      </c>
      <c r="C661" s="4" t="s">
        <v>1155</v>
      </c>
      <c r="D661" t="s">
        <v>1292</v>
      </c>
      <c r="E661" t="s">
        <v>1298</v>
      </c>
      <c r="F661" t="s">
        <v>1317</v>
      </c>
      <c r="G661" s="9">
        <v>885.64</v>
      </c>
      <c r="H661">
        <v>1037.3</v>
      </c>
      <c r="I661">
        <v>151.66</v>
      </c>
      <c r="J661">
        <v>1060.6199999999999</v>
      </c>
      <c r="K661">
        <f t="shared" si="80"/>
        <v>1037.3</v>
      </c>
      <c r="L661">
        <f t="shared" si="81"/>
        <v>885.64</v>
      </c>
      <c r="M661">
        <f t="shared" si="82"/>
        <v>151.66</v>
      </c>
      <c r="N661" t="str">
        <f t="shared" si="83"/>
        <v>External Wire Clearance</v>
      </c>
      <c r="O661" t="str">
        <f t="shared" si="84"/>
        <v>Transfer</v>
      </c>
      <c r="P661" t="str">
        <f t="shared" si="85"/>
        <v>Deposit</v>
      </c>
      <c r="Q661">
        <f t="shared" si="86"/>
        <v>885.64</v>
      </c>
      <c r="R661">
        <f t="shared" si="87"/>
        <v>-174.9799999999999</v>
      </c>
    </row>
    <row r="662" spans="1:18" x14ac:dyDescent="0.3">
      <c r="A662" t="s">
        <v>670</v>
      </c>
      <c r="B662" t="s">
        <v>900</v>
      </c>
      <c r="C662" s="4" t="s">
        <v>1131</v>
      </c>
      <c r="D662" t="s">
        <v>1291</v>
      </c>
      <c r="E662" t="s">
        <v>1296</v>
      </c>
      <c r="F662" t="s">
        <v>1303</v>
      </c>
      <c r="G662" s="9">
        <v>9399.4599999999991</v>
      </c>
      <c r="H662">
        <v>12793.44</v>
      </c>
      <c r="I662">
        <v>-1919.02</v>
      </c>
      <c r="J662">
        <v>9397.73</v>
      </c>
      <c r="K662">
        <f t="shared" si="80"/>
        <v>12793.44</v>
      </c>
      <c r="L662">
        <f t="shared" si="81"/>
        <v>14712.460000000001</v>
      </c>
      <c r="M662">
        <f t="shared" si="82"/>
        <v>-1919.02</v>
      </c>
      <c r="N662" t="str">
        <f t="shared" si="83"/>
        <v>Global Industries Llc</v>
      </c>
      <c r="O662" t="str">
        <f t="shared" si="84"/>
        <v>Salary</v>
      </c>
      <c r="P662" t="str">
        <f t="shared" si="85"/>
        <v>Withdrawal</v>
      </c>
      <c r="Q662">
        <f t="shared" si="86"/>
        <v>9399.4599999999991</v>
      </c>
      <c r="R662">
        <f t="shared" si="87"/>
        <v>1.7299999999995634</v>
      </c>
    </row>
    <row r="663" spans="1:18" x14ac:dyDescent="0.3">
      <c r="A663" t="s">
        <v>671</v>
      </c>
      <c r="B663" t="s">
        <v>851</v>
      </c>
      <c r="C663" s="4" t="s">
        <v>951</v>
      </c>
      <c r="D663" t="s">
        <v>1291</v>
      </c>
      <c r="E663" t="s">
        <v>1295</v>
      </c>
      <c r="F663" t="s">
        <v>1302</v>
      </c>
      <c r="G663" s="9">
        <v>103.75</v>
      </c>
      <c r="H663">
        <v>128.12</v>
      </c>
      <c r="I663">
        <v>-19.22</v>
      </c>
      <c r="J663">
        <v>99.98</v>
      </c>
      <c r="K663">
        <f t="shared" si="80"/>
        <v>128.12</v>
      </c>
      <c r="L663">
        <f t="shared" si="81"/>
        <v>147.34</v>
      </c>
      <c r="M663">
        <f t="shared" si="82"/>
        <v>-19.22</v>
      </c>
      <c r="N663" t="str">
        <f t="shared" si="83"/>
        <v>Supermart Marketplace</v>
      </c>
      <c r="O663" t="str">
        <f t="shared" si="84"/>
        <v>Groceries</v>
      </c>
      <c r="P663" t="str">
        <f t="shared" si="85"/>
        <v>Withdrawal</v>
      </c>
      <c r="Q663">
        <f t="shared" si="86"/>
        <v>103.75</v>
      </c>
      <c r="R663">
        <f t="shared" si="87"/>
        <v>3.769999999999996</v>
      </c>
    </row>
    <row r="664" spans="1:18" x14ac:dyDescent="0.3">
      <c r="A664" t="s">
        <v>672</v>
      </c>
      <c r="B664" t="s">
        <v>926</v>
      </c>
      <c r="C664" s="4" t="s">
        <v>1244</v>
      </c>
      <c r="D664" t="s">
        <v>1291</v>
      </c>
      <c r="E664" t="s">
        <v>1298</v>
      </c>
      <c r="F664" t="s">
        <v>1306</v>
      </c>
      <c r="G664" s="9">
        <v>1103.56</v>
      </c>
      <c r="H664">
        <v>1346.11</v>
      </c>
      <c r="I664">
        <v>-201.92</v>
      </c>
      <c r="J664">
        <v>1229.07</v>
      </c>
      <c r="K664">
        <f t="shared" si="80"/>
        <v>1346.11</v>
      </c>
      <c r="L664">
        <f t="shared" si="81"/>
        <v>1548.03</v>
      </c>
      <c r="M664">
        <f t="shared" si="82"/>
        <v>-201.92</v>
      </c>
      <c r="N664" t="str">
        <f t="shared" si="83"/>
        <v>Internal P2P Route</v>
      </c>
      <c r="O664" t="str">
        <f t="shared" si="84"/>
        <v>Transfer</v>
      </c>
      <c r="P664" t="str">
        <f t="shared" si="85"/>
        <v>Withdrawal</v>
      </c>
      <c r="Q664">
        <f t="shared" si="86"/>
        <v>1103.56</v>
      </c>
      <c r="R664">
        <f t="shared" si="87"/>
        <v>-125.50999999999999</v>
      </c>
    </row>
    <row r="665" spans="1:18" x14ac:dyDescent="0.3">
      <c r="A665" t="s">
        <v>673</v>
      </c>
      <c r="B665" t="s">
        <v>856</v>
      </c>
      <c r="C665" s="4" t="s">
        <v>1152</v>
      </c>
      <c r="D665" t="s">
        <v>1291</v>
      </c>
      <c r="E665" t="s">
        <v>1296</v>
      </c>
      <c r="F665" t="s">
        <v>1307</v>
      </c>
      <c r="H665">
        <v>128.1</v>
      </c>
      <c r="I665">
        <v>-19.21</v>
      </c>
      <c r="J665">
        <v>107.52</v>
      </c>
      <c r="K665">
        <f t="shared" si="80"/>
        <v>128.1</v>
      </c>
      <c r="L665">
        <f t="shared" si="81"/>
        <v>147.31</v>
      </c>
      <c r="M665">
        <f t="shared" si="82"/>
        <v>-19.21</v>
      </c>
      <c r="N665" t="str">
        <f t="shared" si="83"/>
        <v>Techcorp Payroll Inc</v>
      </c>
      <c r="O665" t="str">
        <f t="shared" si="84"/>
        <v>Salary</v>
      </c>
      <c r="P665" t="str">
        <f t="shared" si="85"/>
        <v>Withdrawal</v>
      </c>
      <c r="Q665">
        <f t="shared" si="86"/>
        <v>1219.4163333333336</v>
      </c>
      <c r="R665">
        <f t="shared" si="87"/>
        <v>1111.8963333333336</v>
      </c>
    </row>
    <row r="666" spans="1:18" x14ac:dyDescent="0.3">
      <c r="A666" t="s">
        <v>674</v>
      </c>
      <c r="B666" t="s">
        <v>854</v>
      </c>
      <c r="C666" s="4" t="s">
        <v>1265</v>
      </c>
      <c r="D666" t="s">
        <v>1292</v>
      </c>
      <c r="E666" t="s">
        <v>1294</v>
      </c>
      <c r="F666" t="s">
        <v>1314</v>
      </c>
      <c r="G666" s="9">
        <v>983.82</v>
      </c>
      <c r="H666">
        <v>1150.77</v>
      </c>
      <c r="I666">
        <v>166.95</v>
      </c>
      <c r="J666">
        <v>1159.47</v>
      </c>
      <c r="K666">
        <f t="shared" si="80"/>
        <v>1150.77</v>
      </c>
      <c r="L666">
        <f t="shared" si="81"/>
        <v>983.81999999999994</v>
      </c>
      <c r="M666">
        <f t="shared" si="82"/>
        <v>166.95</v>
      </c>
      <c r="N666" t="str">
        <f t="shared" si="83"/>
        <v>Target Direct Online</v>
      </c>
      <c r="O666" t="str">
        <f t="shared" si="84"/>
        <v>Online Shopping</v>
      </c>
      <c r="P666" t="str">
        <f t="shared" si="85"/>
        <v>Deposit</v>
      </c>
      <c r="Q666">
        <f t="shared" si="86"/>
        <v>983.82</v>
      </c>
      <c r="R666">
        <f t="shared" si="87"/>
        <v>-175.64999999999998</v>
      </c>
    </row>
    <row r="667" spans="1:18" x14ac:dyDescent="0.3">
      <c r="A667" t="s">
        <v>675</v>
      </c>
      <c r="B667" t="s">
        <v>854</v>
      </c>
      <c r="C667" s="4" t="s">
        <v>1266</v>
      </c>
      <c r="D667" t="s">
        <v>1292</v>
      </c>
      <c r="E667" t="s">
        <v>1299</v>
      </c>
      <c r="F667" t="s">
        <v>1312</v>
      </c>
      <c r="G667" s="9">
        <v>948.95</v>
      </c>
      <c r="H667">
        <v>1179.94</v>
      </c>
      <c r="I667">
        <v>230.99</v>
      </c>
      <c r="J667">
        <v>1036.71</v>
      </c>
      <c r="K667">
        <f t="shared" si="80"/>
        <v>1179.94</v>
      </c>
      <c r="L667">
        <f t="shared" si="81"/>
        <v>948.95</v>
      </c>
      <c r="M667">
        <f t="shared" si="82"/>
        <v>230.99</v>
      </c>
      <c r="N667" t="str">
        <f t="shared" si="83"/>
        <v>Netflix Streaming Premium</v>
      </c>
      <c r="O667" t="str">
        <f t="shared" si="84"/>
        <v>Entertainment</v>
      </c>
      <c r="P667" t="str">
        <f t="shared" si="85"/>
        <v>Deposit</v>
      </c>
      <c r="Q667">
        <f t="shared" si="86"/>
        <v>948.95</v>
      </c>
      <c r="R667">
        <f t="shared" si="87"/>
        <v>-87.759999999999991</v>
      </c>
    </row>
    <row r="668" spans="1:18" x14ac:dyDescent="0.3">
      <c r="A668" t="s">
        <v>676</v>
      </c>
      <c r="B668" t="s">
        <v>886</v>
      </c>
      <c r="C668" s="4" t="s">
        <v>956</v>
      </c>
      <c r="D668" t="s">
        <v>1292</v>
      </c>
      <c r="E668" t="s">
        <v>1298</v>
      </c>
      <c r="F668" t="s">
        <v>1306</v>
      </c>
      <c r="G668" s="9">
        <v>886.96</v>
      </c>
      <c r="H668">
        <v>1195.43</v>
      </c>
      <c r="I668">
        <v>308.47000000000003</v>
      </c>
      <c r="J668">
        <v>929.11</v>
      </c>
      <c r="K668">
        <f t="shared" si="80"/>
        <v>1195.43</v>
      </c>
      <c r="L668">
        <f t="shared" si="81"/>
        <v>886.96</v>
      </c>
      <c r="M668">
        <f t="shared" si="82"/>
        <v>308.47000000000003</v>
      </c>
      <c r="N668" t="str">
        <f t="shared" si="83"/>
        <v>Internal P2P Route</v>
      </c>
      <c r="O668" t="str">
        <f t="shared" si="84"/>
        <v>Transfer</v>
      </c>
      <c r="P668" t="str">
        <f t="shared" si="85"/>
        <v>Deposit</v>
      </c>
      <c r="Q668">
        <f t="shared" si="86"/>
        <v>886.96</v>
      </c>
      <c r="R668">
        <f t="shared" si="87"/>
        <v>-42.149999999999977</v>
      </c>
    </row>
    <row r="669" spans="1:18" x14ac:dyDescent="0.3">
      <c r="A669" t="s">
        <v>677</v>
      </c>
      <c r="B669" t="s">
        <v>797</v>
      </c>
      <c r="C669" s="4" t="s">
        <v>1248</v>
      </c>
      <c r="D669" t="s">
        <v>1291</v>
      </c>
      <c r="E669" t="s">
        <v>1297</v>
      </c>
      <c r="F669" t="s">
        <v>1305</v>
      </c>
      <c r="G669" s="9">
        <v>627.86</v>
      </c>
      <c r="I669">
        <v>-124.63</v>
      </c>
      <c r="J669">
        <v>591.42999999999995</v>
      </c>
      <c r="K669">
        <f t="shared" si="80"/>
        <v>1420.2638235294123</v>
      </c>
      <c r="L669">
        <f t="shared" si="81"/>
        <v>1544.8938235294122</v>
      </c>
      <c r="M669">
        <f t="shared" si="82"/>
        <v>-124.63</v>
      </c>
      <c r="N669" t="str">
        <f t="shared" si="83"/>
        <v>Mcdonalds Corp Express</v>
      </c>
      <c r="O669" t="str">
        <f t="shared" si="84"/>
        <v>Dining Out</v>
      </c>
      <c r="P669" t="str">
        <f t="shared" si="85"/>
        <v>Withdrawal</v>
      </c>
      <c r="Q669">
        <f t="shared" si="86"/>
        <v>627.86</v>
      </c>
      <c r="R669">
        <f t="shared" si="87"/>
        <v>36.430000000000064</v>
      </c>
    </row>
    <row r="670" spans="1:18" x14ac:dyDescent="0.3">
      <c r="A670" t="s">
        <v>678</v>
      </c>
      <c r="B670" t="s">
        <v>885</v>
      </c>
      <c r="C670" s="4" t="s">
        <v>1147</v>
      </c>
      <c r="D670" t="s">
        <v>1292</v>
      </c>
      <c r="E670" t="s">
        <v>1296</v>
      </c>
      <c r="F670" t="s">
        <v>1308</v>
      </c>
      <c r="G670" s="9">
        <v>8902.6</v>
      </c>
      <c r="H670">
        <v>10770.09</v>
      </c>
      <c r="I670">
        <v>1867.49</v>
      </c>
      <c r="J670">
        <v>9339.5400000000009</v>
      </c>
      <c r="K670">
        <f t="shared" si="80"/>
        <v>10770.09</v>
      </c>
      <c r="L670">
        <f t="shared" si="81"/>
        <v>8902.6</v>
      </c>
      <c r="M670">
        <f t="shared" si="82"/>
        <v>1867.49</v>
      </c>
      <c r="N670" t="str">
        <f t="shared" si="83"/>
        <v>Stark Retail Labs</v>
      </c>
      <c r="O670" t="str">
        <f t="shared" si="84"/>
        <v>Salary</v>
      </c>
      <c r="P670" t="str">
        <f t="shared" si="85"/>
        <v>Deposit</v>
      </c>
      <c r="Q670">
        <f t="shared" si="86"/>
        <v>8902.6</v>
      </c>
      <c r="R670">
        <f t="shared" si="87"/>
        <v>-436.94000000000051</v>
      </c>
    </row>
    <row r="671" spans="1:18" x14ac:dyDescent="0.3">
      <c r="A671" t="s">
        <v>679</v>
      </c>
      <c r="B671" t="s">
        <v>816</v>
      </c>
      <c r="C671" s="4" t="s">
        <v>1267</v>
      </c>
      <c r="D671" t="s">
        <v>1292</v>
      </c>
      <c r="E671" t="s">
        <v>1298</v>
      </c>
      <c r="F671" t="s">
        <v>1306</v>
      </c>
      <c r="G671" s="9">
        <v>386.03</v>
      </c>
      <c r="H671">
        <v>507.57</v>
      </c>
      <c r="I671">
        <v>121.54</v>
      </c>
      <c r="J671">
        <v>349.72</v>
      </c>
      <c r="K671">
        <f t="shared" si="80"/>
        <v>507.57</v>
      </c>
      <c r="L671">
        <f t="shared" si="81"/>
        <v>386.03</v>
      </c>
      <c r="M671">
        <f t="shared" si="82"/>
        <v>121.54</v>
      </c>
      <c r="N671" t="str">
        <f t="shared" si="83"/>
        <v>Internal P2P Route</v>
      </c>
      <c r="O671" t="str">
        <f t="shared" si="84"/>
        <v>Transfer</v>
      </c>
      <c r="P671" t="str">
        <f t="shared" si="85"/>
        <v>Deposit</v>
      </c>
      <c r="Q671">
        <f t="shared" si="86"/>
        <v>386.03</v>
      </c>
      <c r="R671">
        <f t="shared" si="87"/>
        <v>36.309999999999945</v>
      </c>
    </row>
    <row r="672" spans="1:18" x14ac:dyDescent="0.3">
      <c r="A672" t="s">
        <v>680</v>
      </c>
      <c r="B672" t="s">
        <v>925</v>
      </c>
      <c r="C672" s="4" t="s">
        <v>1268</v>
      </c>
      <c r="D672" t="s">
        <v>1291</v>
      </c>
      <c r="E672" t="s">
        <v>1296</v>
      </c>
      <c r="F672" t="s">
        <v>1303</v>
      </c>
      <c r="G672" s="9">
        <v>7192.05</v>
      </c>
      <c r="H672">
        <v>9626.34</v>
      </c>
      <c r="I672">
        <v>-1443.95</v>
      </c>
      <c r="J672">
        <v>7589.16</v>
      </c>
      <c r="K672">
        <f t="shared" si="80"/>
        <v>9626.34</v>
      </c>
      <c r="L672">
        <f t="shared" si="81"/>
        <v>11070.29</v>
      </c>
      <c r="M672">
        <f t="shared" si="82"/>
        <v>-1443.95</v>
      </c>
      <c r="N672" t="str">
        <f t="shared" si="83"/>
        <v>Global Industries Llc</v>
      </c>
      <c r="O672" t="str">
        <f t="shared" si="84"/>
        <v>Salary</v>
      </c>
      <c r="P672" t="str">
        <f t="shared" si="85"/>
        <v>Withdrawal</v>
      </c>
      <c r="Q672">
        <f t="shared" si="86"/>
        <v>7192.05</v>
      </c>
      <c r="R672">
        <f t="shared" si="87"/>
        <v>-397.10999999999967</v>
      </c>
    </row>
    <row r="673" spans="1:18" x14ac:dyDescent="0.3">
      <c r="A673" t="s">
        <v>681</v>
      </c>
      <c r="B673" t="s">
        <v>844</v>
      </c>
      <c r="C673" s="4" t="s">
        <v>1269</v>
      </c>
      <c r="D673" t="s">
        <v>1292</v>
      </c>
      <c r="E673" t="s">
        <v>1296</v>
      </c>
      <c r="F673" t="s">
        <v>1303</v>
      </c>
      <c r="G673" s="9">
        <v>5700.87</v>
      </c>
      <c r="H673">
        <v>7068.84</v>
      </c>
      <c r="I673">
        <v>1367.97</v>
      </c>
      <c r="J673">
        <v>5873.9</v>
      </c>
      <c r="K673">
        <f t="shared" si="80"/>
        <v>7068.84</v>
      </c>
      <c r="L673">
        <f t="shared" si="81"/>
        <v>5700.87</v>
      </c>
      <c r="M673">
        <f t="shared" si="82"/>
        <v>1367.97</v>
      </c>
      <c r="N673" t="str">
        <f t="shared" si="83"/>
        <v>Global Industries Llc</v>
      </c>
      <c r="O673" t="str">
        <f t="shared" si="84"/>
        <v>Salary</v>
      </c>
      <c r="P673" t="str">
        <f t="shared" si="85"/>
        <v>Deposit</v>
      </c>
      <c r="Q673">
        <f t="shared" si="86"/>
        <v>5700.87</v>
      </c>
      <c r="R673">
        <f t="shared" si="87"/>
        <v>-173.02999999999975</v>
      </c>
    </row>
    <row r="674" spans="1:18" x14ac:dyDescent="0.3">
      <c r="A674" t="s">
        <v>682</v>
      </c>
      <c r="B674" t="s">
        <v>805</v>
      </c>
      <c r="C674" s="4" t="s">
        <v>943</v>
      </c>
      <c r="D674" t="s">
        <v>1291</v>
      </c>
      <c r="E674" t="s">
        <v>1299</v>
      </c>
      <c r="F674" t="s">
        <v>1311</v>
      </c>
      <c r="G674" s="9">
        <v>612.13</v>
      </c>
      <c r="H674">
        <v>760.54</v>
      </c>
      <c r="J674">
        <v>721.25</v>
      </c>
      <c r="K674">
        <f t="shared" si="80"/>
        <v>760.54</v>
      </c>
      <c r="L674">
        <f t="shared" si="81"/>
        <v>804.72298507462688</v>
      </c>
      <c r="M674">
        <f t="shared" si="82"/>
        <v>-44.182985074626863</v>
      </c>
      <c r="N674" t="str">
        <f t="shared" si="83"/>
        <v>Spotify Music Hub</v>
      </c>
      <c r="O674" t="str">
        <f t="shared" si="84"/>
        <v>Entertainment</v>
      </c>
      <c r="P674" t="str">
        <f t="shared" si="85"/>
        <v>Withdrawal</v>
      </c>
      <c r="Q674">
        <f t="shared" si="86"/>
        <v>612.13</v>
      </c>
      <c r="R674">
        <f t="shared" si="87"/>
        <v>-109.12</v>
      </c>
    </row>
    <row r="675" spans="1:18" x14ac:dyDescent="0.3">
      <c r="A675" t="s">
        <v>683</v>
      </c>
      <c r="B675" t="s">
        <v>849</v>
      </c>
      <c r="C675" s="4" t="s">
        <v>1215</v>
      </c>
      <c r="D675" t="s">
        <v>1292</v>
      </c>
      <c r="E675" t="s">
        <v>1297</v>
      </c>
      <c r="F675" t="s">
        <v>1309</v>
      </c>
      <c r="G675" s="9">
        <v>708</v>
      </c>
      <c r="H675">
        <v>891.3</v>
      </c>
      <c r="I675">
        <v>183.3</v>
      </c>
      <c r="J675">
        <v>670.72</v>
      </c>
      <c r="K675">
        <f t="shared" si="80"/>
        <v>891.3</v>
      </c>
      <c r="L675">
        <f t="shared" si="81"/>
        <v>708</v>
      </c>
      <c r="M675">
        <f t="shared" si="82"/>
        <v>183.3</v>
      </c>
      <c r="N675" t="str">
        <f t="shared" si="83"/>
        <v>Olive Garden Gourmet</v>
      </c>
      <c r="O675" t="str">
        <f t="shared" si="84"/>
        <v>Dining Out</v>
      </c>
      <c r="P675" t="str">
        <f t="shared" si="85"/>
        <v>Deposit</v>
      </c>
      <c r="Q675">
        <f t="shared" si="86"/>
        <v>708</v>
      </c>
      <c r="R675">
        <f t="shared" si="87"/>
        <v>37.279999999999973</v>
      </c>
    </row>
    <row r="676" spans="1:18" x14ac:dyDescent="0.3">
      <c r="A676" t="s">
        <v>684</v>
      </c>
      <c r="B676" t="s">
        <v>920</v>
      </c>
      <c r="C676" s="4" t="s">
        <v>1228</v>
      </c>
      <c r="D676" t="s">
        <v>1292</v>
      </c>
      <c r="E676" t="s">
        <v>1294</v>
      </c>
      <c r="F676" t="s">
        <v>1314</v>
      </c>
      <c r="G676" s="9">
        <v>1042.92</v>
      </c>
      <c r="H676">
        <v>1370.83</v>
      </c>
      <c r="I676">
        <v>327.91</v>
      </c>
      <c r="J676">
        <v>1053.92</v>
      </c>
      <c r="K676">
        <f t="shared" si="80"/>
        <v>1370.83</v>
      </c>
      <c r="L676">
        <f t="shared" si="81"/>
        <v>1042.9199999999998</v>
      </c>
      <c r="M676">
        <f t="shared" si="82"/>
        <v>327.91</v>
      </c>
      <c r="N676" t="str">
        <f t="shared" si="83"/>
        <v>Target Direct Online</v>
      </c>
      <c r="O676" t="str">
        <f t="shared" si="84"/>
        <v>Online Shopping</v>
      </c>
      <c r="P676" t="str">
        <f t="shared" si="85"/>
        <v>Deposit</v>
      </c>
      <c r="Q676">
        <f t="shared" si="86"/>
        <v>1042.92</v>
      </c>
      <c r="R676">
        <f t="shared" si="87"/>
        <v>-11</v>
      </c>
    </row>
    <row r="677" spans="1:18" x14ac:dyDescent="0.3">
      <c r="A677" t="s">
        <v>685</v>
      </c>
      <c r="B677" t="s">
        <v>874</v>
      </c>
      <c r="C677" s="4" t="s">
        <v>1197</v>
      </c>
      <c r="D677" t="s">
        <v>1292</v>
      </c>
      <c r="E677" t="s">
        <v>1297</v>
      </c>
      <c r="F677" t="s">
        <v>1305</v>
      </c>
      <c r="I677">
        <v>32.729999999999997</v>
      </c>
      <c r="J677">
        <v>99.43</v>
      </c>
      <c r="K677">
        <f t="shared" si="80"/>
        <v>1420.2638235294123</v>
      </c>
      <c r="L677">
        <f t="shared" si="81"/>
        <v>1387.5338235294123</v>
      </c>
      <c r="M677">
        <f t="shared" si="82"/>
        <v>32.729999999999997</v>
      </c>
      <c r="N677" t="str">
        <f t="shared" si="83"/>
        <v>Mcdonalds Corp Express</v>
      </c>
      <c r="O677" t="str">
        <f t="shared" si="84"/>
        <v>Dining Out</v>
      </c>
      <c r="P677" t="str">
        <f t="shared" si="85"/>
        <v>Deposit</v>
      </c>
      <c r="Q677">
        <f t="shared" si="86"/>
        <v>1219.4163333333336</v>
      </c>
      <c r="R677">
        <f t="shared" si="87"/>
        <v>1119.9863333333335</v>
      </c>
    </row>
    <row r="678" spans="1:18" x14ac:dyDescent="0.3">
      <c r="A678" t="s">
        <v>686</v>
      </c>
      <c r="B678" t="s">
        <v>884</v>
      </c>
      <c r="C678" s="4" t="s">
        <v>1070</v>
      </c>
      <c r="D678" t="s">
        <v>1292</v>
      </c>
      <c r="E678" t="s">
        <v>1296</v>
      </c>
      <c r="F678" t="s">
        <v>1308</v>
      </c>
      <c r="G678" s="9">
        <v>8552.57</v>
      </c>
      <c r="H678">
        <v>11274.01</v>
      </c>
      <c r="I678">
        <v>2721.44</v>
      </c>
      <c r="J678">
        <v>8836.7199999999993</v>
      </c>
      <c r="K678">
        <f t="shared" si="80"/>
        <v>11274.01</v>
      </c>
      <c r="L678">
        <f t="shared" si="81"/>
        <v>8552.57</v>
      </c>
      <c r="M678">
        <f t="shared" si="82"/>
        <v>2721.44</v>
      </c>
      <c r="N678" t="str">
        <f t="shared" si="83"/>
        <v>Stark Retail Labs</v>
      </c>
      <c r="O678" t="str">
        <f t="shared" si="84"/>
        <v>Salary</v>
      </c>
      <c r="P678" t="str">
        <f t="shared" si="85"/>
        <v>Deposit</v>
      </c>
      <c r="Q678">
        <f t="shared" si="86"/>
        <v>8552.57</v>
      </c>
      <c r="R678">
        <f t="shared" si="87"/>
        <v>-284.14999999999964</v>
      </c>
    </row>
    <row r="679" spans="1:18" x14ac:dyDescent="0.3">
      <c r="A679" t="s">
        <v>687</v>
      </c>
      <c r="B679" t="s">
        <v>929</v>
      </c>
      <c r="C679" s="4" t="s">
        <v>1031</v>
      </c>
      <c r="D679" t="s">
        <v>1292</v>
      </c>
      <c r="E679" t="s">
        <v>1295</v>
      </c>
      <c r="F679" t="s">
        <v>1313</v>
      </c>
      <c r="G679" s="9">
        <v>982.4</v>
      </c>
      <c r="H679">
        <v>1370.96</v>
      </c>
      <c r="I679">
        <v>388.56</v>
      </c>
      <c r="J679">
        <v>939.09</v>
      </c>
      <c r="K679">
        <f t="shared" si="80"/>
        <v>1370.96</v>
      </c>
      <c r="L679">
        <f t="shared" si="81"/>
        <v>982.40000000000009</v>
      </c>
      <c r="M679">
        <f t="shared" si="82"/>
        <v>388.56</v>
      </c>
      <c r="N679" t="str">
        <f t="shared" si="83"/>
        <v>Fresh &amp; Fast Logistics</v>
      </c>
      <c r="O679" t="str">
        <f t="shared" si="84"/>
        <v>Groceries</v>
      </c>
      <c r="P679" t="str">
        <f t="shared" si="85"/>
        <v>Deposit</v>
      </c>
      <c r="Q679">
        <f t="shared" si="86"/>
        <v>982.4</v>
      </c>
      <c r="R679">
        <f t="shared" si="87"/>
        <v>43.309999999999945</v>
      </c>
    </row>
    <row r="680" spans="1:18" x14ac:dyDescent="0.3">
      <c r="A680" t="s">
        <v>688</v>
      </c>
      <c r="B680" t="s">
        <v>864</v>
      </c>
      <c r="C680" s="4" t="s">
        <v>1252</v>
      </c>
      <c r="D680" t="s">
        <v>1291</v>
      </c>
      <c r="E680" t="s">
        <v>1298</v>
      </c>
      <c r="F680" t="s">
        <v>1317</v>
      </c>
      <c r="G680" s="9">
        <v>632.35</v>
      </c>
      <c r="H680">
        <v>829.59</v>
      </c>
      <c r="I680">
        <v>-124.44</v>
      </c>
      <c r="J680">
        <v>612.41999999999996</v>
      </c>
      <c r="K680">
        <f t="shared" si="80"/>
        <v>829.59</v>
      </c>
      <c r="L680">
        <f t="shared" si="81"/>
        <v>954.03</v>
      </c>
      <c r="M680">
        <f t="shared" si="82"/>
        <v>-124.44</v>
      </c>
      <c r="N680" t="str">
        <f t="shared" si="83"/>
        <v>External Wire Clearance</v>
      </c>
      <c r="O680" t="str">
        <f t="shared" si="84"/>
        <v>Transfer</v>
      </c>
      <c r="P680" t="str">
        <f t="shared" si="85"/>
        <v>Withdrawal</v>
      </c>
      <c r="Q680">
        <f t="shared" si="86"/>
        <v>632.35</v>
      </c>
      <c r="R680">
        <f t="shared" si="87"/>
        <v>19.930000000000064</v>
      </c>
    </row>
    <row r="681" spans="1:18" x14ac:dyDescent="0.3">
      <c r="A681" t="s">
        <v>689</v>
      </c>
      <c r="B681" t="s">
        <v>830</v>
      </c>
      <c r="C681" s="4" t="s">
        <v>1090</v>
      </c>
      <c r="D681" t="s">
        <v>1292</v>
      </c>
      <c r="E681" t="s">
        <v>1294</v>
      </c>
      <c r="F681" t="s">
        <v>1301</v>
      </c>
      <c r="G681" s="9">
        <v>146.58000000000001</v>
      </c>
      <c r="H681">
        <v>187.72</v>
      </c>
      <c r="I681">
        <v>41.14</v>
      </c>
      <c r="J681">
        <v>146.5</v>
      </c>
      <c r="K681">
        <f t="shared" si="80"/>
        <v>187.72</v>
      </c>
      <c r="L681">
        <f t="shared" si="81"/>
        <v>146.57999999999998</v>
      </c>
      <c r="M681">
        <f t="shared" si="82"/>
        <v>41.14</v>
      </c>
      <c r="N681" t="str">
        <f t="shared" si="83"/>
        <v>Amazon Digital Supply</v>
      </c>
      <c r="O681" t="str">
        <f t="shared" si="84"/>
        <v>Online Shopping</v>
      </c>
      <c r="P681" t="str">
        <f t="shared" si="85"/>
        <v>Deposit</v>
      </c>
      <c r="Q681">
        <f t="shared" si="86"/>
        <v>146.58000000000001</v>
      </c>
      <c r="R681">
        <f t="shared" si="87"/>
        <v>8.0000000000012506E-2</v>
      </c>
    </row>
    <row r="682" spans="1:18" x14ac:dyDescent="0.3">
      <c r="A682" t="s">
        <v>690</v>
      </c>
      <c r="B682" t="s">
        <v>842</v>
      </c>
      <c r="C682" s="4" t="s">
        <v>1270</v>
      </c>
      <c r="D682" t="s">
        <v>1292</v>
      </c>
      <c r="E682" t="s">
        <v>1294</v>
      </c>
      <c r="F682" t="s">
        <v>1301</v>
      </c>
      <c r="G682" s="9">
        <v>742.23</v>
      </c>
      <c r="H682">
        <v>937.66</v>
      </c>
      <c r="I682">
        <v>195.43</v>
      </c>
      <c r="J682">
        <v>752.35</v>
      </c>
      <c r="K682">
        <f t="shared" si="80"/>
        <v>937.66</v>
      </c>
      <c r="L682">
        <f t="shared" si="81"/>
        <v>742.23</v>
      </c>
      <c r="M682">
        <f t="shared" si="82"/>
        <v>195.43</v>
      </c>
      <c r="N682" t="str">
        <f t="shared" si="83"/>
        <v>Amazon Digital Supply</v>
      </c>
      <c r="O682" t="str">
        <f t="shared" si="84"/>
        <v>Online Shopping</v>
      </c>
      <c r="P682" t="str">
        <f t="shared" si="85"/>
        <v>Deposit</v>
      </c>
      <c r="Q682">
        <f t="shared" si="86"/>
        <v>742.23</v>
      </c>
      <c r="R682">
        <f t="shared" si="87"/>
        <v>-10.120000000000005</v>
      </c>
    </row>
    <row r="683" spans="1:18" x14ac:dyDescent="0.3">
      <c r="A683" t="s">
        <v>691</v>
      </c>
      <c r="B683" t="s">
        <v>875</v>
      </c>
      <c r="C683" s="4" t="s">
        <v>1202</v>
      </c>
      <c r="D683" t="s">
        <v>1291</v>
      </c>
      <c r="E683" t="s">
        <v>1294</v>
      </c>
      <c r="F683" t="s">
        <v>1314</v>
      </c>
      <c r="G683" s="9">
        <v>101.38</v>
      </c>
      <c r="H683">
        <v>126.83</v>
      </c>
      <c r="I683">
        <v>-19.02</v>
      </c>
      <c r="J683">
        <v>92.68</v>
      </c>
      <c r="K683">
        <f t="shared" si="80"/>
        <v>126.83</v>
      </c>
      <c r="L683">
        <f t="shared" si="81"/>
        <v>145.85</v>
      </c>
      <c r="M683">
        <f t="shared" si="82"/>
        <v>-19.02</v>
      </c>
      <c r="N683" t="str">
        <f t="shared" si="83"/>
        <v>Target Direct Online</v>
      </c>
      <c r="O683" t="str">
        <f t="shared" si="84"/>
        <v>Online Shopping</v>
      </c>
      <c r="P683" t="str">
        <f t="shared" si="85"/>
        <v>Withdrawal</v>
      </c>
      <c r="Q683">
        <f t="shared" si="86"/>
        <v>101.38</v>
      </c>
      <c r="R683">
        <f t="shared" si="87"/>
        <v>8.6999999999999886</v>
      </c>
    </row>
    <row r="684" spans="1:18" x14ac:dyDescent="0.3">
      <c r="A684" t="s">
        <v>692</v>
      </c>
      <c r="B684" t="s">
        <v>829</v>
      </c>
      <c r="C684" s="4" t="s">
        <v>1271</v>
      </c>
      <c r="D684" t="s">
        <v>1291</v>
      </c>
      <c r="E684" t="s">
        <v>1294</v>
      </c>
      <c r="F684" t="s">
        <v>1315</v>
      </c>
      <c r="G684" s="9">
        <v>791.79</v>
      </c>
      <c r="H684">
        <v>1028.3</v>
      </c>
      <c r="I684">
        <v>-154.24</v>
      </c>
      <c r="J684">
        <v>722.26</v>
      </c>
      <c r="K684">
        <f t="shared" si="80"/>
        <v>1028.3</v>
      </c>
      <c r="L684">
        <f t="shared" si="81"/>
        <v>1182.54</v>
      </c>
      <c r="M684">
        <f t="shared" si="82"/>
        <v>-154.24</v>
      </c>
      <c r="N684" t="str">
        <f t="shared" si="83"/>
        <v>Ebay International</v>
      </c>
      <c r="O684" t="str">
        <f t="shared" si="84"/>
        <v>Online Shopping</v>
      </c>
      <c r="P684" t="str">
        <f t="shared" si="85"/>
        <v>Withdrawal</v>
      </c>
      <c r="Q684">
        <f t="shared" si="86"/>
        <v>791.79</v>
      </c>
      <c r="R684">
        <f t="shared" si="87"/>
        <v>69.529999999999973</v>
      </c>
    </row>
    <row r="685" spans="1:18" x14ac:dyDescent="0.3">
      <c r="A685" t="s">
        <v>693</v>
      </c>
      <c r="B685" t="s">
        <v>891</v>
      </c>
      <c r="C685" s="4" t="s">
        <v>951</v>
      </c>
      <c r="D685" t="s">
        <v>1292</v>
      </c>
      <c r="E685" t="s">
        <v>1293</v>
      </c>
      <c r="F685" t="s">
        <v>1300</v>
      </c>
      <c r="G685" s="9">
        <v>550.41</v>
      </c>
      <c r="H685">
        <v>664</v>
      </c>
      <c r="I685">
        <v>113.59</v>
      </c>
      <c r="J685">
        <v>559.41999999999996</v>
      </c>
      <c r="K685">
        <f t="shared" si="80"/>
        <v>664</v>
      </c>
      <c r="L685">
        <f t="shared" si="81"/>
        <v>550.41</v>
      </c>
      <c r="M685">
        <f t="shared" si="82"/>
        <v>113.59</v>
      </c>
      <c r="N685" t="str">
        <f t="shared" si="83"/>
        <v>State Hydro Grid</v>
      </c>
      <c r="O685" t="str">
        <f t="shared" si="84"/>
        <v>Utilities</v>
      </c>
      <c r="P685" t="str">
        <f t="shared" si="85"/>
        <v>Deposit</v>
      </c>
      <c r="Q685">
        <f t="shared" si="86"/>
        <v>550.41</v>
      </c>
      <c r="R685">
        <f t="shared" si="87"/>
        <v>-9.0099999999999909</v>
      </c>
    </row>
    <row r="686" spans="1:18" x14ac:dyDescent="0.3">
      <c r="A686" t="s">
        <v>694</v>
      </c>
      <c r="B686" t="s">
        <v>830</v>
      </c>
      <c r="C686" s="4" t="s">
        <v>981</v>
      </c>
      <c r="D686" t="s">
        <v>1291</v>
      </c>
      <c r="E686" t="s">
        <v>1297</v>
      </c>
      <c r="F686" t="s">
        <v>1305</v>
      </c>
      <c r="G686" s="9">
        <v>1101.18</v>
      </c>
      <c r="H686">
        <v>1441.18</v>
      </c>
      <c r="I686">
        <v>-216.18</v>
      </c>
      <c r="J686">
        <v>1206.1199999999999</v>
      </c>
      <c r="K686">
        <f t="shared" si="80"/>
        <v>1441.18</v>
      </c>
      <c r="L686">
        <f t="shared" si="81"/>
        <v>1657.3600000000001</v>
      </c>
      <c r="M686">
        <f t="shared" si="82"/>
        <v>-216.18</v>
      </c>
      <c r="N686" t="str">
        <f t="shared" si="83"/>
        <v>Mcdonalds Corp Express</v>
      </c>
      <c r="O686" t="str">
        <f t="shared" si="84"/>
        <v>Dining Out</v>
      </c>
      <c r="P686" t="str">
        <f t="shared" si="85"/>
        <v>Withdrawal</v>
      </c>
      <c r="Q686">
        <f t="shared" si="86"/>
        <v>1101.18</v>
      </c>
      <c r="R686">
        <f t="shared" si="87"/>
        <v>-104.93999999999983</v>
      </c>
    </row>
    <row r="687" spans="1:18" x14ac:dyDescent="0.3">
      <c r="A687" t="s">
        <v>695</v>
      </c>
      <c r="B687" t="s">
        <v>797</v>
      </c>
      <c r="C687" s="4" t="s">
        <v>1107</v>
      </c>
      <c r="D687" t="s">
        <v>1291</v>
      </c>
      <c r="E687" t="s">
        <v>1299</v>
      </c>
      <c r="F687" t="s">
        <v>1316</v>
      </c>
      <c r="G687" s="9">
        <v>797.91</v>
      </c>
      <c r="H687">
        <v>1029.44</v>
      </c>
      <c r="I687">
        <v>-154.41999999999999</v>
      </c>
      <c r="J687">
        <v>737.92</v>
      </c>
      <c r="K687">
        <f t="shared" si="80"/>
        <v>1029.44</v>
      </c>
      <c r="L687">
        <f t="shared" si="81"/>
        <v>1183.8600000000001</v>
      </c>
      <c r="M687">
        <f t="shared" si="82"/>
        <v>-154.41999999999999</v>
      </c>
      <c r="N687" t="str">
        <f t="shared" si="83"/>
        <v>Amc Cinema Network</v>
      </c>
      <c r="O687" t="str">
        <f t="shared" si="84"/>
        <v>Entertainment</v>
      </c>
      <c r="P687" t="str">
        <f t="shared" si="85"/>
        <v>Withdrawal</v>
      </c>
      <c r="Q687">
        <f t="shared" si="86"/>
        <v>797.91</v>
      </c>
      <c r="R687">
        <f t="shared" si="87"/>
        <v>59.990000000000009</v>
      </c>
    </row>
    <row r="688" spans="1:18" x14ac:dyDescent="0.3">
      <c r="A688" t="s">
        <v>696</v>
      </c>
      <c r="B688" t="s">
        <v>884</v>
      </c>
      <c r="C688" s="4" t="s">
        <v>980</v>
      </c>
      <c r="D688" t="s">
        <v>1292</v>
      </c>
      <c r="E688" t="s">
        <v>1295</v>
      </c>
      <c r="F688" t="s">
        <v>1313</v>
      </c>
      <c r="G688" s="9">
        <v>1141.99</v>
      </c>
      <c r="H688">
        <v>1505.54</v>
      </c>
      <c r="I688">
        <v>363.55</v>
      </c>
      <c r="J688">
        <v>1131.8</v>
      </c>
      <c r="K688">
        <f t="shared" si="80"/>
        <v>1505.54</v>
      </c>
      <c r="L688">
        <f t="shared" si="81"/>
        <v>1141.99</v>
      </c>
      <c r="M688">
        <f t="shared" si="82"/>
        <v>363.55</v>
      </c>
      <c r="N688" t="str">
        <f t="shared" si="83"/>
        <v>Fresh &amp; Fast Logistics</v>
      </c>
      <c r="O688" t="str">
        <f t="shared" si="84"/>
        <v>Groceries</v>
      </c>
      <c r="P688" t="str">
        <f t="shared" si="85"/>
        <v>Deposit</v>
      </c>
      <c r="Q688">
        <f t="shared" si="86"/>
        <v>1141.99</v>
      </c>
      <c r="R688">
        <f t="shared" si="87"/>
        <v>10.190000000000055</v>
      </c>
    </row>
    <row r="689" spans="1:18" x14ac:dyDescent="0.3">
      <c r="A689" t="s">
        <v>697</v>
      </c>
      <c r="B689" t="s">
        <v>893</v>
      </c>
      <c r="C689" s="4" t="s">
        <v>1154</v>
      </c>
      <c r="D689" t="s">
        <v>1292</v>
      </c>
      <c r="E689" t="s">
        <v>1297</v>
      </c>
      <c r="F689" t="s">
        <v>1305</v>
      </c>
      <c r="G689" s="9">
        <v>818.14</v>
      </c>
      <c r="H689">
        <v>1082.93</v>
      </c>
      <c r="I689">
        <v>264.79000000000002</v>
      </c>
      <c r="J689">
        <v>811.91</v>
      </c>
      <c r="K689">
        <f t="shared" si="80"/>
        <v>1082.93</v>
      </c>
      <c r="L689">
        <f t="shared" si="81"/>
        <v>818.1400000000001</v>
      </c>
      <c r="M689">
        <f t="shared" si="82"/>
        <v>264.79000000000002</v>
      </c>
      <c r="N689" t="str">
        <f t="shared" si="83"/>
        <v>Mcdonalds Corp Express</v>
      </c>
      <c r="O689" t="str">
        <f t="shared" si="84"/>
        <v>Dining Out</v>
      </c>
      <c r="P689" t="str">
        <f t="shared" si="85"/>
        <v>Deposit</v>
      </c>
      <c r="Q689">
        <f t="shared" si="86"/>
        <v>818.14</v>
      </c>
      <c r="R689">
        <f t="shared" si="87"/>
        <v>6.2300000000000182</v>
      </c>
    </row>
    <row r="690" spans="1:18" x14ac:dyDescent="0.3">
      <c r="A690" t="s">
        <v>698</v>
      </c>
      <c r="B690" t="s">
        <v>921</v>
      </c>
      <c r="C690" s="4" t="s">
        <v>1030</v>
      </c>
      <c r="D690" t="s">
        <v>1291</v>
      </c>
      <c r="E690" t="s">
        <v>1294</v>
      </c>
      <c r="F690" t="s">
        <v>1301</v>
      </c>
      <c r="G690" s="9">
        <v>604.21</v>
      </c>
      <c r="H690">
        <v>824.78</v>
      </c>
      <c r="I690">
        <v>-123.72</v>
      </c>
      <c r="J690">
        <v>650</v>
      </c>
      <c r="K690">
        <f t="shared" si="80"/>
        <v>824.78</v>
      </c>
      <c r="L690">
        <f t="shared" si="81"/>
        <v>948.5</v>
      </c>
      <c r="M690">
        <f t="shared" si="82"/>
        <v>-123.72</v>
      </c>
      <c r="N690" t="str">
        <f t="shared" si="83"/>
        <v>Amazon Digital Supply</v>
      </c>
      <c r="O690" t="str">
        <f t="shared" si="84"/>
        <v>Online Shopping</v>
      </c>
      <c r="P690" t="str">
        <f t="shared" si="85"/>
        <v>Withdrawal</v>
      </c>
      <c r="Q690">
        <f t="shared" si="86"/>
        <v>604.21</v>
      </c>
      <c r="R690">
        <f t="shared" si="87"/>
        <v>-45.789999999999964</v>
      </c>
    </row>
    <row r="691" spans="1:18" x14ac:dyDescent="0.3">
      <c r="A691" t="s">
        <v>699</v>
      </c>
      <c r="B691" t="s">
        <v>822</v>
      </c>
      <c r="C691" s="4" t="s">
        <v>1110</v>
      </c>
      <c r="D691" t="s">
        <v>1291</v>
      </c>
      <c r="E691" t="s">
        <v>1293</v>
      </c>
      <c r="F691" t="s">
        <v>1300</v>
      </c>
      <c r="G691" s="9">
        <v>345.17</v>
      </c>
      <c r="H691">
        <v>405.53</v>
      </c>
      <c r="I691">
        <v>-60.83</v>
      </c>
      <c r="J691">
        <v>399.52</v>
      </c>
      <c r="K691">
        <f t="shared" si="80"/>
        <v>405.53</v>
      </c>
      <c r="L691">
        <f t="shared" si="81"/>
        <v>466.35999999999996</v>
      </c>
      <c r="M691">
        <f t="shared" si="82"/>
        <v>-60.83</v>
      </c>
      <c r="N691" t="str">
        <f t="shared" si="83"/>
        <v>State Hydro Grid</v>
      </c>
      <c r="O691" t="str">
        <f t="shared" si="84"/>
        <v>Utilities</v>
      </c>
      <c r="P691" t="str">
        <f t="shared" si="85"/>
        <v>Withdrawal</v>
      </c>
      <c r="Q691">
        <f t="shared" si="86"/>
        <v>345.17</v>
      </c>
      <c r="R691">
        <f t="shared" si="87"/>
        <v>-54.349999999999966</v>
      </c>
    </row>
    <row r="692" spans="1:18" x14ac:dyDescent="0.3">
      <c r="A692" t="s">
        <v>700</v>
      </c>
      <c r="B692" t="s">
        <v>858</v>
      </c>
      <c r="C692" s="4" t="s">
        <v>960</v>
      </c>
      <c r="D692" t="s">
        <v>1291</v>
      </c>
      <c r="E692" t="s">
        <v>1293</v>
      </c>
      <c r="F692" t="s">
        <v>1320</v>
      </c>
      <c r="G692" s="9">
        <v>1102.79</v>
      </c>
      <c r="H692">
        <v>1338.18</v>
      </c>
      <c r="I692">
        <v>-200.73</v>
      </c>
      <c r="J692">
        <v>1057.19</v>
      </c>
      <c r="K692">
        <f t="shared" si="80"/>
        <v>1338.18</v>
      </c>
      <c r="L692">
        <f t="shared" si="81"/>
        <v>1538.91</v>
      </c>
      <c r="M692">
        <f t="shared" si="82"/>
        <v>-200.73</v>
      </c>
      <c r="N692" t="str">
        <f t="shared" si="83"/>
        <v>City Power &amp; Gas Co</v>
      </c>
      <c r="O692" t="str">
        <f t="shared" si="84"/>
        <v>Utilities</v>
      </c>
      <c r="P692" t="str">
        <f t="shared" si="85"/>
        <v>Withdrawal</v>
      </c>
      <c r="Q692">
        <f t="shared" si="86"/>
        <v>1102.79</v>
      </c>
      <c r="R692">
        <f t="shared" si="87"/>
        <v>45.599999999999909</v>
      </c>
    </row>
    <row r="693" spans="1:18" x14ac:dyDescent="0.3">
      <c r="A693" t="s">
        <v>701</v>
      </c>
      <c r="B693" t="s">
        <v>898</v>
      </c>
      <c r="C693" s="4" t="s">
        <v>1154</v>
      </c>
      <c r="D693" t="s">
        <v>1291</v>
      </c>
      <c r="E693" t="s">
        <v>1297</v>
      </c>
      <c r="F693" t="s">
        <v>1309</v>
      </c>
      <c r="H693">
        <v>136.28</v>
      </c>
      <c r="I693">
        <v>-20.440000000000001</v>
      </c>
      <c r="J693">
        <v>100.98</v>
      </c>
      <c r="K693">
        <f t="shared" si="80"/>
        <v>136.28</v>
      </c>
      <c r="L693">
        <f t="shared" si="81"/>
        <v>156.72</v>
      </c>
      <c r="M693">
        <f t="shared" si="82"/>
        <v>-20.440000000000001</v>
      </c>
      <c r="N693" t="str">
        <f t="shared" si="83"/>
        <v>Olive Garden Gourmet</v>
      </c>
      <c r="O693" t="str">
        <f t="shared" si="84"/>
        <v>Dining Out</v>
      </c>
      <c r="P693" t="str">
        <f t="shared" si="85"/>
        <v>Withdrawal</v>
      </c>
      <c r="Q693">
        <f t="shared" si="86"/>
        <v>1219.4163333333336</v>
      </c>
      <c r="R693">
        <f t="shared" si="87"/>
        <v>1118.4363333333336</v>
      </c>
    </row>
    <row r="694" spans="1:18" x14ac:dyDescent="0.3">
      <c r="A694" t="s">
        <v>702</v>
      </c>
      <c r="B694" t="s">
        <v>808</v>
      </c>
      <c r="C694" s="4" t="s">
        <v>1169</v>
      </c>
      <c r="D694" t="s">
        <v>1292</v>
      </c>
      <c r="E694" t="s">
        <v>1296</v>
      </c>
      <c r="F694" t="s">
        <v>1303</v>
      </c>
      <c r="G694" s="9">
        <v>7617.66</v>
      </c>
      <c r="H694">
        <v>10024.84</v>
      </c>
      <c r="I694">
        <v>2407.1799999999998</v>
      </c>
      <c r="J694">
        <v>6870.57</v>
      </c>
      <c r="K694">
        <f t="shared" si="80"/>
        <v>10024.84</v>
      </c>
      <c r="L694">
        <f t="shared" si="81"/>
        <v>7617.66</v>
      </c>
      <c r="M694">
        <f t="shared" si="82"/>
        <v>2407.1799999999998</v>
      </c>
      <c r="N694" t="str">
        <f t="shared" si="83"/>
        <v>Global Industries Llc</v>
      </c>
      <c r="O694" t="str">
        <f t="shared" si="84"/>
        <v>Salary</v>
      </c>
      <c r="P694" t="str">
        <f t="shared" si="85"/>
        <v>Deposit</v>
      </c>
      <c r="Q694">
        <f t="shared" si="86"/>
        <v>7617.66</v>
      </c>
      <c r="R694">
        <f t="shared" si="87"/>
        <v>747.09000000000015</v>
      </c>
    </row>
    <row r="695" spans="1:18" x14ac:dyDescent="0.3">
      <c r="A695" t="s">
        <v>703</v>
      </c>
      <c r="B695" t="s">
        <v>843</v>
      </c>
      <c r="C695" s="4" t="s">
        <v>1164</v>
      </c>
      <c r="D695" t="s">
        <v>1292</v>
      </c>
      <c r="E695" t="s">
        <v>1298</v>
      </c>
      <c r="F695" t="s">
        <v>1310</v>
      </c>
      <c r="H695">
        <v>118.25</v>
      </c>
      <c r="I695">
        <v>18.25</v>
      </c>
      <c r="J695">
        <v>106.17</v>
      </c>
      <c r="K695">
        <f t="shared" si="80"/>
        <v>118.25</v>
      </c>
      <c r="L695">
        <f t="shared" si="81"/>
        <v>100</v>
      </c>
      <c r="M695">
        <f t="shared" si="82"/>
        <v>18.25</v>
      </c>
      <c r="N695" t="str">
        <f t="shared" si="83"/>
        <v>Zelle Payment Engine</v>
      </c>
      <c r="O695" t="str">
        <f t="shared" si="84"/>
        <v>Transfer</v>
      </c>
      <c r="P695" t="str">
        <f t="shared" si="85"/>
        <v>Deposit</v>
      </c>
      <c r="Q695">
        <f t="shared" si="86"/>
        <v>1219.4163333333336</v>
      </c>
      <c r="R695">
        <f t="shared" si="87"/>
        <v>1113.2463333333335</v>
      </c>
    </row>
    <row r="696" spans="1:18" x14ac:dyDescent="0.3">
      <c r="A696" t="s">
        <v>704</v>
      </c>
      <c r="B696" t="s">
        <v>794</v>
      </c>
      <c r="C696" s="4" t="s">
        <v>1272</v>
      </c>
      <c r="D696" t="s">
        <v>1292</v>
      </c>
      <c r="E696" t="s">
        <v>1295</v>
      </c>
      <c r="F696" t="s">
        <v>1313</v>
      </c>
      <c r="G696" s="9">
        <v>268</v>
      </c>
      <c r="H696">
        <v>372.32</v>
      </c>
      <c r="I696">
        <v>104.32</v>
      </c>
      <c r="J696">
        <v>299.27</v>
      </c>
      <c r="K696">
        <f t="shared" si="80"/>
        <v>372.32</v>
      </c>
      <c r="L696">
        <f t="shared" si="81"/>
        <v>268</v>
      </c>
      <c r="M696">
        <f t="shared" si="82"/>
        <v>104.32</v>
      </c>
      <c r="N696" t="str">
        <f t="shared" si="83"/>
        <v>Fresh &amp; Fast Logistics</v>
      </c>
      <c r="O696" t="str">
        <f t="shared" si="84"/>
        <v>Groceries</v>
      </c>
      <c r="P696" t="str">
        <f t="shared" si="85"/>
        <v>Deposit</v>
      </c>
      <c r="Q696">
        <f t="shared" si="86"/>
        <v>268</v>
      </c>
      <c r="R696">
        <f t="shared" si="87"/>
        <v>-31.269999999999982</v>
      </c>
    </row>
    <row r="697" spans="1:18" x14ac:dyDescent="0.3">
      <c r="A697" t="s">
        <v>705</v>
      </c>
      <c r="B697" t="s">
        <v>906</v>
      </c>
      <c r="C697" s="4" t="s">
        <v>946</v>
      </c>
      <c r="D697" t="s">
        <v>1291</v>
      </c>
      <c r="E697" t="s">
        <v>1296</v>
      </c>
      <c r="F697" t="s">
        <v>1308</v>
      </c>
      <c r="G697" s="9">
        <v>6754.68</v>
      </c>
      <c r="H697">
        <v>8977.35</v>
      </c>
      <c r="I697">
        <v>-1346.6</v>
      </c>
      <c r="J697">
        <v>6388.2</v>
      </c>
      <c r="K697">
        <f t="shared" si="80"/>
        <v>8977.35</v>
      </c>
      <c r="L697">
        <f t="shared" si="81"/>
        <v>10323.950000000001</v>
      </c>
      <c r="M697">
        <f t="shared" si="82"/>
        <v>-1346.6</v>
      </c>
      <c r="N697" t="str">
        <f t="shared" si="83"/>
        <v>Stark Retail Labs</v>
      </c>
      <c r="O697" t="str">
        <f t="shared" si="84"/>
        <v>Salary</v>
      </c>
      <c r="P697" t="str">
        <f t="shared" si="85"/>
        <v>Withdrawal</v>
      </c>
      <c r="Q697">
        <f t="shared" si="86"/>
        <v>6754.68</v>
      </c>
      <c r="R697">
        <f t="shared" si="87"/>
        <v>366.48000000000047</v>
      </c>
    </row>
    <row r="698" spans="1:18" x14ac:dyDescent="0.3">
      <c r="A698" t="s">
        <v>706</v>
      </c>
      <c r="B698" t="s">
        <v>915</v>
      </c>
      <c r="C698" s="4" t="s">
        <v>1173</v>
      </c>
      <c r="D698" t="s">
        <v>1292</v>
      </c>
      <c r="E698" t="s">
        <v>1298</v>
      </c>
      <c r="F698" t="s">
        <v>1317</v>
      </c>
      <c r="G698" s="9">
        <v>1164.58</v>
      </c>
      <c r="H698">
        <v>1355.06</v>
      </c>
      <c r="I698">
        <v>190.48</v>
      </c>
      <c r="J698">
        <v>1332.47</v>
      </c>
      <c r="K698">
        <f t="shared" si="80"/>
        <v>1355.06</v>
      </c>
      <c r="L698">
        <f t="shared" si="81"/>
        <v>1164.58</v>
      </c>
      <c r="M698">
        <f t="shared" si="82"/>
        <v>190.48</v>
      </c>
      <c r="N698" t="str">
        <f t="shared" si="83"/>
        <v>External Wire Clearance</v>
      </c>
      <c r="O698" t="str">
        <f t="shared" si="84"/>
        <v>Transfer</v>
      </c>
      <c r="P698" t="str">
        <f t="shared" si="85"/>
        <v>Deposit</v>
      </c>
      <c r="Q698">
        <f t="shared" si="86"/>
        <v>1164.58</v>
      </c>
      <c r="R698">
        <f t="shared" si="87"/>
        <v>-167.8900000000001</v>
      </c>
    </row>
    <row r="699" spans="1:18" x14ac:dyDescent="0.3">
      <c r="A699" t="s">
        <v>707</v>
      </c>
      <c r="B699" t="s">
        <v>929</v>
      </c>
      <c r="C699" s="4" t="s">
        <v>939</v>
      </c>
      <c r="D699" t="s">
        <v>1292</v>
      </c>
      <c r="E699" t="s">
        <v>1298</v>
      </c>
      <c r="F699" t="s">
        <v>1306</v>
      </c>
      <c r="G699" s="9">
        <v>51.09</v>
      </c>
      <c r="H699">
        <v>66.86</v>
      </c>
      <c r="I699">
        <v>15.77</v>
      </c>
      <c r="J699">
        <v>55.92</v>
      </c>
      <c r="K699">
        <f t="shared" si="80"/>
        <v>66.86</v>
      </c>
      <c r="L699">
        <f t="shared" si="81"/>
        <v>51.09</v>
      </c>
      <c r="M699">
        <f t="shared" si="82"/>
        <v>15.77</v>
      </c>
      <c r="N699" t="str">
        <f t="shared" si="83"/>
        <v>Internal P2P Route</v>
      </c>
      <c r="O699" t="str">
        <f t="shared" si="84"/>
        <v>Transfer</v>
      </c>
      <c r="P699" t="str">
        <f t="shared" si="85"/>
        <v>Deposit</v>
      </c>
      <c r="Q699">
        <f t="shared" si="86"/>
        <v>51.09</v>
      </c>
      <c r="R699">
        <f t="shared" si="87"/>
        <v>-4.8299999999999983</v>
      </c>
    </row>
    <row r="700" spans="1:18" x14ac:dyDescent="0.3">
      <c r="A700" t="s">
        <v>708</v>
      </c>
      <c r="B700" t="s">
        <v>871</v>
      </c>
      <c r="C700" s="4" t="s">
        <v>1111</v>
      </c>
      <c r="D700" t="s">
        <v>1292</v>
      </c>
      <c r="E700" t="s">
        <v>1296</v>
      </c>
      <c r="F700" t="s">
        <v>1307</v>
      </c>
      <c r="G700" s="9">
        <v>4865.38</v>
      </c>
      <c r="H700">
        <v>5786.93</v>
      </c>
      <c r="I700">
        <v>921.55</v>
      </c>
      <c r="J700">
        <v>5343.95</v>
      </c>
      <c r="K700">
        <f t="shared" si="80"/>
        <v>5786.93</v>
      </c>
      <c r="L700">
        <f t="shared" si="81"/>
        <v>4865.38</v>
      </c>
      <c r="M700">
        <f t="shared" si="82"/>
        <v>921.55</v>
      </c>
      <c r="N700" t="str">
        <f t="shared" si="83"/>
        <v>Techcorp Payroll Inc</v>
      </c>
      <c r="O700" t="str">
        <f t="shared" si="84"/>
        <v>Salary</v>
      </c>
      <c r="P700" t="str">
        <f t="shared" si="85"/>
        <v>Deposit</v>
      </c>
      <c r="Q700">
        <f t="shared" si="86"/>
        <v>4865.38</v>
      </c>
      <c r="R700">
        <f t="shared" si="87"/>
        <v>-478.56999999999971</v>
      </c>
    </row>
    <row r="701" spans="1:18" x14ac:dyDescent="0.3">
      <c r="A701" t="s">
        <v>709</v>
      </c>
      <c r="B701" t="s">
        <v>850</v>
      </c>
      <c r="C701" s="4" t="s">
        <v>1231</v>
      </c>
      <c r="D701" t="s">
        <v>1292</v>
      </c>
      <c r="E701" t="s">
        <v>1294</v>
      </c>
      <c r="F701" t="s">
        <v>1301</v>
      </c>
      <c r="G701" s="9">
        <v>538.82000000000005</v>
      </c>
      <c r="H701">
        <v>666.83</v>
      </c>
      <c r="I701">
        <v>128.01</v>
      </c>
      <c r="J701">
        <v>557.80999999999995</v>
      </c>
      <c r="K701">
        <f t="shared" si="80"/>
        <v>666.83</v>
      </c>
      <c r="L701">
        <f t="shared" si="81"/>
        <v>538.82000000000005</v>
      </c>
      <c r="M701">
        <f t="shared" si="82"/>
        <v>128.01</v>
      </c>
      <c r="N701" t="str">
        <f t="shared" si="83"/>
        <v>Amazon Digital Supply</v>
      </c>
      <c r="O701" t="str">
        <f t="shared" si="84"/>
        <v>Online Shopping</v>
      </c>
      <c r="P701" t="str">
        <f t="shared" si="85"/>
        <v>Deposit</v>
      </c>
      <c r="Q701">
        <f t="shared" si="86"/>
        <v>538.82000000000005</v>
      </c>
      <c r="R701">
        <f t="shared" si="87"/>
        <v>-18.989999999999895</v>
      </c>
    </row>
    <row r="702" spans="1:18" x14ac:dyDescent="0.3">
      <c r="A702" t="s">
        <v>710</v>
      </c>
      <c r="B702" t="s">
        <v>870</v>
      </c>
      <c r="C702" s="4" t="s">
        <v>1034</v>
      </c>
      <c r="D702" t="s">
        <v>1292</v>
      </c>
      <c r="E702" t="s">
        <v>1297</v>
      </c>
      <c r="F702" t="s">
        <v>1305</v>
      </c>
      <c r="G702" s="9">
        <v>78.19</v>
      </c>
      <c r="H702">
        <v>105.63</v>
      </c>
      <c r="I702">
        <v>27.44</v>
      </c>
      <c r="J702">
        <v>87.2</v>
      </c>
      <c r="K702">
        <f t="shared" si="80"/>
        <v>105.63</v>
      </c>
      <c r="L702">
        <f t="shared" si="81"/>
        <v>78.19</v>
      </c>
      <c r="M702">
        <f t="shared" si="82"/>
        <v>27.44</v>
      </c>
      <c r="N702" t="str">
        <f t="shared" si="83"/>
        <v>Mcdonalds Corp Express</v>
      </c>
      <c r="O702" t="str">
        <f t="shared" si="84"/>
        <v>Dining Out</v>
      </c>
      <c r="P702" t="str">
        <f t="shared" si="85"/>
        <v>Deposit</v>
      </c>
      <c r="Q702">
        <f t="shared" si="86"/>
        <v>78.19</v>
      </c>
      <c r="R702">
        <f t="shared" si="87"/>
        <v>-9.0100000000000051</v>
      </c>
    </row>
    <row r="703" spans="1:18" x14ac:dyDescent="0.3">
      <c r="A703" t="s">
        <v>711</v>
      </c>
      <c r="B703" t="s">
        <v>830</v>
      </c>
      <c r="C703" s="4" t="s">
        <v>1124</v>
      </c>
      <c r="D703" t="s">
        <v>1292</v>
      </c>
      <c r="E703" t="s">
        <v>1298</v>
      </c>
      <c r="F703" t="s">
        <v>1310</v>
      </c>
      <c r="G703" s="9">
        <v>170.17</v>
      </c>
      <c r="H703">
        <v>202.07</v>
      </c>
      <c r="I703">
        <v>31.9</v>
      </c>
      <c r="J703">
        <v>202.48</v>
      </c>
      <c r="K703">
        <f t="shared" si="80"/>
        <v>202.07</v>
      </c>
      <c r="L703">
        <f t="shared" si="81"/>
        <v>170.17</v>
      </c>
      <c r="M703">
        <f t="shared" si="82"/>
        <v>31.9</v>
      </c>
      <c r="N703" t="str">
        <f t="shared" si="83"/>
        <v>Zelle Payment Engine</v>
      </c>
      <c r="O703" t="str">
        <f t="shared" si="84"/>
        <v>Transfer</v>
      </c>
      <c r="P703" t="str">
        <f t="shared" si="85"/>
        <v>Deposit</v>
      </c>
      <c r="Q703">
        <f t="shared" si="86"/>
        <v>170.17</v>
      </c>
      <c r="R703">
        <f t="shared" si="87"/>
        <v>-32.31</v>
      </c>
    </row>
    <row r="704" spans="1:18" x14ac:dyDescent="0.3">
      <c r="A704" t="s">
        <v>712</v>
      </c>
      <c r="B704" t="s">
        <v>897</v>
      </c>
      <c r="C704" s="4" t="s">
        <v>1176</v>
      </c>
      <c r="D704" t="s">
        <v>1292</v>
      </c>
      <c r="E704" t="s">
        <v>1299</v>
      </c>
      <c r="F704" t="s">
        <v>1312</v>
      </c>
      <c r="G704" s="9">
        <v>150.4</v>
      </c>
      <c r="H704">
        <v>177.27</v>
      </c>
      <c r="J704">
        <v>149.61000000000001</v>
      </c>
      <c r="K704">
        <f t="shared" si="80"/>
        <v>177.27</v>
      </c>
      <c r="L704">
        <f t="shared" si="81"/>
        <v>221.45298507462687</v>
      </c>
      <c r="M704">
        <f t="shared" si="82"/>
        <v>-44.182985074626863</v>
      </c>
      <c r="N704" t="str">
        <f t="shared" si="83"/>
        <v>Netflix Streaming Premium</v>
      </c>
      <c r="O704" t="str">
        <f t="shared" si="84"/>
        <v>Entertainment</v>
      </c>
      <c r="P704" t="str">
        <f t="shared" si="85"/>
        <v>Deposit</v>
      </c>
      <c r="Q704">
        <f t="shared" si="86"/>
        <v>150.4</v>
      </c>
      <c r="R704">
        <f t="shared" si="87"/>
        <v>0.78999999999999204</v>
      </c>
    </row>
    <row r="705" spans="1:18" x14ac:dyDescent="0.3">
      <c r="A705" t="s">
        <v>713</v>
      </c>
      <c r="B705" t="s">
        <v>911</v>
      </c>
      <c r="C705" s="4" t="s">
        <v>997</v>
      </c>
      <c r="D705" t="s">
        <v>1292</v>
      </c>
      <c r="E705" t="s">
        <v>1299</v>
      </c>
      <c r="F705" t="s">
        <v>1311</v>
      </c>
      <c r="G705" s="9">
        <v>1048.78</v>
      </c>
      <c r="H705">
        <v>1381.27</v>
      </c>
      <c r="I705">
        <v>332.49</v>
      </c>
      <c r="J705">
        <v>1227.21</v>
      </c>
      <c r="K705">
        <f t="shared" si="80"/>
        <v>1381.27</v>
      </c>
      <c r="L705">
        <f t="shared" si="81"/>
        <v>1048.78</v>
      </c>
      <c r="M705">
        <f t="shared" si="82"/>
        <v>332.49</v>
      </c>
      <c r="N705" t="str">
        <f t="shared" si="83"/>
        <v>Spotify Music Hub</v>
      </c>
      <c r="O705" t="str">
        <f t="shared" si="84"/>
        <v>Entertainment</v>
      </c>
      <c r="P705" t="str">
        <f t="shared" si="85"/>
        <v>Deposit</v>
      </c>
      <c r="Q705">
        <f t="shared" si="86"/>
        <v>1048.78</v>
      </c>
      <c r="R705">
        <f t="shared" si="87"/>
        <v>-178.43000000000006</v>
      </c>
    </row>
    <row r="706" spans="1:18" x14ac:dyDescent="0.3">
      <c r="A706" t="s">
        <v>714</v>
      </c>
      <c r="B706" t="s">
        <v>910</v>
      </c>
      <c r="C706" s="4" t="s">
        <v>1273</v>
      </c>
      <c r="D706" t="s">
        <v>1292</v>
      </c>
      <c r="E706" t="s">
        <v>1298</v>
      </c>
      <c r="F706" t="s">
        <v>1306</v>
      </c>
      <c r="G706" s="9">
        <v>517.53</v>
      </c>
      <c r="H706">
        <v>700.14</v>
      </c>
      <c r="I706">
        <v>182.61</v>
      </c>
      <c r="J706">
        <v>509.77</v>
      </c>
      <c r="K706">
        <f t="shared" si="80"/>
        <v>700.14</v>
      </c>
      <c r="L706">
        <f t="shared" si="81"/>
        <v>517.53</v>
      </c>
      <c r="M706">
        <f t="shared" si="82"/>
        <v>182.61</v>
      </c>
      <c r="N706" t="str">
        <f t="shared" si="83"/>
        <v>Internal P2P Route</v>
      </c>
      <c r="O706" t="str">
        <f t="shared" si="84"/>
        <v>Transfer</v>
      </c>
      <c r="P706" t="str">
        <f t="shared" si="85"/>
        <v>Deposit</v>
      </c>
      <c r="Q706">
        <f t="shared" si="86"/>
        <v>517.53</v>
      </c>
      <c r="R706">
        <f t="shared" si="87"/>
        <v>7.7599999999999909</v>
      </c>
    </row>
    <row r="707" spans="1:18" x14ac:dyDescent="0.3">
      <c r="A707" t="s">
        <v>715</v>
      </c>
      <c r="B707" t="s">
        <v>918</v>
      </c>
      <c r="C707" s="4" t="s">
        <v>1181</v>
      </c>
      <c r="D707" t="s">
        <v>1292</v>
      </c>
      <c r="E707" t="s">
        <v>1296</v>
      </c>
      <c r="F707" t="s">
        <v>1308</v>
      </c>
      <c r="G707" s="9">
        <v>7185.29</v>
      </c>
      <c r="H707">
        <v>9089.2199999999993</v>
      </c>
      <c r="I707">
        <v>1903.93</v>
      </c>
      <c r="J707">
        <v>8160.34</v>
      </c>
      <c r="K707">
        <f t="shared" ref="K707:K770" si="88">IF(H707,H707,AVERAGE($H$2:$H$35))</f>
        <v>9089.2199999999993</v>
      </c>
      <c r="L707">
        <f t="shared" ref="L707:L770" si="89">K707-M707</f>
        <v>7185.2899999999991</v>
      </c>
      <c r="M707">
        <f t="shared" ref="M707:M770" si="90">IF(I707,I707,AVERAGE($I$2:$I$68))</f>
        <v>1903.93</v>
      </c>
      <c r="N707" t="str">
        <f t="shared" ref="N707:N770" si="91">PROPER(F707)</f>
        <v>Stark Retail Labs</v>
      </c>
      <c r="O707" t="str">
        <f t="shared" ref="O707:O770" si="92">PROPER(E707)</f>
        <v>Salary</v>
      </c>
      <c r="P707" t="str">
        <f t="shared" ref="P707:P770" si="93">PROPER(D707)</f>
        <v>Deposit</v>
      </c>
      <c r="Q707">
        <f t="shared" ref="Q707:Q770" si="94">IF(G707,G707,AVERAGE($G$2:$G$31))</f>
        <v>7185.29</v>
      </c>
      <c r="R707">
        <f t="shared" ref="R707:R770" si="95">Q707-J707</f>
        <v>-975.05000000000018</v>
      </c>
    </row>
    <row r="708" spans="1:18" x14ac:dyDescent="0.3">
      <c r="A708" t="s">
        <v>716</v>
      </c>
      <c r="B708" t="s">
        <v>924</v>
      </c>
      <c r="C708" s="4" t="s">
        <v>987</v>
      </c>
      <c r="D708" t="s">
        <v>1291</v>
      </c>
      <c r="E708" t="s">
        <v>1296</v>
      </c>
      <c r="F708" t="s">
        <v>1303</v>
      </c>
      <c r="G708" s="9">
        <v>7387.22</v>
      </c>
      <c r="H708">
        <v>10184.200000000001</v>
      </c>
      <c r="I708">
        <v>-1527.63</v>
      </c>
      <c r="J708">
        <v>8599.67</v>
      </c>
      <c r="K708">
        <f t="shared" si="88"/>
        <v>10184.200000000001</v>
      </c>
      <c r="L708">
        <f t="shared" si="89"/>
        <v>11711.830000000002</v>
      </c>
      <c r="M708">
        <f t="shared" si="90"/>
        <v>-1527.63</v>
      </c>
      <c r="N708" t="str">
        <f t="shared" si="91"/>
        <v>Global Industries Llc</v>
      </c>
      <c r="O708" t="str">
        <f t="shared" si="92"/>
        <v>Salary</v>
      </c>
      <c r="P708" t="str">
        <f t="shared" si="93"/>
        <v>Withdrawal</v>
      </c>
      <c r="Q708">
        <f t="shared" si="94"/>
        <v>7387.22</v>
      </c>
      <c r="R708">
        <f t="shared" si="95"/>
        <v>-1212.4499999999998</v>
      </c>
    </row>
    <row r="709" spans="1:18" x14ac:dyDescent="0.3">
      <c r="A709" t="s">
        <v>717</v>
      </c>
      <c r="B709" t="s">
        <v>809</v>
      </c>
      <c r="C709" s="4" t="s">
        <v>1274</v>
      </c>
      <c r="D709" t="s">
        <v>1292</v>
      </c>
      <c r="E709" t="s">
        <v>1298</v>
      </c>
      <c r="F709" t="s">
        <v>1306</v>
      </c>
      <c r="G709" s="9">
        <v>725.97</v>
      </c>
      <c r="H709">
        <v>1002.05</v>
      </c>
      <c r="I709">
        <v>276.08</v>
      </c>
      <c r="J709">
        <v>788.63</v>
      </c>
      <c r="K709">
        <f t="shared" si="88"/>
        <v>1002.05</v>
      </c>
      <c r="L709">
        <f t="shared" si="89"/>
        <v>725.97</v>
      </c>
      <c r="M709">
        <f t="shared" si="90"/>
        <v>276.08</v>
      </c>
      <c r="N709" t="str">
        <f t="shared" si="91"/>
        <v>Internal P2P Route</v>
      </c>
      <c r="O709" t="str">
        <f t="shared" si="92"/>
        <v>Transfer</v>
      </c>
      <c r="P709" t="str">
        <f t="shared" si="93"/>
        <v>Deposit</v>
      </c>
      <c r="Q709">
        <f t="shared" si="94"/>
        <v>725.97</v>
      </c>
      <c r="R709">
        <f t="shared" si="95"/>
        <v>-62.659999999999968</v>
      </c>
    </row>
    <row r="710" spans="1:18" x14ac:dyDescent="0.3">
      <c r="A710" t="s">
        <v>718</v>
      </c>
      <c r="B710" t="s">
        <v>865</v>
      </c>
      <c r="C710" s="4" t="s">
        <v>1121</v>
      </c>
      <c r="D710" t="s">
        <v>1292</v>
      </c>
      <c r="E710" t="s">
        <v>1299</v>
      </c>
      <c r="F710" t="s">
        <v>1311</v>
      </c>
      <c r="G710" s="9">
        <v>25.5</v>
      </c>
      <c r="H710">
        <v>32.86</v>
      </c>
      <c r="I710">
        <v>7.36</v>
      </c>
      <c r="J710">
        <v>24.37</v>
      </c>
      <c r="K710">
        <f t="shared" si="88"/>
        <v>32.86</v>
      </c>
      <c r="L710">
        <f t="shared" si="89"/>
        <v>25.5</v>
      </c>
      <c r="M710">
        <f t="shared" si="90"/>
        <v>7.36</v>
      </c>
      <c r="N710" t="str">
        <f t="shared" si="91"/>
        <v>Spotify Music Hub</v>
      </c>
      <c r="O710" t="str">
        <f t="shared" si="92"/>
        <v>Entertainment</v>
      </c>
      <c r="P710" t="str">
        <f t="shared" si="93"/>
        <v>Deposit</v>
      </c>
      <c r="Q710">
        <f t="shared" si="94"/>
        <v>25.5</v>
      </c>
      <c r="R710">
        <f t="shared" si="95"/>
        <v>1.129999999999999</v>
      </c>
    </row>
    <row r="711" spans="1:18" x14ac:dyDescent="0.3">
      <c r="A711" t="s">
        <v>719</v>
      </c>
      <c r="B711" t="s">
        <v>797</v>
      </c>
      <c r="C711" s="4" t="s">
        <v>944</v>
      </c>
      <c r="D711" t="s">
        <v>1292</v>
      </c>
      <c r="E711" t="s">
        <v>1293</v>
      </c>
      <c r="F711" t="s">
        <v>1300</v>
      </c>
      <c r="G711" s="9">
        <v>475.62</v>
      </c>
      <c r="H711">
        <v>602.26</v>
      </c>
      <c r="I711">
        <v>126.64</v>
      </c>
      <c r="J711">
        <v>540.22</v>
      </c>
      <c r="K711">
        <f t="shared" si="88"/>
        <v>602.26</v>
      </c>
      <c r="L711">
        <f t="shared" si="89"/>
        <v>475.62</v>
      </c>
      <c r="M711">
        <f t="shared" si="90"/>
        <v>126.64</v>
      </c>
      <c r="N711" t="str">
        <f t="shared" si="91"/>
        <v>State Hydro Grid</v>
      </c>
      <c r="O711" t="str">
        <f t="shared" si="92"/>
        <v>Utilities</v>
      </c>
      <c r="P711" t="str">
        <f t="shared" si="93"/>
        <v>Deposit</v>
      </c>
      <c r="Q711">
        <f t="shared" si="94"/>
        <v>475.62</v>
      </c>
      <c r="R711">
        <f t="shared" si="95"/>
        <v>-64.600000000000023</v>
      </c>
    </row>
    <row r="712" spans="1:18" x14ac:dyDescent="0.3">
      <c r="A712" t="s">
        <v>720</v>
      </c>
      <c r="B712" t="s">
        <v>915</v>
      </c>
      <c r="C712" s="4" t="s">
        <v>1268</v>
      </c>
      <c r="D712" t="s">
        <v>1291</v>
      </c>
      <c r="E712" t="s">
        <v>1296</v>
      </c>
      <c r="F712" t="s">
        <v>1303</v>
      </c>
      <c r="G712" s="9">
        <v>7671.06</v>
      </c>
      <c r="H712">
        <v>9042.6200000000008</v>
      </c>
      <c r="I712">
        <v>-1356.39</v>
      </c>
      <c r="J712">
        <v>7308.85</v>
      </c>
      <c r="K712">
        <f t="shared" si="88"/>
        <v>9042.6200000000008</v>
      </c>
      <c r="L712">
        <f t="shared" si="89"/>
        <v>10399.01</v>
      </c>
      <c r="M712">
        <f t="shared" si="90"/>
        <v>-1356.39</v>
      </c>
      <c r="N712" t="str">
        <f t="shared" si="91"/>
        <v>Global Industries Llc</v>
      </c>
      <c r="O712" t="str">
        <f t="shared" si="92"/>
        <v>Salary</v>
      </c>
      <c r="P712" t="str">
        <f t="shared" si="93"/>
        <v>Withdrawal</v>
      </c>
      <c r="Q712">
        <f t="shared" si="94"/>
        <v>7671.06</v>
      </c>
      <c r="R712">
        <f t="shared" si="95"/>
        <v>362.21000000000004</v>
      </c>
    </row>
    <row r="713" spans="1:18" x14ac:dyDescent="0.3">
      <c r="A713" t="s">
        <v>721</v>
      </c>
      <c r="B713" t="s">
        <v>918</v>
      </c>
      <c r="C713" s="4" t="s">
        <v>1275</v>
      </c>
      <c r="D713" t="s">
        <v>1292</v>
      </c>
      <c r="E713" t="s">
        <v>1295</v>
      </c>
      <c r="F713" t="s">
        <v>1304</v>
      </c>
      <c r="G713" s="9">
        <v>1199.49</v>
      </c>
      <c r="H713">
        <v>1624.56</v>
      </c>
      <c r="I713">
        <v>425.07</v>
      </c>
      <c r="J713">
        <v>1338.38</v>
      </c>
      <c r="K713">
        <f t="shared" si="88"/>
        <v>1624.56</v>
      </c>
      <c r="L713">
        <f t="shared" si="89"/>
        <v>1199.49</v>
      </c>
      <c r="M713">
        <f t="shared" si="90"/>
        <v>425.07</v>
      </c>
      <c r="N713" t="str">
        <f t="shared" si="91"/>
        <v>Whole Foods Store</v>
      </c>
      <c r="O713" t="str">
        <f t="shared" si="92"/>
        <v>Groceries</v>
      </c>
      <c r="P713" t="str">
        <f t="shared" si="93"/>
        <v>Deposit</v>
      </c>
      <c r="Q713">
        <f t="shared" si="94"/>
        <v>1199.49</v>
      </c>
      <c r="R713">
        <f t="shared" si="95"/>
        <v>-138.8900000000001</v>
      </c>
    </row>
    <row r="714" spans="1:18" x14ac:dyDescent="0.3">
      <c r="A714" t="s">
        <v>722</v>
      </c>
      <c r="B714" t="s">
        <v>822</v>
      </c>
      <c r="C714" s="4" t="s">
        <v>1106</v>
      </c>
      <c r="D714" t="s">
        <v>1292</v>
      </c>
      <c r="E714" t="s">
        <v>1297</v>
      </c>
      <c r="F714" t="s">
        <v>1305</v>
      </c>
      <c r="G714" s="9">
        <v>1099.07</v>
      </c>
      <c r="H714">
        <v>1309.47</v>
      </c>
      <c r="I714">
        <v>210.4</v>
      </c>
      <c r="J714">
        <v>1200.94</v>
      </c>
      <c r="K714">
        <f t="shared" si="88"/>
        <v>1309.47</v>
      </c>
      <c r="L714">
        <f t="shared" si="89"/>
        <v>1099.07</v>
      </c>
      <c r="M714">
        <f t="shared" si="90"/>
        <v>210.4</v>
      </c>
      <c r="N714" t="str">
        <f t="shared" si="91"/>
        <v>Mcdonalds Corp Express</v>
      </c>
      <c r="O714" t="str">
        <f t="shared" si="92"/>
        <v>Dining Out</v>
      </c>
      <c r="P714" t="str">
        <f t="shared" si="93"/>
        <v>Deposit</v>
      </c>
      <c r="Q714">
        <f t="shared" si="94"/>
        <v>1099.07</v>
      </c>
      <c r="R714">
        <f t="shared" si="95"/>
        <v>-101.87000000000012</v>
      </c>
    </row>
    <row r="715" spans="1:18" x14ac:dyDescent="0.3">
      <c r="A715" t="s">
        <v>723</v>
      </c>
      <c r="B715" t="s">
        <v>929</v>
      </c>
      <c r="C715" s="4" t="s">
        <v>1171</v>
      </c>
      <c r="D715" t="s">
        <v>1292</v>
      </c>
      <c r="E715" t="s">
        <v>1298</v>
      </c>
      <c r="F715" t="s">
        <v>1310</v>
      </c>
      <c r="G715" s="9">
        <v>189.9</v>
      </c>
      <c r="H715">
        <v>241.15</v>
      </c>
      <c r="I715">
        <v>51.25</v>
      </c>
      <c r="J715">
        <v>212.14</v>
      </c>
      <c r="K715">
        <f t="shared" si="88"/>
        <v>241.15</v>
      </c>
      <c r="L715">
        <f t="shared" si="89"/>
        <v>189.9</v>
      </c>
      <c r="M715">
        <f t="shared" si="90"/>
        <v>51.25</v>
      </c>
      <c r="N715" t="str">
        <f t="shared" si="91"/>
        <v>Zelle Payment Engine</v>
      </c>
      <c r="O715" t="str">
        <f t="shared" si="92"/>
        <v>Transfer</v>
      </c>
      <c r="P715" t="str">
        <f t="shared" si="93"/>
        <v>Deposit</v>
      </c>
      <c r="Q715">
        <f t="shared" si="94"/>
        <v>189.9</v>
      </c>
      <c r="R715">
        <f t="shared" si="95"/>
        <v>-22.239999999999981</v>
      </c>
    </row>
    <row r="716" spans="1:18" x14ac:dyDescent="0.3">
      <c r="A716" t="s">
        <v>724</v>
      </c>
      <c r="B716" t="s">
        <v>885</v>
      </c>
      <c r="C716" s="4" t="s">
        <v>940</v>
      </c>
      <c r="D716" t="s">
        <v>1291</v>
      </c>
      <c r="E716" t="s">
        <v>1297</v>
      </c>
      <c r="F716" t="s">
        <v>1305</v>
      </c>
      <c r="G716" s="9">
        <v>448.59</v>
      </c>
      <c r="H716">
        <v>605.92999999999995</v>
      </c>
      <c r="I716">
        <v>-90.89</v>
      </c>
      <c r="J716">
        <v>408.69</v>
      </c>
      <c r="K716">
        <f t="shared" si="88"/>
        <v>605.92999999999995</v>
      </c>
      <c r="L716">
        <f t="shared" si="89"/>
        <v>696.81999999999994</v>
      </c>
      <c r="M716">
        <f t="shared" si="90"/>
        <v>-90.89</v>
      </c>
      <c r="N716" t="str">
        <f t="shared" si="91"/>
        <v>Mcdonalds Corp Express</v>
      </c>
      <c r="O716" t="str">
        <f t="shared" si="92"/>
        <v>Dining Out</v>
      </c>
      <c r="P716" t="str">
        <f t="shared" si="93"/>
        <v>Withdrawal</v>
      </c>
      <c r="Q716">
        <f t="shared" si="94"/>
        <v>448.59</v>
      </c>
      <c r="R716">
        <f t="shared" si="95"/>
        <v>39.899999999999977</v>
      </c>
    </row>
    <row r="717" spans="1:18" x14ac:dyDescent="0.3">
      <c r="A717" t="s">
        <v>725</v>
      </c>
      <c r="B717" t="s">
        <v>841</v>
      </c>
      <c r="C717" s="4" t="s">
        <v>1034</v>
      </c>
      <c r="D717" t="s">
        <v>1291</v>
      </c>
      <c r="E717" t="s">
        <v>1299</v>
      </c>
      <c r="F717" t="s">
        <v>1316</v>
      </c>
      <c r="G717" s="9">
        <v>1025.72</v>
      </c>
      <c r="H717">
        <v>1311.78</v>
      </c>
      <c r="I717">
        <v>-196.77</v>
      </c>
      <c r="J717">
        <v>987.23</v>
      </c>
      <c r="K717">
        <f t="shared" si="88"/>
        <v>1311.78</v>
      </c>
      <c r="L717">
        <f t="shared" si="89"/>
        <v>1508.55</v>
      </c>
      <c r="M717">
        <f t="shared" si="90"/>
        <v>-196.77</v>
      </c>
      <c r="N717" t="str">
        <f t="shared" si="91"/>
        <v>Amc Cinema Network</v>
      </c>
      <c r="O717" t="str">
        <f t="shared" si="92"/>
        <v>Entertainment</v>
      </c>
      <c r="P717" t="str">
        <f t="shared" si="93"/>
        <v>Withdrawal</v>
      </c>
      <c r="Q717">
        <f t="shared" si="94"/>
        <v>1025.72</v>
      </c>
      <c r="R717">
        <f t="shared" si="95"/>
        <v>38.490000000000009</v>
      </c>
    </row>
    <row r="718" spans="1:18" x14ac:dyDescent="0.3">
      <c r="A718" t="s">
        <v>726</v>
      </c>
      <c r="B718" t="s">
        <v>807</v>
      </c>
      <c r="C718" s="4" t="s">
        <v>1044</v>
      </c>
      <c r="D718" t="s">
        <v>1292</v>
      </c>
      <c r="E718" t="s">
        <v>1294</v>
      </c>
      <c r="F718" t="s">
        <v>1315</v>
      </c>
      <c r="G718" s="9">
        <v>89.32</v>
      </c>
      <c r="H718">
        <v>117.39</v>
      </c>
      <c r="I718">
        <v>28.07</v>
      </c>
      <c r="J718">
        <v>99.68</v>
      </c>
      <c r="K718">
        <f t="shared" si="88"/>
        <v>117.39</v>
      </c>
      <c r="L718">
        <f t="shared" si="89"/>
        <v>89.32</v>
      </c>
      <c r="M718">
        <f t="shared" si="90"/>
        <v>28.07</v>
      </c>
      <c r="N718" t="str">
        <f t="shared" si="91"/>
        <v>Ebay International</v>
      </c>
      <c r="O718" t="str">
        <f t="shared" si="92"/>
        <v>Online Shopping</v>
      </c>
      <c r="P718" t="str">
        <f t="shared" si="93"/>
        <v>Deposit</v>
      </c>
      <c r="Q718">
        <f t="shared" si="94"/>
        <v>89.32</v>
      </c>
      <c r="R718">
        <f t="shared" si="95"/>
        <v>-10.360000000000014</v>
      </c>
    </row>
    <row r="719" spans="1:18" x14ac:dyDescent="0.3">
      <c r="A719" t="s">
        <v>727</v>
      </c>
      <c r="B719" t="s">
        <v>831</v>
      </c>
      <c r="C719" s="4" t="s">
        <v>988</v>
      </c>
      <c r="D719" t="s">
        <v>1291</v>
      </c>
      <c r="E719" t="s">
        <v>1296</v>
      </c>
      <c r="F719" t="s">
        <v>1303</v>
      </c>
      <c r="G719" s="9">
        <v>8226.59</v>
      </c>
      <c r="H719">
        <v>11302.48</v>
      </c>
      <c r="I719">
        <v>-1695.37</v>
      </c>
      <c r="J719">
        <v>7732.52</v>
      </c>
      <c r="K719">
        <f t="shared" si="88"/>
        <v>11302.48</v>
      </c>
      <c r="L719">
        <f t="shared" si="89"/>
        <v>12997.849999999999</v>
      </c>
      <c r="M719">
        <f t="shared" si="90"/>
        <v>-1695.37</v>
      </c>
      <c r="N719" t="str">
        <f t="shared" si="91"/>
        <v>Global Industries Llc</v>
      </c>
      <c r="O719" t="str">
        <f t="shared" si="92"/>
        <v>Salary</v>
      </c>
      <c r="P719" t="str">
        <f t="shared" si="93"/>
        <v>Withdrawal</v>
      </c>
      <c r="Q719">
        <f t="shared" si="94"/>
        <v>8226.59</v>
      </c>
      <c r="R719">
        <f t="shared" si="95"/>
        <v>494.06999999999971</v>
      </c>
    </row>
    <row r="720" spans="1:18" x14ac:dyDescent="0.3">
      <c r="A720" t="s">
        <v>728</v>
      </c>
      <c r="B720" t="s">
        <v>898</v>
      </c>
      <c r="C720" s="4" t="s">
        <v>1220</v>
      </c>
      <c r="D720" t="s">
        <v>1292</v>
      </c>
      <c r="E720" t="s">
        <v>1299</v>
      </c>
      <c r="F720" t="s">
        <v>1311</v>
      </c>
      <c r="G720" s="9">
        <v>1045.1400000000001</v>
      </c>
      <c r="H720">
        <v>1211.7</v>
      </c>
      <c r="I720">
        <v>166.56</v>
      </c>
      <c r="J720">
        <v>993.48</v>
      </c>
      <c r="K720">
        <f t="shared" si="88"/>
        <v>1211.7</v>
      </c>
      <c r="L720">
        <f t="shared" si="89"/>
        <v>1045.1400000000001</v>
      </c>
      <c r="M720">
        <f t="shared" si="90"/>
        <v>166.56</v>
      </c>
      <c r="N720" t="str">
        <f t="shared" si="91"/>
        <v>Spotify Music Hub</v>
      </c>
      <c r="O720" t="str">
        <f t="shared" si="92"/>
        <v>Entertainment</v>
      </c>
      <c r="P720" t="str">
        <f t="shared" si="93"/>
        <v>Deposit</v>
      </c>
      <c r="Q720">
        <f t="shared" si="94"/>
        <v>1045.1400000000001</v>
      </c>
      <c r="R720">
        <f t="shared" si="95"/>
        <v>51.660000000000082</v>
      </c>
    </row>
    <row r="721" spans="1:18" x14ac:dyDescent="0.3">
      <c r="A721" t="s">
        <v>729</v>
      </c>
      <c r="B721" t="s">
        <v>908</v>
      </c>
      <c r="C721" s="4" t="s">
        <v>948</v>
      </c>
      <c r="D721" t="s">
        <v>1292</v>
      </c>
      <c r="E721" t="s">
        <v>1298</v>
      </c>
      <c r="F721" t="s">
        <v>1310</v>
      </c>
      <c r="G721" s="9">
        <v>334.54</v>
      </c>
      <c r="H721">
        <v>408.56</v>
      </c>
      <c r="I721">
        <v>74.02</v>
      </c>
      <c r="J721">
        <v>371.69</v>
      </c>
      <c r="K721">
        <f t="shared" si="88"/>
        <v>408.56</v>
      </c>
      <c r="L721">
        <f t="shared" si="89"/>
        <v>334.54</v>
      </c>
      <c r="M721">
        <f t="shared" si="90"/>
        <v>74.02</v>
      </c>
      <c r="N721" t="str">
        <f t="shared" si="91"/>
        <v>Zelle Payment Engine</v>
      </c>
      <c r="O721" t="str">
        <f t="shared" si="92"/>
        <v>Transfer</v>
      </c>
      <c r="P721" t="str">
        <f t="shared" si="93"/>
        <v>Deposit</v>
      </c>
      <c r="Q721">
        <f t="shared" si="94"/>
        <v>334.54</v>
      </c>
      <c r="R721">
        <f t="shared" si="95"/>
        <v>-37.149999999999977</v>
      </c>
    </row>
    <row r="722" spans="1:18" x14ac:dyDescent="0.3">
      <c r="A722" t="s">
        <v>730</v>
      </c>
      <c r="B722" t="s">
        <v>933</v>
      </c>
      <c r="C722" s="4" t="s">
        <v>1276</v>
      </c>
      <c r="D722" t="s">
        <v>1292</v>
      </c>
      <c r="E722" t="s">
        <v>1298</v>
      </c>
      <c r="F722" t="s">
        <v>1306</v>
      </c>
      <c r="G722" s="9">
        <v>951.65</v>
      </c>
      <c r="H722">
        <v>1130.45</v>
      </c>
      <c r="I722">
        <v>178.8</v>
      </c>
      <c r="J722">
        <v>1084.24</v>
      </c>
      <c r="K722">
        <f t="shared" si="88"/>
        <v>1130.45</v>
      </c>
      <c r="L722">
        <f t="shared" si="89"/>
        <v>951.65000000000009</v>
      </c>
      <c r="M722">
        <f t="shared" si="90"/>
        <v>178.8</v>
      </c>
      <c r="N722" t="str">
        <f t="shared" si="91"/>
        <v>Internal P2P Route</v>
      </c>
      <c r="O722" t="str">
        <f t="shared" si="92"/>
        <v>Transfer</v>
      </c>
      <c r="P722" t="str">
        <f t="shared" si="93"/>
        <v>Deposit</v>
      </c>
      <c r="Q722">
        <f t="shared" si="94"/>
        <v>951.65</v>
      </c>
      <c r="R722">
        <f t="shared" si="95"/>
        <v>-132.59000000000003</v>
      </c>
    </row>
    <row r="723" spans="1:18" x14ac:dyDescent="0.3">
      <c r="A723" t="s">
        <v>731</v>
      </c>
      <c r="B723" t="s">
        <v>840</v>
      </c>
      <c r="C723" s="4" t="s">
        <v>1261</v>
      </c>
      <c r="D723" t="s">
        <v>1291</v>
      </c>
      <c r="E723" t="s">
        <v>1298</v>
      </c>
      <c r="F723" t="s">
        <v>1306</v>
      </c>
      <c r="G723" s="9">
        <v>536.76</v>
      </c>
      <c r="H723">
        <v>651.04</v>
      </c>
      <c r="I723">
        <v>-97.66</v>
      </c>
      <c r="J723">
        <v>599.15</v>
      </c>
      <c r="K723">
        <f t="shared" si="88"/>
        <v>651.04</v>
      </c>
      <c r="L723">
        <f t="shared" si="89"/>
        <v>748.69999999999993</v>
      </c>
      <c r="M723">
        <f t="shared" si="90"/>
        <v>-97.66</v>
      </c>
      <c r="N723" t="str">
        <f t="shared" si="91"/>
        <v>Internal P2P Route</v>
      </c>
      <c r="O723" t="str">
        <f t="shared" si="92"/>
        <v>Transfer</v>
      </c>
      <c r="P723" t="str">
        <f t="shared" si="93"/>
        <v>Withdrawal</v>
      </c>
      <c r="Q723">
        <f t="shared" si="94"/>
        <v>536.76</v>
      </c>
      <c r="R723">
        <f t="shared" si="95"/>
        <v>-62.389999999999986</v>
      </c>
    </row>
    <row r="724" spans="1:18" x14ac:dyDescent="0.3">
      <c r="A724" t="s">
        <v>732</v>
      </c>
      <c r="B724" t="s">
        <v>829</v>
      </c>
      <c r="C724" s="4" t="s">
        <v>1031</v>
      </c>
      <c r="D724" t="s">
        <v>1291</v>
      </c>
      <c r="E724" t="s">
        <v>1294</v>
      </c>
      <c r="F724" t="s">
        <v>1315</v>
      </c>
      <c r="G724" s="9">
        <v>462.67</v>
      </c>
      <c r="H724">
        <v>572.04</v>
      </c>
      <c r="I724">
        <v>-85.81</v>
      </c>
      <c r="J724">
        <v>520.80999999999995</v>
      </c>
      <c r="K724">
        <f t="shared" si="88"/>
        <v>572.04</v>
      </c>
      <c r="L724">
        <f t="shared" si="89"/>
        <v>657.84999999999991</v>
      </c>
      <c r="M724">
        <f t="shared" si="90"/>
        <v>-85.81</v>
      </c>
      <c r="N724" t="str">
        <f t="shared" si="91"/>
        <v>Ebay International</v>
      </c>
      <c r="O724" t="str">
        <f t="shared" si="92"/>
        <v>Online Shopping</v>
      </c>
      <c r="P724" t="str">
        <f t="shared" si="93"/>
        <v>Withdrawal</v>
      </c>
      <c r="Q724">
        <f t="shared" si="94"/>
        <v>462.67</v>
      </c>
      <c r="R724">
        <f t="shared" si="95"/>
        <v>-58.13999999999993</v>
      </c>
    </row>
    <row r="725" spans="1:18" x14ac:dyDescent="0.3">
      <c r="A725" t="s">
        <v>733</v>
      </c>
      <c r="B725" t="s">
        <v>862</v>
      </c>
      <c r="C725" s="4" t="s">
        <v>1180</v>
      </c>
      <c r="D725" t="s">
        <v>1291</v>
      </c>
      <c r="E725" t="s">
        <v>1295</v>
      </c>
      <c r="F725" t="s">
        <v>1302</v>
      </c>
      <c r="G725" s="9">
        <v>141.55000000000001</v>
      </c>
      <c r="H725">
        <v>172.97</v>
      </c>
      <c r="I725">
        <v>-25.95</v>
      </c>
      <c r="J725">
        <v>169.22</v>
      </c>
      <c r="K725">
        <f t="shared" si="88"/>
        <v>172.97</v>
      </c>
      <c r="L725">
        <f t="shared" si="89"/>
        <v>198.92</v>
      </c>
      <c r="M725">
        <f t="shared" si="90"/>
        <v>-25.95</v>
      </c>
      <c r="N725" t="str">
        <f t="shared" si="91"/>
        <v>Supermart Marketplace</v>
      </c>
      <c r="O725" t="str">
        <f t="shared" si="92"/>
        <v>Groceries</v>
      </c>
      <c r="P725" t="str">
        <f t="shared" si="93"/>
        <v>Withdrawal</v>
      </c>
      <c r="Q725">
        <f t="shared" si="94"/>
        <v>141.55000000000001</v>
      </c>
      <c r="R725">
        <f t="shared" si="95"/>
        <v>-27.669999999999987</v>
      </c>
    </row>
    <row r="726" spans="1:18" x14ac:dyDescent="0.3">
      <c r="A726" t="s">
        <v>734</v>
      </c>
      <c r="B726" t="s">
        <v>911</v>
      </c>
      <c r="C726" s="4" t="s">
        <v>1121</v>
      </c>
      <c r="D726" t="s">
        <v>1292</v>
      </c>
      <c r="E726" t="s">
        <v>1297</v>
      </c>
      <c r="F726" t="s">
        <v>1319</v>
      </c>
      <c r="G726" s="9">
        <v>1097.01</v>
      </c>
      <c r="H726">
        <v>1396.27</v>
      </c>
      <c r="I726">
        <v>299.26</v>
      </c>
      <c r="J726">
        <v>1028.83</v>
      </c>
      <c r="K726">
        <f t="shared" si="88"/>
        <v>1396.27</v>
      </c>
      <c r="L726">
        <f t="shared" si="89"/>
        <v>1097.01</v>
      </c>
      <c r="M726">
        <f t="shared" si="90"/>
        <v>299.26</v>
      </c>
      <c r="N726" t="str">
        <f t="shared" si="91"/>
        <v>Starbucks Hub Cafe</v>
      </c>
      <c r="O726" t="str">
        <f t="shared" si="92"/>
        <v>Dining Out</v>
      </c>
      <c r="P726" t="str">
        <f t="shared" si="93"/>
        <v>Deposit</v>
      </c>
      <c r="Q726">
        <f t="shared" si="94"/>
        <v>1097.01</v>
      </c>
      <c r="R726">
        <f t="shared" si="95"/>
        <v>68.180000000000064</v>
      </c>
    </row>
    <row r="727" spans="1:18" x14ac:dyDescent="0.3">
      <c r="A727" t="s">
        <v>735</v>
      </c>
      <c r="B727" t="s">
        <v>932</v>
      </c>
      <c r="C727" s="4" t="s">
        <v>961</v>
      </c>
      <c r="D727" t="s">
        <v>1291</v>
      </c>
      <c r="E727" t="s">
        <v>1295</v>
      </c>
      <c r="F727" t="s">
        <v>1313</v>
      </c>
      <c r="G727" s="9">
        <v>221.04</v>
      </c>
      <c r="H727">
        <v>295.89999999999998</v>
      </c>
      <c r="I727">
        <v>-44.38</v>
      </c>
      <c r="J727">
        <v>253.37</v>
      </c>
      <c r="K727">
        <f t="shared" si="88"/>
        <v>295.89999999999998</v>
      </c>
      <c r="L727">
        <f t="shared" si="89"/>
        <v>340.28</v>
      </c>
      <c r="M727">
        <f t="shared" si="90"/>
        <v>-44.38</v>
      </c>
      <c r="N727" t="str">
        <f t="shared" si="91"/>
        <v>Fresh &amp; Fast Logistics</v>
      </c>
      <c r="O727" t="str">
        <f t="shared" si="92"/>
        <v>Groceries</v>
      </c>
      <c r="P727" t="str">
        <f t="shared" si="93"/>
        <v>Withdrawal</v>
      </c>
      <c r="Q727">
        <f t="shared" si="94"/>
        <v>221.04</v>
      </c>
      <c r="R727">
        <f t="shared" si="95"/>
        <v>-32.330000000000013</v>
      </c>
    </row>
    <row r="728" spans="1:18" x14ac:dyDescent="0.3">
      <c r="A728" t="s">
        <v>736</v>
      </c>
      <c r="B728" t="s">
        <v>897</v>
      </c>
      <c r="C728" s="4" t="s">
        <v>1119</v>
      </c>
      <c r="D728" t="s">
        <v>1292</v>
      </c>
      <c r="E728" t="s">
        <v>1299</v>
      </c>
      <c r="F728" t="s">
        <v>1312</v>
      </c>
      <c r="G728" s="9">
        <v>1061.3399999999999</v>
      </c>
      <c r="H728">
        <v>1335.62</v>
      </c>
      <c r="I728">
        <v>274.27999999999997</v>
      </c>
      <c r="J728">
        <v>1241.19</v>
      </c>
      <c r="K728">
        <f t="shared" si="88"/>
        <v>1335.62</v>
      </c>
      <c r="L728">
        <f t="shared" si="89"/>
        <v>1061.3399999999999</v>
      </c>
      <c r="M728">
        <f t="shared" si="90"/>
        <v>274.27999999999997</v>
      </c>
      <c r="N728" t="str">
        <f t="shared" si="91"/>
        <v>Netflix Streaming Premium</v>
      </c>
      <c r="O728" t="str">
        <f t="shared" si="92"/>
        <v>Entertainment</v>
      </c>
      <c r="P728" t="str">
        <f t="shared" si="93"/>
        <v>Deposit</v>
      </c>
      <c r="Q728">
        <f t="shared" si="94"/>
        <v>1061.3399999999999</v>
      </c>
      <c r="R728">
        <f t="shared" si="95"/>
        <v>-179.85000000000014</v>
      </c>
    </row>
    <row r="729" spans="1:18" x14ac:dyDescent="0.3">
      <c r="A729" t="s">
        <v>737</v>
      </c>
      <c r="B729" t="s">
        <v>880</v>
      </c>
      <c r="C729" s="4" t="s">
        <v>1220</v>
      </c>
      <c r="D729" t="s">
        <v>1292</v>
      </c>
      <c r="E729" t="s">
        <v>1297</v>
      </c>
      <c r="F729" t="s">
        <v>1305</v>
      </c>
      <c r="G729" s="9">
        <v>1030.05</v>
      </c>
      <c r="H729">
        <v>1251.5999999999999</v>
      </c>
      <c r="I729">
        <v>221.55</v>
      </c>
      <c r="J729">
        <v>929.81</v>
      </c>
      <c r="K729">
        <f t="shared" si="88"/>
        <v>1251.5999999999999</v>
      </c>
      <c r="L729">
        <f t="shared" si="89"/>
        <v>1030.05</v>
      </c>
      <c r="M729">
        <f t="shared" si="90"/>
        <v>221.55</v>
      </c>
      <c r="N729" t="str">
        <f t="shared" si="91"/>
        <v>Mcdonalds Corp Express</v>
      </c>
      <c r="O729" t="str">
        <f t="shared" si="92"/>
        <v>Dining Out</v>
      </c>
      <c r="P729" t="str">
        <f t="shared" si="93"/>
        <v>Deposit</v>
      </c>
      <c r="Q729">
        <f t="shared" si="94"/>
        <v>1030.05</v>
      </c>
      <c r="R729">
        <f t="shared" si="95"/>
        <v>100.24000000000001</v>
      </c>
    </row>
    <row r="730" spans="1:18" x14ac:dyDescent="0.3">
      <c r="A730" t="s">
        <v>738</v>
      </c>
      <c r="B730" t="s">
        <v>838</v>
      </c>
      <c r="C730" s="4" t="s">
        <v>1184</v>
      </c>
      <c r="D730" t="s">
        <v>1291</v>
      </c>
      <c r="E730" t="s">
        <v>1296</v>
      </c>
      <c r="F730" t="s">
        <v>1307</v>
      </c>
      <c r="G730" s="9">
        <v>7126.76</v>
      </c>
      <c r="H730">
        <v>9415.5</v>
      </c>
      <c r="I730">
        <v>-1412.33</v>
      </c>
      <c r="J730">
        <v>7462.6</v>
      </c>
      <c r="K730">
        <f t="shared" si="88"/>
        <v>9415.5</v>
      </c>
      <c r="L730">
        <f t="shared" si="89"/>
        <v>10827.83</v>
      </c>
      <c r="M730">
        <f t="shared" si="90"/>
        <v>-1412.33</v>
      </c>
      <c r="N730" t="str">
        <f t="shared" si="91"/>
        <v>Techcorp Payroll Inc</v>
      </c>
      <c r="O730" t="str">
        <f t="shared" si="92"/>
        <v>Salary</v>
      </c>
      <c r="P730" t="str">
        <f t="shared" si="93"/>
        <v>Withdrawal</v>
      </c>
      <c r="Q730">
        <f t="shared" si="94"/>
        <v>7126.76</v>
      </c>
      <c r="R730">
        <f t="shared" si="95"/>
        <v>-335.84000000000015</v>
      </c>
    </row>
    <row r="731" spans="1:18" x14ac:dyDescent="0.3">
      <c r="A731" t="s">
        <v>739</v>
      </c>
      <c r="B731" t="s">
        <v>923</v>
      </c>
      <c r="C731" s="4" t="s">
        <v>1178</v>
      </c>
      <c r="D731" t="s">
        <v>1291</v>
      </c>
      <c r="E731" t="s">
        <v>1299</v>
      </c>
      <c r="F731" t="s">
        <v>1311</v>
      </c>
      <c r="G731" s="9">
        <v>1137.4100000000001</v>
      </c>
      <c r="H731">
        <v>1412.34</v>
      </c>
      <c r="I731">
        <v>-211.85</v>
      </c>
      <c r="J731">
        <v>1249.3699999999999</v>
      </c>
      <c r="K731">
        <f t="shared" si="88"/>
        <v>1412.34</v>
      </c>
      <c r="L731">
        <f t="shared" si="89"/>
        <v>1624.1899999999998</v>
      </c>
      <c r="M731">
        <f t="shared" si="90"/>
        <v>-211.85</v>
      </c>
      <c r="N731" t="str">
        <f t="shared" si="91"/>
        <v>Spotify Music Hub</v>
      </c>
      <c r="O731" t="str">
        <f t="shared" si="92"/>
        <v>Entertainment</v>
      </c>
      <c r="P731" t="str">
        <f t="shared" si="93"/>
        <v>Withdrawal</v>
      </c>
      <c r="Q731">
        <f t="shared" si="94"/>
        <v>1137.4100000000001</v>
      </c>
      <c r="R731">
        <f t="shared" si="95"/>
        <v>-111.95999999999981</v>
      </c>
    </row>
    <row r="732" spans="1:18" x14ac:dyDescent="0.3">
      <c r="A732" t="s">
        <v>740</v>
      </c>
      <c r="B732" t="s">
        <v>825</v>
      </c>
      <c r="C732" s="4" t="s">
        <v>1277</v>
      </c>
      <c r="D732" t="s">
        <v>1291</v>
      </c>
      <c r="E732" t="s">
        <v>1296</v>
      </c>
      <c r="F732" t="s">
        <v>1307</v>
      </c>
      <c r="G732" s="9">
        <v>7993.97</v>
      </c>
      <c r="H732">
        <v>9967.5499999999993</v>
      </c>
      <c r="I732">
        <v>-1495.13</v>
      </c>
      <c r="J732">
        <v>8110.47</v>
      </c>
      <c r="K732">
        <f t="shared" si="88"/>
        <v>9967.5499999999993</v>
      </c>
      <c r="L732">
        <f t="shared" si="89"/>
        <v>11462.68</v>
      </c>
      <c r="M732">
        <f t="shared" si="90"/>
        <v>-1495.13</v>
      </c>
      <c r="N732" t="str">
        <f t="shared" si="91"/>
        <v>Techcorp Payroll Inc</v>
      </c>
      <c r="O732" t="str">
        <f t="shared" si="92"/>
        <v>Salary</v>
      </c>
      <c r="P732" t="str">
        <f t="shared" si="93"/>
        <v>Withdrawal</v>
      </c>
      <c r="Q732">
        <f t="shared" si="94"/>
        <v>7993.97</v>
      </c>
      <c r="R732">
        <f t="shared" si="95"/>
        <v>-116.5</v>
      </c>
    </row>
    <row r="733" spans="1:18" x14ac:dyDescent="0.3">
      <c r="A733" t="s">
        <v>741</v>
      </c>
      <c r="B733" t="s">
        <v>795</v>
      </c>
      <c r="C733" s="4" t="s">
        <v>951</v>
      </c>
      <c r="D733" t="s">
        <v>1291</v>
      </c>
      <c r="E733" t="s">
        <v>1297</v>
      </c>
      <c r="F733" t="s">
        <v>1305</v>
      </c>
      <c r="G733" s="9">
        <v>519.76</v>
      </c>
      <c r="I733">
        <v>-108.24</v>
      </c>
      <c r="J733">
        <v>598.35</v>
      </c>
      <c r="K733">
        <f t="shared" si="88"/>
        <v>1420.2638235294123</v>
      </c>
      <c r="L733">
        <f t="shared" si="89"/>
        <v>1528.5038235294123</v>
      </c>
      <c r="M733">
        <f t="shared" si="90"/>
        <v>-108.24</v>
      </c>
      <c r="N733" t="str">
        <f t="shared" si="91"/>
        <v>Mcdonalds Corp Express</v>
      </c>
      <c r="O733" t="str">
        <f t="shared" si="92"/>
        <v>Dining Out</v>
      </c>
      <c r="P733" t="str">
        <f t="shared" si="93"/>
        <v>Withdrawal</v>
      </c>
      <c r="Q733">
        <f t="shared" si="94"/>
        <v>519.76</v>
      </c>
      <c r="R733">
        <f t="shared" si="95"/>
        <v>-78.590000000000032</v>
      </c>
    </row>
    <row r="734" spans="1:18" x14ac:dyDescent="0.3">
      <c r="A734" t="s">
        <v>742</v>
      </c>
      <c r="B734" t="s">
        <v>914</v>
      </c>
      <c r="C734" s="4" t="s">
        <v>1278</v>
      </c>
      <c r="D734" t="s">
        <v>1292</v>
      </c>
      <c r="E734" t="s">
        <v>1298</v>
      </c>
      <c r="F734" t="s">
        <v>1306</v>
      </c>
      <c r="G734" s="9">
        <v>991.56</v>
      </c>
      <c r="H734">
        <v>1227.93</v>
      </c>
      <c r="I734">
        <v>236.37</v>
      </c>
      <c r="J734">
        <v>1119.07</v>
      </c>
      <c r="K734">
        <f t="shared" si="88"/>
        <v>1227.93</v>
      </c>
      <c r="L734">
        <f t="shared" si="89"/>
        <v>991.56000000000006</v>
      </c>
      <c r="M734">
        <f t="shared" si="90"/>
        <v>236.37</v>
      </c>
      <c r="N734" t="str">
        <f t="shared" si="91"/>
        <v>Internal P2P Route</v>
      </c>
      <c r="O734" t="str">
        <f t="shared" si="92"/>
        <v>Transfer</v>
      </c>
      <c r="P734" t="str">
        <f t="shared" si="93"/>
        <v>Deposit</v>
      </c>
      <c r="Q734">
        <f t="shared" si="94"/>
        <v>991.56</v>
      </c>
      <c r="R734">
        <f t="shared" si="95"/>
        <v>-127.50999999999999</v>
      </c>
    </row>
    <row r="735" spans="1:18" x14ac:dyDescent="0.3">
      <c r="A735" t="s">
        <v>743</v>
      </c>
      <c r="B735" t="s">
        <v>910</v>
      </c>
      <c r="C735" s="4" t="s">
        <v>1227</v>
      </c>
      <c r="D735" t="s">
        <v>1292</v>
      </c>
      <c r="E735" t="s">
        <v>1297</v>
      </c>
      <c r="F735" t="s">
        <v>1319</v>
      </c>
      <c r="G735" s="9">
        <v>521.14</v>
      </c>
      <c r="H735">
        <v>678.98</v>
      </c>
      <c r="I735">
        <v>157.84</v>
      </c>
      <c r="J735">
        <v>481.44</v>
      </c>
      <c r="K735">
        <f t="shared" si="88"/>
        <v>678.98</v>
      </c>
      <c r="L735">
        <f t="shared" si="89"/>
        <v>521.14</v>
      </c>
      <c r="M735">
        <f t="shared" si="90"/>
        <v>157.84</v>
      </c>
      <c r="N735" t="str">
        <f t="shared" si="91"/>
        <v>Starbucks Hub Cafe</v>
      </c>
      <c r="O735" t="str">
        <f t="shared" si="92"/>
        <v>Dining Out</v>
      </c>
      <c r="P735" t="str">
        <f t="shared" si="93"/>
        <v>Deposit</v>
      </c>
      <c r="Q735">
        <f t="shared" si="94"/>
        <v>521.14</v>
      </c>
      <c r="R735">
        <f t="shared" si="95"/>
        <v>39.699999999999989</v>
      </c>
    </row>
    <row r="736" spans="1:18" x14ac:dyDescent="0.3">
      <c r="A736" t="s">
        <v>744</v>
      </c>
      <c r="B736" t="s">
        <v>889</v>
      </c>
      <c r="C736" s="4" t="s">
        <v>1246</v>
      </c>
      <c r="D736" t="s">
        <v>1292</v>
      </c>
      <c r="E736" t="s">
        <v>1298</v>
      </c>
      <c r="F736" t="s">
        <v>1310</v>
      </c>
      <c r="G736" s="9">
        <v>776.18</v>
      </c>
      <c r="H736">
        <v>917.44</v>
      </c>
      <c r="I736">
        <v>141.26</v>
      </c>
      <c r="J736">
        <v>870.73</v>
      </c>
      <c r="K736">
        <f t="shared" si="88"/>
        <v>917.44</v>
      </c>
      <c r="L736">
        <f t="shared" si="89"/>
        <v>776.18000000000006</v>
      </c>
      <c r="M736">
        <f t="shared" si="90"/>
        <v>141.26</v>
      </c>
      <c r="N736" t="str">
        <f t="shared" si="91"/>
        <v>Zelle Payment Engine</v>
      </c>
      <c r="O736" t="str">
        <f t="shared" si="92"/>
        <v>Transfer</v>
      </c>
      <c r="P736" t="str">
        <f t="shared" si="93"/>
        <v>Deposit</v>
      </c>
      <c r="Q736">
        <f t="shared" si="94"/>
        <v>776.18</v>
      </c>
      <c r="R736">
        <f t="shared" si="95"/>
        <v>-94.550000000000068</v>
      </c>
    </row>
    <row r="737" spans="1:18" x14ac:dyDescent="0.3">
      <c r="A737" t="s">
        <v>745</v>
      </c>
      <c r="B737" t="s">
        <v>929</v>
      </c>
      <c r="C737" s="4" t="s">
        <v>1244</v>
      </c>
      <c r="D737" t="s">
        <v>1291</v>
      </c>
      <c r="E737" t="s">
        <v>1299</v>
      </c>
      <c r="F737" t="s">
        <v>1316</v>
      </c>
      <c r="G737" s="9">
        <v>774.06</v>
      </c>
      <c r="H737">
        <v>1065.95</v>
      </c>
      <c r="I737">
        <v>-159.88999999999999</v>
      </c>
      <c r="J737">
        <v>900.62</v>
      </c>
      <c r="K737">
        <f t="shared" si="88"/>
        <v>1065.95</v>
      </c>
      <c r="L737">
        <f t="shared" si="89"/>
        <v>1225.8400000000001</v>
      </c>
      <c r="M737">
        <f t="shared" si="90"/>
        <v>-159.88999999999999</v>
      </c>
      <c r="N737" t="str">
        <f t="shared" si="91"/>
        <v>Amc Cinema Network</v>
      </c>
      <c r="O737" t="str">
        <f t="shared" si="92"/>
        <v>Entertainment</v>
      </c>
      <c r="P737" t="str">
        <f t="shared" si="93"/>
        <v>Withdrawal</v>
      </c>
      <c r="Q737">
        <f t="shared" si="94"/>
        <v>774.06</v>
      </c>
      <c r="R737">
        <f t="shared" si="95"/>
        <v>-126.56000000000006</v>
      </c>
    </row>
    <row r="738" spans="1:18" x14ac:dyDescent="0.3">
      <c r="A738" t="s">
        <v>746</v>
      </c>
      <c r="B738" t="s">
        <v>925</v>
      </c>
      <c r="C738" s="4" t="s">
        <v>1279</v>
      </c>
      <c r="D738" t="s">
        <v>1292</v>
      </c>
      <c r="E738" t="s">
        <v>1298</v>
      </c>
      <c r="F738" t="s">
        <v>1310</v>
      </c>
      <c r="G738" s="9">
        <v>633.52</v>
      </c>
      <c r="H738">
        <v>877.35</v>
      </c>
      <c r="I738">
        <v>243.83</v>
      </c>
      <c r="J738">
        <v>658.24</v>
      </c>
      <c r="K738">
        <f t="shared" si="88"/>
        <v>877.35</v>
      </c>
      <c r="L738">
        <f t="shared" si="89"/>
        <v>633.52</v>
      </c>
      <c r="M738">
        <f t="shared" si="90"/>
        <v>243.83</v>
      </c>
      <c r="N738" t="str">
        <f t="shared" si="91"/>
        <v>Zelle Payment Engine</v>
      </c>
      <c r="O738" t="str">
        <f t="shared" si="92"/>
        <v>Transfer</v>
      </c>
      <c r="P738" t="str">
        <f t="shared" si="93"/>
        <v>Deposit</v>
      </c>
      <c r="Q738">
        <f t="shared" si="94"/>
        <v>633.52</v>
      </c>
      <c r="R738">
        <f t="shared" si="95"/>
        <v>-24.720000000000027</v>
      </c>
    </row>
    <row r="739" spans="1:18" x14ac:dyDescent="0.3">
      <c r="A739" t="s">
        <v>747</v>
      </c>
      <c r="B739" t="s">
        <v>853</v>
      </c>
      <c r="C739" s="4" t="s">
        <v>1280</v>
      </c>
      <c r="D739" t="s">
        <v>1291</v>
      </c>
      <c r="E739" t="s">
        <v>1293</v>
      </c>
      <c r="F739" t="s">
        <v>1318</v>
      </c>
      <c r="G739" s="9">
        <v>886.02</v>
      </c>
      <c r="H739">
        <v>1185.54</v>
      </c>
      <c r="I739">
        <v>-177.83</v>
      </c>
      <c r="J739">
        <v>1024.9100000000001</v>
      </c>
      <c r="K739">
        <f t="shared" si="88"/>
        <v>1185.54</v>
      </c>
      <c r="L739">
        <f t="shared" si="89"/>
        <v>1363.37</v>
      </c>
      <c r="M739">
        <f t="shared" si="90"/>
        <v>-177.83</v>
      </c>
      <c r="N739" t="str">
        <f t="shared" si="91"/>
        <v>Metropolitan Water Sewer</v>
      </c>
      <c r="O739" t="str">
        <f t="shared" si="92"/>
        <v>Utilities</v>
      </c>
      <c r="P739" t="str">
        <f t="shared" si="93"/>
        <v>Withdrawal</v>
      </c>
      <c r="Q739">
        <f t="shared" si="94"/>
        <v>886.02</v>
      </c>
      <c r="R739">
        <f t="shared" si="95"/>
        <v>-138.8900000000001</v>
      </c>
    </row>
    <row r="740" spans="1:18" x14ac:dyDescent="0.3">
      <c r="A740" t="s">
        <v>748</v>
      </c>
      <c r="B740" t="s">
        <v>872</v>
      </c>
      <c r="C740" s="4" t="s">
        <v>1281</v>
      </c>
      <c r="D740" t="s">
        <v>1291</v>
      </c>
      <c r="E740" t="s">
        <v>1293</v>
      </c>
      <c r="F740" t="s">
        <v>1320</v>
      </c>
      <c r="G740" s="9">
        <v>31.52</v>
      </c>
      <c r="H740">
        <v>36.28</v>
      </c>
      <c r="I740">
        <v>-5.44</v>
      </c>
      <c r="J740">
        <v>35.5</v>
      </c>
      <c r="K740">
        <f t="shared" si="88"/>
        <v>36.28</v>
      </c>
      <c r="L740">
        <f t="shared" si="89"/>
        <v>41.72</v>
      </c>
      <c r="M740">
        <f t="shared" si="90"/>
        <v>-5.44</v>
      </c>
      <c r="N740" t="str">
        <f t="shared" si="91"/>
        <v>City Power &amp; Gas Co</v>
      </c>
      <c r="O740" t="str">
        <f t="shared" si="92"/>
        <v>Utilities</v>
      </c>
      <c r="P740" t="str">
        <f t="shared" si="93"/>
        <v>Withdrawal</v>
      </c>
      <c r="Q740">
        <f t="shared" si="94"/>
        <v>31.52</v>
      </c>
      <c r="R740">
        <f t="shared" si="95"/>
        <v>-3.9800000000000004</v>
      </c>
    </row>
    <row r="741" spans="1:18" x14ac:dyDescent="0.3">
      <c r="A741" t="s">
        <v>749</v>
      </c>
      <c r="B741" t="s">
        <v>858</v>
      </c>
      <c r="C741" s="4" t="s">
        <v>1118</v>
      </c>
      <c r="D741" t="s">
        <v>1291</v>
      </c>
      <c r="E741" t="s">
        <v>1299</v>
      </c>
      <c r="F741" t="s">
        <v>1311</v>
      </c>
      <c r="G741" s="9">
        <v>681.84</v>
      </c>
      <c r="H741">
        <v>943.34</v>
      </c>
      <c r="I741">
        <v>-141.5</v>
      </c>
      <c r="J741">
        <v>687.67</v>
      </c>
      <c r="K741">
        <f t="shared" si="88"/>
        <v>943.34</v>
      </c>
      <c r="L741">
        <f t="shared" si="89"/>
        <v>1084.8400000000001</v>
      </c>
      <c r="M741">
        <f t="shared" si="90"/>
        <v>-141.5</v>
      </c>
      <c r="N741" t="str">
        <f t="shared" si="91"/>
        <v>Spotify Music Hub</v>
      </c>
      <c r="O741" t="str">
        <f t="shared" si="92"/>
        <v>Entertainment</v>
      </c>
      <c r="P741" t="str">
        <f t="shared" si="93"/>
        <v>Withdrawal</v>
      </c>
      <c r="Q741">
        <f t="shared" si="94"/>
        <v>681.84</v>
      </c>
      <c r="R741">
        <f t="shared" si="95"/>
        <v>-5.8299999999999272</v>
      </c>
    </row>
    <row r="742" spans="1:18" x14ac:dyDescent="0.3">
      <c r="A742" t="s">
        <v>750</v>
      </c>
      <c r="B742" t="s">
        <v>891</v>
      </c>
      <c r="C742" s="4" t="s">
        <v>1192</v>
      </c>
      <c r="D742" t="s">
        <v>1292</v>
      </c>
      <c r="E742" t="s">
        <v>1297</v>
      </c>
      <c r="F742" t="s">
        <v>1305</v>
      </c>
      <c r="G742" s="9">
        <v>772.17</v>
      </c>
      <c r="H742">
        <v>1079.7</v>
      </c>
      <c r="I742">
        <v>307.52999999999997</v>
      </c>
      <c r="J742">
        <v>918.13</v>
      </c>
      <c r="K742">
        <f t="shared" si="88"/>
        <v>1079.7</v>
      </c>
      <c r="L742">
        <f t="shared" si="89"/>
        <v>772.17000000000007</v>
      </c>
      <c r="M742">
        <f t="shared" si="90"/>
        <v>307.52999999999997</v>
      </c>
      <c r="N742" t="str">
        <f t="shared" si="91"/>
        <v>Mcdonalds Corp Express</v>
      </c>
      <c r="O742" t="str">
        <f t="shared" si="92"/>
        <v>Dining Out</v>
      </c>
      <c r="P742" t="str">
        <f t="shared" si="93"/>
        <v>Deposit</v>
      </c>
      <c r="Q742">
        <f t="shared" si="94"/>
        <v>772.17</v>
      </c>
      <c r="R742">
        <f t="shared" si="95"/>
        <v>-145.96000000000004</v>
      </c>
    </row>
    <row r="743" spans="1:18" x14ac:dyDescent="0.3">
      <c r="A743" t="s">
        <v>751</v>
      </c>
      <c r="B743" t="s">
        <v>804</v>
      </c>
      <c r="C743" s="4" t="s">
        <v>1074</v>
      </c>
      <c r="D743" t="s">
        <v>1291</v>
      </c>
      <c r="E743" t="s">
        <v>1296</v>
      </c>
      <c r="F743" t="s">
        <v>1303</v>
      </c>
      <c r="G743" s="9">
        <v>5588.41</v>
      </c>
      <c r="H743">
        <v>7807.24</v>
      </c>
      <c r="I743">
        <v>-1171.0899999999999</v>
      </c>
      <c r="J743">
        <v>5972.88</v>
      </c>
      <c r="K743">
        <f t="shared" si="88"/>
        <v>7807.24</v>
      </c>
      <c r="L743">
        <f t="shared" si="89"/>
        <v>8978.33</v>
      </c>
      <c r="M743">
        <f t="shared" si="90"/>
        <v>-1171.0899999999999</v>
      </c>
      <c r="N743" t="str">
        <f t="shared" si="91"/>
        <v>Global Industries Llc</v>
      </c>
      <c r="O743" t="str">
        <f t="shared" si="92"/>
        <v>Salary</v>
      </c>
      <c r="P743" t="str">
        <f t="shared" si="93"/>
        <v>Withdrawal</v>
      </c>
      <c r="Q743">
        <f t="shared" si="94"/>
        <v>5588.41</v>
      </c>
      <c r="R743">
        <f t="shared" si="95"/>
        <v>-384.47000000000025</v>
      </c>
    </row>
    <row r="744" spans="1:18" x14ac:dyDescent="0.3">
      <c r="A744" t="s">
        <v>752</v>
      </c>
      <c r="B744" t="s">
        <v>820</v>
      </c>
      <c r="C744" s="4" t="s">
        <v>1196</v>
      </c>
      <c r="D744" t="s">
        <v>1291</v>
      </c>
      <c r="E744" t="s">
        <v>1296</v>
      </c>
      <c r="F744" t="s">
        <v>1308</v>
      </c>
      <c r="G744" s="9">
        <v>8396.69</v>
      </c>
      <c r="H744">
        <v>9796.7800000000007</v>
      </c>
      <c r="I744">
        <v>-1469.52</v>
      </c>
      <c r="J744">
        <v>8391.9599999999991</v>
      </c>
      <c r="K744">
        <f t="shared" si="88"/>
        <v>9796.7800000000007</v>
      </c>
      <c r="L744">
        <f t="shared" si="89"/>
        <v>11266.300000000001</v>
      </c>
      <c r="M744">
        <f t="shared" si="90"/>
        <v>-1469.52</v>
      </c>
      <c r="N744" t="str">
        <f t="shared" si="91"/>
        <v>Stark Retail Labs</v>
      </c>
      <c r="O744" t="str">
        <f t="shared" si="92"/>
        <v>Salary</v>
      </c>
      <c r="P744" t="str">
        <f t="shared" si="93"/>
        <v>Withdrawal</v>
      </c>
      <c r="Q744">
        <f t="shared" si="94"/>
        <v>8396.69</v>
      </c>
      <c r="R744">
        <f t="shared" si="95"/>
        <v>4.7300000000013824</v>
      </c>
    </row>
    <row r="745" spans="1:18" x14ac:dyDescent="0.3">
      <c r="A745" t="s">
        <v>753</v>
      </c>
      <c r="B745" t="s">
        <v>900</v>
      </c>
      <c r="C745" s="4" t="s">
        <v>1056</v>
      </c>
      <c r="D745" t="s">
        <v>1292</v>
      </c>
      <c r="E745" t="s">
        <v>1296</v>
      </c>
      <c r="F745" t="s">
        <v>1308</v>
      </c>
      <c r="G745" s="9">
        <v>4752.47</v>
      </c>
      <c r="H745">
        <v>5517.98</v>
      </c>
      <c r="I745">
        <v>765.51</v>
      </c>
      <c r="J745">
        <v>4440.42</v>
      </c>
      <c r="K745">
        <f t="shared" si="88"/>
        <v>5517.98</v>
      </c>
      <c r="L745">
        <f t="shared" si="89"/>
        <v>4752.4699999999993</v>
      </c>
      <c r="M745">
        <f t="shared" si="90"/>
        <v>765.51</v>
      </c>
      <c r="N745" t="str">
        <f t="shared" si="91"/>
        <v>Stark Retail Labs</v>
      </c>
      <c r="O745" t="str">
        <f t="shared" si="92"/>
        <v>Salary</v>
      </c>
      <c r="P745" t="str">
        <f t="shared" si="93"/>
        <v>Deposit</v>
      </c>
      <c r="Q745">
        <f t="shared" si="94"/>
        <v>4752.47</v>
      </c>
      <c r="R745">
        <f t="shared" si="95"/>
        <v>312.05000000000018</v>
      </c>
    </row>
    <row r="746" spans="1:18" x14ac:dyDescent="0.3">
      <c r="A746" t="s">
        <v>754</v>
      </c>
      <c r="B746" t="s">
        <v>886</v>
      </c>
      <c r="C746" s="4" t="s">
        <v>1131</v>
      </c>
      <c r="D746" t="s">
        <v>1292</v>
      </c>
      <c r="E746" t="s">
        <v>1297</v>
      </c>
      <c r="F746" t="s">
        <v>1305</v>
      </c>
      <c r="G746" s="9">
        <v>96.12</v>
      </c>
      <c r="H746">
        <v>113.46</v>
      </c>
      <c r="I746">
        <v>17.34</v>
      </c>
      <c r="J746">
        <v>103.99</v>
      </c>
      <c r="K746">
        <f t="shared" si="88"/>
        <v>113.46</v>
      </c>
      <c r="L746">
        <f t="shared" si="89"/>
        <v>96.11999999999999</v>
      </c>
      <c r="M746">
        <f t="shared" si="90"/>
        <v>17.34</v>
      </c>
      <c r="N746" t="str">
        <f t="shared" si="91"/>
        <v>Mcdonalds Corp Express</v>
      </c>
      <c r="O746" t="str">
        <f t="shared" si="92"/>
        <v>Dining Out</v>
      </c>
      <c r="P746" t="str">
        <f t="shared" si="93"/>
        <v>Deposit</v>
      </c>
      <c r="Q746">
        <f t="shared" si="94"/>
        <v>96.12</v>
      </c>
      <c r="R746">
        <f t="shared" si="95"/>
        <v>-7.8699999999999903</v>
      </c>
    </row>
    <row r="747" spans="1:18" x14ac:dyDescent="0.3">
      <c r="A747" t="s">
        <v>755</v>
      </c>
      <c r="B747" t="s">
        <v>868</v>
      </c>
      <c r="C747" s="4" t="s">
        <v>1162</v>
      </c>
      <c r="D747" t="s">
        <v>1291</v>
      </c>
      <c r="E747" t="s">
        <v>1298</v>
      </c>
      <c r="F747" t="s">
        <v>1310</v>
      </c>
      <c r="G747" s="9">
        <v>663.02</v>
      </c>
      <c r="H747">
        <v>845.66</v>
      </c>
      <c r="I747">
        <v>-126.85</v>
      </c>
      <c r="J747">
        <v>783.65</v>
      </c>
      <c r="K747">
        <f t="shared" si="88"/>
        <v>845.66</v>
      </c>
      <c r="L747">
        <f t="shared" si="89"/>
        <v>972.51</v>
      </c>
      <c r="M747">
        <f t="shared" si="90"/>
        <v>-126.85</v>
      </c>
      <c r="N747" t="str">
        <f t="shared" si="91"/>
        <v>Zelle Payment Engine</v>
      </c>
      <c r="O747" t="str">
        <f t="shared" si="92"/>
        <v>Transfer</v>
      </c>
      <c r="P747" t="str">
        <f t="shared" si="93"/>
        <v>Withdrawal</v>
      </c>
      <c r="Q747">
        <f t="shared" si="94"/>
        <v>663.02</v>
      </c>
      <c r="R747">
        <f t="shared" si="95"/>
        <v>-120.63</v>
      </c>
    </row>
    <row r="748" spans="1:18" x14ac:dyDescent="0.3">
      <c r="A748" t="s">
        <v>756</v>
      </c>
      <c r="B748" t="s">
        <v>798</v>
      </c>
      <c r="C748" s="4" t="s">
        <v>971</v>
      </c>
      <c r="D748" t="s">
        <v>1291</v>
      </c>
      <c r="E748" t="s">
        <v>1295</v>
      </c>
      <c r="F748" t="s">
        <v>1313</v>
      </c>
      <c r="G748" s="9">
        <v>1143.03</v>
      </c>
      <c r="H748">
        <v>1584.56</v>
      </c>
      <c r="I748">
        <v>-237.68</v>
      </c>
      <c r="J748">
        <v>1058.57</v>
      </c>
      <c r="K748">
        <f t="shared" si="88"/>
        <v>1584.56</v>
      </c>
      <c r="L748">
        <f t="shared" si="89"/>
        <v>1822.24</v>
      </c>
      <c r="M748">
        <f t="shared" si="90"/>
        <v>-237.68</v>
      </c>
      <c r="N748" t="str">
        <f t="shared" si="91"/>
        <v>Fresh &amp; Fast Logistics</v>
      </c>
      <c r="O748" t="str">
        <f t="shared" si="92"/>
        <v>Groceries</v>
      </c>
      <c r="P748" t="str">
        <f t="shared" si="93"/>
        <v>Withdrawal</v>
      </c>
      <c r="Q748">
        <f t="shared" si="94"/>
        <v>1143.03</v>
      </c>
      <c r="R748">
        <f t="shared" si="95"/>
        <v>84.460000000000036</v>
      </c>
    </row>
    <row r="749" spans="1:18" x14ac:dyDescent="0.3">
      <c r="A749" t="s">
        <v>757</v>
      </c>
      <c r="B749" t="s">
        <v>816</v>
      </c>
      <c r="C749" s="4" t="s">
        <v>1282</v>
      </c>
      <c r="D749" t="s">
        <v>1292</v>
      </c>
      <c r="E749" t="s">
        <v>1295</v>
      </c>
      <c r="F749" t="s">
        <v>1304</v>
      </c>
      <c r="G749" s="9">
        <v>701.64</v>
      </c>
      <c r="H749">
        <v>861.69</v>
      </c>
      <c r="I749">
        <v>160.05000000000001</v>
      </c>
      <c r="J749">
        <v>640.21</v>
      </c>
      <c r="K749">
        <f t="shared" si="88"/>
        <v>861.69</v>
      </c>
      <c r="L749">
        <f t="shared" si="89"/>
        <v>701.6400000000001</v>
      </c>
      <c r="M749">
        <f t="shared" si="90"/>
        <v>160.05000000000001</v>
      </c>
      <c r="N749" t="str">
        <f t="shared" si="91"/>
        <v>Whole Foods Store</v>
      </c>
      <c r="O749" t="str">
        <f t="shared" si="92"/>
        <v>Groceries</v>
      </c>
      <c r="P749" t="str">
        <f t="shared" si="93"/>
        <v>Deposit</v>
      </c>
      <c r="Q749">
        <f t="shared" si="94"/>
        <v>701.64</v>
      </c>
      <c r="R749">
        <f t="shared" si="95"/>
        <v>61.42999999999995</v>
      </c>
    </row>
    <row r="750" spans="1:18" x14ac:dyDescent="0.3">
      <c r="A750" t="s">
        <v>758</v>
      </c>
      <c r="B750" t="s">
        <v>928</v>
      </c>
      <c r="C750" s="4" t="s">
        <v>991</v>
      </c>
      <c r="D750" t="s">
        <v>1291</v>
      </c>
      <c r="E750" t="s">
        <v>1296</v>
      </c>
      <c r="F750" t="s">
        <v>1303</v>
      </c>
      <c r="G750" s="9">
        <v>8738.9699999999993</v>
      </c>
      <c r="H750">
        <v>10411.280000000001</v>
      </c>
      <c r="I750">
        <v>-1561.69</v>
      </c>
      <c r="J750">
        <v>8454.6</v>
      </c>
      <c r="K750">
        <f t="shared" si="88"/>
        <v>10411.280000000001</v>
      </c>
      <c r="L750">
        <f t="shared" si="89"/>
        <v>11972.970000000001</v>
      </c>
      <c r="M750">
        <f t="shared" si="90"/>
        <v>-1561.69</v>
      </c>
      <c r="N750" t="str">
        <f t="shared" si="91"/>
        <v>Global Industries Llc</v>
      </c>
      <c r="O750" t="str">
        <f t="shared" si="92"/>
        <v>Salary</v>
      </c>
      <c r="P750" t="str">
        <f t="shared" si="93"/>
        <v>Withdrawal</v>
      </c>
      <c r="Q750">
        <f t="shared" si="94"/>
        <v>8738.9699999999993</v>
      </c>
      <c r="R750">
        <f t="shared" si="95"/>
        <v>284.36999999999898</v>
      </c>
    </row>
    <row r="751" spans="1:18" x14ac:dyDescent="0.3">
      <c r="A751" t="s">
        <v>759</v>
      </c>
      <c r="B751" t="s">
        <v>893</v>
      </c>
      <c r="C751" s="4" t="s">
        <v>1004</v>
      </c>
      <c r="D751" t="s">
        <v>1291</v>
      </c>
      <c r="E751" t="s">
        <v>1299</v>
      </c>
      <c r="F751" t="s">
        <v>1316</v>
      </c>
      <c r="G751" s="9">
        <v>287.63</v>
      </c>
      <c r="H751">
        <v>356.68</v>
      </c>
      <c r="I751">
        <v>-53.5</v>
      </c>
      <c r="J751">
        <v>332.27</v>
      </c>
      <c r="K751">
        <f t="shared" si="88"/>
        <v>356.68</v>
      </c>
      <c r="L751">
        <f t="shared" si="89"/>
        <v>410.18</v>
      </c>
      <c r="M751">
        <f t="shared" si="90"/>
        <v>-53.5</v>
      </c>
      <c r="N751" t="str">
        <f t="shared" si="91"/>
        <v>Amc Cinema Network</v>
      </c>
      <c r="O751" t="str">
        <f t="shared" si="92"/>
        <v>Entertainment</v>
      </c>
      <c r="P751" t="str">
        <f t="shared" si="93"/>
        <v>Withdrawal</v>
      </c>
      <c r="Q751">
        <f t="shared" si="94"/>
        <v>287.63</v>
      </c>
      <c r="R751">
        <f t="shared" si="95"/>
        <v>-44.639999999999986</v>
      </c>
    </row>
    <row r="752" spans="1:18" x14ac:dyDescent="0.3">
      <c r="A752" t="s">
        <v>760</v>
      </c>
      <c r="B752" t="s">
        <v>803</v>
      </c>
      <c r="C752" s="4" t="s">
        <v>1283</v>
      </c>
      <c r="D752" t="s">
        <v>1292</v>
      </c>
      <c r="E752" t="s">
        <v>1293</v>
      </c>
      <c r="F752" t="s">
        <v>1300</v>
      </c>
      <c r="G752" s="9">
        <v>247.3</v>
      </c>
      <c r="H752">
        <v>343.5</v>
      </c>
      <c r="I752">
        <v>96.2</v>
      </c>
      <c r="J752">
        <v>257.77999999999997</v>
      </c>
      <c r="K752">
        <f t="shared" si="88"/>
        <v>343.5</v>
      </c>
      <c r="L752">
        <f t="shared" si="89"/>
        <v>247.3</v>
      </c>
      <c r="M752">
        <f t="shared" si="90"/>
        <v>96.2</v>
      </c>
      <c r="N752" t="str">
        <f t="shared" si="91"/>
        <v>State Hydro Grid</v>
      </c>
      <c r="O752" t="str">
        <f t="shared" si="92"/>
        <v>Utilities</v>
      </c>
      <c r="P752" t="str">
        <f t="shared" si="93"/>
        <v>Deposit</v>
      </c>
      <c r="Q752">
        <f t="shared" si="94"/>
        <v>247.3</v>
      </c>
      <c r="R752">
        <f t="shared" si="95"/>
        <v>-10.479999999999961</v>
      </c>
    </row>
    <row r="753" spans="1:18" x14ac:dyDescent="0.3">
      <c r="A753" t="s">
        <v>761</v>
      </c>
      <c r="B753" t="s">
        <v>813</v>
      </c>
      <c r="C753" s="4" t="s">
        <v>1284</v>
      </c>
      <c r="D753" t="s">
        <v>1291</v>
      </c>
      <c r="E753" t="s">
        <v>1299</v>
      </c>
      <c r="F753" t="s">
        <v>1316</v>
      </c>
      <c r="G753" s="9">
        <v>122.71</v>
      </c>
      <c r="H753">
        <v>161.27000000000001</v>
      </c>
      <c r="I753">
        <v>-24.19</v>
      </c>
      <c r="J753">
        <v>128.69999999999999</v>
      </c>
      <c r="K753">
        <f t="shared" si="88"/>
        <v>161.27000000000001</v>
      </c>
      <c r="L753">
        <f t="shared" si="89"/>
        <v>185.46</v>
      </c>
      <c r="M753">
        <f t="shared" si="90"/>
        <v>-24.19</v>
      </c>
      <c r="N753" t="str">
        <f t="shared" si="91"/>
        <v>Amc Cinema Network</v>
      </c>
      <c r="O753" t="str">
        <f t="shared" si="92"/>
        <v>Entertainment</v>
      </c>
      <c r="P753" t="str">
        <f t="shared" si="93"/>
        <v>Withdrawal</v>
      </c>
      <c r="Q753">
        <f t="shared" si="94"/>
        <v>122.71</v>
      </c>
      <c r="R753">
        <f t="shared" si="95"/>
        <v>-5.9899999999999949</v>
      </c>
    </row>
    <row r="754" spans="1:18" x14ac:dyDescent="0.3">
      <c r="A754" t="s">
        <v>762</v>
      </c>
      <c r="B754" t="s">
        <v>915</v>
      </c>
      <c r="C754" s="4" t="s">
        <v>1118</v>
      </c>
      <c r="D754" t="s">
        <v>1292</v>
      </c>
      <c r="E754" t="s">
        <v>1298</v>
      </c>
      <c r="F754" t="s">
        <v>1306</v>
      </c>
      <c r="G754" s="9">
        <v>437.27</v>
      </c>
      <c r="H754">
        <v>596.45000000000005</v>
      </c>
      <c r="I754">
        <v>159.18</v>
      </c>
      <c r="J754">
        <v>485.61</v>
      </c>
      <c r="K754">
        <f t="shared" si="88"/>
        <v>596.45000000000005</v>
      </c>
      <c r="L754">
        <f t="shared" si="89"/>
        <v>437.27000000000004</v>
      </c>
      <c r="M754">
        <f t="shared" si="90"/>
        <v>159.18</v>
      </c>
      <c r="N754" t="str">
        <f t="shared" si="91"/>
        <v>Internal P2P Route</v>
      </c>
      <c r="O754" t="str">
        <f t="shared" si="92"/>
        <v>Transfer</v>
      </c>
      <c r="P754" t="str">
        <f t="shared" si="93"/>
        <v>Deposit</v>
      </c>
      <c r="Q754">
        <f t="shared" si="94"/>
        <v>437.27</v>
      </c>
      <c r="R754">
        <f t="shared" si="95"/>
        <v>-48.340000000000032</v>
      </c>
    </row>
    <row r="755" spans="1:18" x14ac:dyDescent="0.3">
      <c r="A755" t="s">
        <v>763</v>
      </c>
      <c r="B755" t="s">
        <v>829</v>
      </c>
      <c r="C755" s="4" t="s">
        <v>939</v>
      </c>
      <c r="D755" t="s">
        <v>1291</v>
      </c>
      <c r="E755" t="s">
        <v>1294</v>
      </c>
      <c r="F755" t="s">
        <v>1314</v>
      </c>
      <c r="G755" s="9">
        <v>275.64</v>
      </c>
      <c r="H755">
        <v>363.16</v>
      </c>
      <c r="I755">
        <v>-54.47</v>
      </c>
      <c r="J755">
        <v>323.47000000000003</v>
      </c>
      <c r="K755">
        <f t="shared" si="88"/>
        <v>363.16</v>
      </c>
      <c r="L755">
        <f t="shared" si="89"/>
        <v>417.63</v>
      </c>
      <c r="M755">
        <f t="shared" si="90"/>
        <v>-54.47</v>
      </c>
      <c r="N755" t="str">
        <f t="shared" si="91"/>
        <v>Target Direct Online</v>
      </c>
      <c r="O755" t="str">
        <f t="shared" si="92"/>
        <v>Online Shopping</v>
      </c>
      <c r="P755" t="str">
        <f t="shared" si="93"/>
        <v>Withdrawal</v>
      </c>
      <c r="Q755">
        <f t="shared" si="94"/>
        <v>275.64</v>
      </c>
      <c r="R755">
        <f t="shared" si="95"/>
        <v>-47.830000000000041</v>
      </c>
    </row>
    <row r="756" spans="1:18" x14ac:dyDescent="0.3">
      <c r="A756" t="s">
        <v>764</v>
      </c>
      <c r="B756" t="s">
        <v>819</v>
      </c>
      <c r="C756" s="4" t="s">
        <v>1285</v>
      </c>
      <c r="D756" t="s">
        <v>1292</v>
      </c>
      <c r="E756" t="s">
        <v>1294</v>
      </c>
      <c r="F756" t="s">
        <v>1315</v>
      </c>
      <c r="G756" s="9">
        <v>310.83</v>
      </c>
      <c r="H756">
        <v>401.51</v>
      </c>
      <c r="I756">
        <v>90.68</v>
      </c>
      <c r="J756">
        <v>285.01</v>
      </c>
      <c r="K756">
        <f t="shared" si="88"/>
        <v>401.51</v>
      </c>
      <c r="L756">
        <f t="shared" si="89"/>
        <v>310.83</v>
      </c>
      <c r="M756">
        <f t="shared" si="90"/>
        <v>90.68</v>
      </c>
      <c r="N756" t="str">
        <f t="shared" si="91"/>
        <v>Ebay International</v>
      </c>
      <c r="O756" t="str">
        <f t="shared" si="92"/>
        <v>Online Shopping</v>
      </c>
      <c r="P756" t="str">
        <f t="shared" si="93"/>
        <v>Deposit</v>
      </c>
      <c r="Q756">
        <f t="shared" si="94"/>
        <v>310.83</v>
      </c>
      <c r="R756">
        <f t="shared" si="95"/>
        <v>25.819999999999993</v>
      </c>
    </row>
    <row r="757" spans="1:18" x14ac:dyDescent="0.3">
      <c r="A757" t="s">
        <v>765</v>
      </c>
      <c r="B757" t="s">
        <v>900</v>
      </c>
      <c r="C757" s="4" t="s">
        <v>1147</v>
      </c>
      <c r="D757" t="s">
        <v>1291</v>
      </c>
      <c r="E757" t="s">
        <v>1294</v>
      </c>
      <c r="F757" t="s">
        <v>1315</v>
      </c>
      <c r="G757" s="9">
        <v>720.85</v>
      </c>
      <c r="H757">
        <v>913.83</v>
      </c>
      <c r="I757">
        <v>-137.07</v>
      </c>
      <c r="J757">
        <v>846.48</v>
      </c>
      <c r="K757">
        <f t="shared" si="88"/>
        <v>913.83</v>
      </c>
      <c r="L757">
        <f t="shared" si="89"/>
        <v>1050.9000000000001</v>
      </c>
      <c r="M757">
        <f t="shared" si="90"/>
        <v>-137.07</v>
      </c>
      <c r="N757" t="str">
        <f t="shared" si="91"/>
        <v>Ebay International</v>
      </c>
      <c r="O757" t="str">
        <f t="shared" si="92"/>
        <v>Online Shopping</v>
      </c>
      <c r="P757" t="str">
        <f t="shared" si="93"/>
        <v>Withdrawal</v>
      </c>
      <c r="Q757">
        <f t="shared" si="94"/>
        <v>720.85</v>
      </c>
      <c r="R757">
        <f t="shared" si="95"/>
        <v>-125.63</v>
      </c>
    </row>
    <row r="758" spans="1:18" x14ac:dyDescent="0.3">
      <c r="A758" t="s">
        <v>766</v>
      </c>
      <c r="B758" t="s">
        <v>892</v>
      </c>
      <c r="C758" s="4" t="s">
        <v>976</v>
      </c>
      <c r="D758" t="s">
        <v>1292</v>
      </c>
      <c r="E758" t="s">
        <v>1297</v>
      </c>
      <c r="F758" t="s">
        <v>1305</v>
      </c>
      <c r="G758" s="9">
        <v>1096.77</v>
      </c>
      <c r="H758">
        <v>1429.62</v>
      </c>
      <c r="I758">
        <v>332.85</v>
      </c>
      <c r="J758">
        <v>1227.56</v>
      </c>
      <c r="K758">
        <f t="shared" si="88"/>
        <v>1429.62</v>
      </c>
      <c r="L758">
        <f t="shared" si="89"/>
        <v>1096.77</v>
      </c>
      <c r="M758">
        <f t="shared" si="90"/>
        <v>332.85</v>
      </c>
      <c r="N758" t="str">
        <f t="shared" si="91"/>
        <v>Mcdonalds Corp Express</v>
      </c>
      <c r="O758" t="str">
        <f t="shared" si="92"/>
        <v>Dining Out</v>
      </c>
      <c r="P758" t="str">
        <f t="shared" si="93"/>
        <v>Deposit</v>
      </c>
      <c r="Q758">
        <f t="shared" si="94"/>
        <v>1096.77</v>
      </c>
      <c r="R758">
        <f t="shared" si="95"/>
        <v>-130.78999999999996</v>
      </c>
    </row>
    <row r="759" spans="1:18" x14ac:dyDescent="0.3">
      <c r="A759" t="s">
        <v>767</v>
      </c>
      <c r="B759" t="s">
        <v>815</v>
      </c>
      <c r="C759" s="4" t="s">
        <v>1227</v>
      </c>
      <c r="D759" t="s">
        <v>1292</v>
      </c>
      <c r="E759" t="s">
        <v>1296</v>
      </c>
      <c r="F759" t="s">
        <v>1303</v>
      </c>
      <c r="G759" s="9">
        <v>4772.3</v>
      </c>
      <c r="H759">
        <v>5793.07</v>
      </c>
      <c r="I759">
        <v>1020.77</v>
      </c>
      <c r="J759">
        <v>4887.54</v>
      </c>
      <c r="K759">
        <f t="shared" si="88"/>
        <v>5793.07</v>
      </c>
      <c r="L759">
        <f t="shared" si="89"/>
        <v>4772.2999999999993</v>
      </c>
      <c r="M759">
        <f t="shared" si="90"/>
        <v>1020.77</v>
      </c>
      <c r="N759" t="str">
        <f t="shared" si="91"/>
        <v>Global Industries Llc</v>
      </c>
      <c r="O759" t="str">
        <f t="shared" si="92"/>
        <v>Salary</v>
      </c>
      <c r="P759" t="str">
        <f t="shared" si="93"/>
        <v>Deposit</v>
      </c>
      <c r="Q759">
        <f t="shared" si="94"/>
        <v>4772.3</v>
      </c>
      <c r="R759">
        <f t="shared" si="95"/>
        <v>-115.23999999999978</v>
      </c>
    </row>
    <row r="760" spans="1:18" x14ac:dyDescent="0.3">
      <c r="A760" t="s">
        <v>768</v>
      </c>
      <c r="B760" t="s">
        <v>867</v>
      </c>
      <c r="C760" s="4" t="s">
        <v>1276</v>
      </c>
      <c r="D760" t="s">
        <v>1291</v>
      </c>
      <c r="E760" t="s">
        <v>1296</v>
      </c>
      <c r="F760" t="s">
        <v>1303</v>
      </c>
      <c r="G760" s="9">
        <v>9078.89</v>
      </c>
      <c r="H760">
        <v>11209.19</v>
      </c>
      <c r="I760">
        <v>-1681.38</v>
      </c>
      <c r="J760">
        <v>8402.44</v>
      </c>
      <c r="K760">
        <f t="shared" si="88"/>
        <v>11209.19</v>
      </c>
      <c r="L760">
        <f t="shared" si="89"/>
        <v>12890.57</v>
      </c>
      <c r="M760">
        <f t="shared" si="90"/>
        <v>-1681.38</v>
      </c>
      <c r="N760" t="str">
        <f t="shared" si="91"/>
        <v>Global Industries Llc</v>
      </c>
      <c r="O760" t="str">
        <f t="shared" si="92"/>
        <v>Salary</v>
      </c>
      <c r="P760" t="str">
        <f t="shared" si="93"/>
        <v>Withdrawal</v>
      </c>
      <c r="Q760">
        <f t="shared" si="94"/>
        <v>9078.89</v>
      </c>
      <c r="R760">
        <f t="shared" si="95"/>
        <v>676.44999999999891</v>
      </c>
    </row>
    <row r="761" spans="1:18" x14ac:dyDescent="0.3">
      <c r="A761" t="s">
        <v>769</v>
      </c>
      <c r="B761" t="s">
        <v>931</v>
      </c>
      <c r="C761" s="4" t="s">
        <v>1131</v>
      </c>
      <c r="D761" t="s">
        <v>1292</v>
      </c>
      <c r="E761" t="s">
        <v>1296</v>
      </c>
      <c r="F761" t="s">
        <v>1303</v>
      </c>
      <c r="G761" s="9">
        <v>7465.09</v>
      </c>
      <c r="H761">
        <v>9416.61</v>
      </c>
      <c r="I761">
        <v>1951.52</v>
      </c>
      <c r="J761">
        <v>7655.35</v>
      </c>
      <c r="K761">
        <f t="shared" si="88"/>
        <v>9416.61</v>
      </c>
      <c r="L761">
        <f t="shared" si="89"/>
        <v>7465.09</v>
      </c>
      <c r="M761">
        <f t="shared" si="90"/>
        <v>1951.52</v>
      </c>
      <c r="N761" t="str">
        <f t="shared" si="91"/>
        <v>Global Industries Llc</v>
      </c>
      <c r="O761" t="str">
        <f t="shared" si="92"/>
        <v>Salary</v>
      </c>
      <c r="P761" t="str">
        <f t="shared" si="93"/>
        <v>Deposit</v>
      </c>
      <c r="Q761">
        <f t="shared" si="94"/>
        <v>7465.09</v>
      </c>
      <c r="R761">
        <f t="shared" si="95"/>
        <v>-190.26000000000022</v>
      </c>
    </row>
    <row r="762" spans="1:18" x14ac:dyDescent="0.3">
      <c r="A762" t="s">
        <v>770</v>
      </c>
      <c r="B762" t="s">
        <v>820</v>
      </c>
      <c r="C762" s="4" t="s">
        <v>1211</v>
      </c>
      <c r="D762" t="s">
        <v>1291</v>
      </c>
      <c r="E762" t="s">
        <v>1296</v>
      </c>
      <c r="F762" t="s">
        <v>1308</v>
      </c>
      <c r="G762" s="9">
        <v>9108.4699999999993</v>
      </c>
      <c r="H762">
        <v>12233.73</v>
      </c>
      <c r="I762">
        <v>-1835.06</v>
      </c>
      <c r="J762">
        <v>9051.41</v>
      </c>
      <c r="K762">
        <f t="shared" si="88"/>
        <v>12233.73</v>
      </c>
      <c r="L762">
        <f t="shared" si="89"/>
        <v>14068.789999999999</v>
      </c>
      <c r="M762">
        <f t="shared" si="90"/>
        <v>-1835.06</v>
      </c>
      <c r="N762" t="str">
        <f t="shared" si="91"/>
        <v>Stark Retail Labs</v>
      </c>
      <c r="O762" t="str">
        <f t="shared" si="92"/>
        <v>Salary</v>
      </c>
      <c r="P762" t="str">
        <f t="shared" si="93"/>
        <v>Withdrawal</v>
      </c>
      <c r="Q762">
        <f t="shared" si="94"/>
        <v>9108.4699999999993</v>
      </c>
      <c r="R762">
        <f t="shared" si="95"/>
        <v>57.059999999999491</v>
      </c>
    </row>
    <row r="763" spans="1:18" x14ac:dyDescent="0.3">
      <c r="A763" t="s">
        <v>771</v>
      </c>
      <c r="B763" t="s">
        <v>893</v>
      </c>
      <c r="C763" s="4" t="s">
        <v>984</v>
      </c>
      <c r="D763" t="s">
        <v>1292</v>
      </c>
      <c r="E763" t="s">
        <v>1298</v>
      </c>
      <c r="F763" t="s">
        <v>1306</v>
      </c>
      <c r="G763" s="9">
        <v>532.88</v>
      </c>
      <c r="H763">
        <v>674.88</v>
      </c>
      <c r="J763">
        <v>545.34</v>
      </c>
      <c r="K763">
        <f t="shared" si="88"/>
        <v>674.88</v>
      </c>
      <c r="L763">
        <f t="shared" si="89"/>
        <v>719.06298507462691</v>
      </c>
      <c r="M763">
        <f t="shared" si="90"/>
        <v>-44.182985074626863</v>
      </c>
      <c r="N763" t="str">
        <f t="shared" si="91"/>
        <v>Internal P2P Route</v>
      </c>
      <c r="O763" t="str">
        <f t="shared" si="92"/>
        <v>Transfer</v>
      </c>
      <c r="P763" t="str">
        <f t="shared" si="93"/>
        <v>Deposit</v>
      </c>
      <c r="Q763">
        <f t="shared" si="94"/>
        <v>532.88</v>
      </c>
      <c r="R763">
        <f t="shared" si="95"/>
        <v>-12.460000000000036</v>
      </c>
    </row>
    <row r="764" spans="1:18" x14ac:dyDescent="0.3">
      <c r="A764" t="s">
        <v>772</v>
      </c>
      <c r="B764" t="s">
        <v>796</v>
      </c>
      <c r="C764" s="4" t="s">
        <v>1286</v>
      </c>
      <c r="D764" t="s">
        <v>1291</v>
      </c>
      <c r="E764" t="s">
        <v>1299</v>
      </c>
      <c r="F764" t="s">
        <v>1311</v>
      </c>
      <c r="G764" s="9">
        <v>857.28</v>
      </c>
      <c r="H764">
        <v>1185.95</v>
      </c>
      <c r="I764">
        <v>-177.89</v>
      </c>
      <c r="J764">
        <v>786.19</v>
      </c>
      <c r="K764">
        <f t="shared" si="88"/>
        <v>1185.95</v>
      </c>
      <c r="L764">
        <f t="shared" si="89"/>
        <v>1363.8400000000001</v>
      </c>
      <c r="M764">
        <f t="shared" si="90"/>
        <v>-177.89</v>
      </c>
      <c r="N764" t="str">
        <f t="shared" si="91"/>
        <v>Spotify Music Hub</v>
      </c>
      <c r="O764" t="str">
        <f t="shared" si="92"/>
        <v>Entertainment</v>
      </c>
      <c r="P764" t="str">
        <f t="shared" si="93"/>
        <v>Withdrawal</v>
      </c>
      <c r="Q764">
        <f t="shared" si="94"/>
        <v>857.28</v>
      </c>
      <c r="R764">
        <f t="shared" si="95"/>
        <v>71.089999999999918</v>
      </c>
    </row>
    <row r="765" spans="1:18" x14ac:dyDescent="0.3">
      <c r="A765" t="s">
        <v>773</v>
      </c>
      <c r="B765" t="s">
        <v>817</v>
      </c>
      <c r="C765" s="4" t="s">
        <v>1265</v>
      </c>
      <c r="D765" t="s">
        <v>1292</v>
      </c>
      <c r="E765" t="s">
        <v>1294</v>
      </c>
      <c r="F765" t="s">
        <v>1315</v>
      </c>
      <c r="G765" s="9">
        <v>511.41</v>
      </c>
      <c r="H765">
        <v>638.79999999999995</v>
      </c>
      <c r="I765">
        <v>127.39</v>
      </c>
      <c r="J765">
        <v>583.58000000000004</v>
      </c>
      <c r="K765">
        <f t="shared" si="88"/>
        <v>638.79999999999995</v>
      </c>
      <c r="L765">
        <f t="shared" si="89"/>
        <v>511.40999999999997</v>
      </c>
      <c r="M765">
        <f t="shared" si="90"/>
        <v>127.39</v>
      </c>
      <c r="N765" t="str">
        <f t="shared" si="91"/>
        <v>Ebay International</v>
      </c>
      <c r="O765" t="str">
        <f t="shared" si="92"/>
        <v>Online Shopping</v>
      </c>
      <c r="P765" t="str">
        <f t="shared" si="93"/>
        <v>Deposit</v>
      </c>
      <c r="Q765">
        <f t="shared" si="94"/>
        <v>511.41</v>
      </c>
      <c r="R765">
        <f t="shared" si="95"/>
        <v>-72.170000000000016</v>
      </c>
    </row>
    <row r="766" spans="1:18" x14ac:dyDescent="0.3">
      <c r="A766" t="s">
        <v>774</v>
      </c>
      <c r="B766" t="s">
        <v>865</v>
      </c>
      <c r="C766" s="4" t="s">
        <v>986</v>
      </c>
      <c r="D766" t="s">
        <v>1291</v>
      </c>
      <c r="E766" t="s">
        <v>1296</v>
      </c>
      <c r="F766" t="s">
        <v>1307</v>
      </c>
      <c r="H766">
        <v>139.35</v>
      </c>
      <c r="I766">
        <v>-20.9</v>
      </c>
      <c r="J766">
        <v>109.91</v>
      </c>
      <c r="K766">
        <f t="shared" si="88"/>
        <v>139.35</v>
      </c>
      <c r="L766">
        <f t="shared" si="89"/>
        <v>160.25</v>
      </c>
      <c r="M766">
        <f t="shared" si="90"/>
        <v>-20.9</v>
      </c>
      <c r="N766" t="str">
        <f t="shared" si="91"/>
        <v>Techcorp Payroll Inc</v>
      </c>
      <c r="O766" t="str">
        <f t="shared" si="92"/>
        <v>Salary</v>
      </c>
      <c r="P766" t="str">
        <f t="shared" si="93"/>
        <v>Withdrawal</v>
      </c>
      <c r="Q766">
        <f t="shared" si="94"/>
        <v>1219.4163333333336</v>
      </c>
      <c r="R766">
        <f t="shared" si="95"/>
        <v>1109.5063333333335</v>
      </c>
    </row>
    <row r="767" spans="1:18" x14ac:dyDescent="0.3">
      <c r="A767" t="s">
        <v>775</v>
      </c>
      <c r="B767" t="s">
        <v>845</v>
      </c>
      <c r="C767" s="4" t="s">
        <v>1287</v>
      </c>
      <c r="D767" t="s">
        <v>1291</v>
      </c>
      <c r="E767" t="s">
        <v>1295</v>
      </c>
      <c r="F767" t="s">
        <v>1313</v>
      </c>
      <c r="G767" s="9">
        <v>696.94</v>
      </c>
      <c r="H767">
        <v>922.83</v>
      </c>
      <c r="I767">
        <v>-138.41999999999999</v>
      </c>
      <c r="J767">
        <v>742.88</v>
      </c>
      <c r="K767">
        <f t="shared" si="88"/>
        <v>922.83</v>
      </c>
      <c r="L767">
        <f t="shared" si="89"/>
        <v>1061.25</v>
      </c>
      <c r="M767">
        <f t="shared" si="90"/>
        <v>-138.41999999999999</v>
      </c>
      <c r="N767" t="str">
        <f t="shared" si="91"/>
        <v>Fresh &amp; Fast Logistics</v>
      </c>
      <c r="O767" t="str">
        <f t="shared" si="92"/>
        <v>Groceries</v>
      </c>
      <c r="P767" t="str">
        <f t="shared" si="93"/>
        <v>Withdrawal</v>
      </c>
      <c r="Q767">
        <f t="shared" si="94"/>
        <v>696.94</v>
      </c>
      <c r="R767">
        <f t="shared" si="95"/>
        <v>-45.939999999999941</v>
      </c>
    </row>
    <row r="768" spans="1:18" x14ac:dyDescent="0.3">
      <c r="A768" t="s">
        <v>776</v>
      </c>
      <c r="B768" t="s">
        <v>849</v>
      </c>
      <c r="C768" s="4" t="s">
        <v>1093</v>
      </c>
      <c r="D768" t="s">
        <v>1292</v>
      </c>
      <c r="E768" t="s">
        <v>1296</v>
      </c>
      <c r="F768" t="s">
        <v>1307</v>
      </c>
      <c r="G768" s="9">
        <v>4770.2700000000004</v>
      </c>
      <c r="H768">
        <v>6020.42</v>
      </c>
      <c r="I768">
        <v>1250.1500000000001</v>
      </c>
      <c r="J768">
        <v>4694.2</v>
      </c>
      <c r="K768">
        <f t="shared" si="88"/>
        <v>6020.42</v>
      </c>
      <c r="L768">
        <f t="shared" si="89"/>
        <v>4770.2700000000004</v>
      </c>
      <c r="M768">
        <f t="shared" si="90"/>
        <v>1250.1500000000001</v>
      </c>
      <c r="N768" t="str">
        <f t="shared" si="91"/>
        <v>Techcorp Payroll Inc</v>
      </c>
      <c r="O768" t="str">
        <f t="shared" si="92"/>
        <v>Salary</v>
      </c>
      <c r="P768" t="str">
        <f t="shared" si="93"/>
        <v>Deposit</v>
      </c>
      <c r="Q768">
        <f t="shared" si="94"/>
        <v>4770.2700000000004</v>
      </c>
      <c r="R768">
        <f t="shared" si="95"/>
        <v>76.070000000000618</v>
      </c>
    </row>
    <row r="769" spans="1:18" x14ac:dyDescent="0.3">
      <c r="A769" t="s">
        <v>777</v>
      </c>
      <c r="B769" t="s">
        <v>858</v>
      </c>
      <c r="C769" s="4" t="s">
        <v>1042</v>
      </c>
      <c r="D769" t="s">
        <v>1292</v>
      </c>
      <c r="E769" t="s">
        <v>1297</v>
      </c>
      <c r="F769" t="s">
        <v>1305</v>
      </c>
      <c r="G769" s="9">
        <v>124.84</v>
      </c>
      <c r="H769">
        <v>173.83</v>
      </c>
      <c r="I769">
        <v>48.99</v>
      </c>
      <c r="J769">
        <v>122.98</v>
      </c>
      <c r="K769">
        <f t="shared" si="88"/>
        <v>173.83</v>
      </c>
      <c r="L769">
        <f t="shared" si="89"/>
        <v>124.84</v>
      </c>
      <c r="M769">
        <f t="shared" si="90"/>
        <v>48.99</v>
      </c>
      <c r="N769" t="str">
        <f t="shared" si="91"/>
        <v>Mcdonalds Corp Express</v>
      </c>
      <c r="O769" t="str">
        <f t="shared" si="92"/>
        <v>Dining Out</v>
      </c>
      <c r="P769" t="str">
        <f t="shared" si="93"/>
        <v>Deposit</v>
      </c>
      <c r="Q769">
        <f t="shared" si="94"/>
        <v>124.84</v>
      </c>
      <c r="R769">
        <f t="shared" si="95"/>
        <v>1.8599999999999994</v>
      </c>
    </row>
    <row r="770" spans="1:18" x14ac:dyDescent="0.3">
      <c r="A770" t="s">
        <v>778</v>
      </c>
      <c r="B770" t="s">
        <v>816</v>
      </c>
      <c r="C770" s="4" t="s">
        <v>972</v>
      </c>
      <c r="D770" t="s">
        <v>1291</v>
      </c>
      <c r="E770" t="s">
        <v>1299</v>
      </c>
      <c r="F770" t="s">
        <v>1312</v>
      </c>
      <c r="G770" s="9">
        <v>38.75</v>
      </c>
      <c r="H770">
        <v>45.39</v>
      </c>
      <c r="I770">
        <v>-6.81</v>
      </c>
      <c r="J770">
        <v>35.270000000000003</v>
      </c>
      <c r="K770">
        <f t="shared" si="88"/>
        <v>45.39</v>
      </c>
      <c r="L770">
        <f t="shared" si="89"/>
        <v>52.2</v>
      </c>
      <c r="M770">
        <f t="shared" si="90"/>
        <v>-6.81</v>
      </c>
      <c r="N770" t="str">
        <f t="shared" si="91"/>
        <v>Netflix Streaming Premium</v>
      </c>
      <c r="O770" t="str">
        <f t="shared" si="92"/>
        <v>Entertainment</v>
      </c>
      <c r="P770" t="str">
        <f t="shared" si="93"/>
        <v>Withdrawal</v>
      </c>
      <c r="Q770">
        <f t="shared" si="94"/>
        <v>38.75</v>
      </c>
      <c r="R770">
        <f t="shared" si="95"/>
        <v>3.4799999999999969</v>
      </c>
    </row>
    <row r="771" spans="1:18" x14ac:dyDescent="0.3">
      <c r="A771" t="s">
        <v>779</v>
      </c>
      <c r="B771" t="s">
        <v>826</v>
      </c>
      <c r="C771" s="4" t="s">
        <v>1288</v>
      </c>
      <c r="D771" t="s">
        <v>1291</v>
      </c>
      <c r="E771" t="s">
        <v>1294</v>
      </c>
      <c r="F771" t="s">
        <v>1314</v>
      </c>
      <c r="G771" s="9">
        <v>315.74</v>
      </c>
      <c r="H771">
        <v>394.67</v>
      </c>
      <c r="I771">
        <v>-59.2</v>
      </c>
      <c r="J771">
        <v>340.15</v>
      </c>
      <c r="K771">
        <f t="shared" ref="K771:K776" si="96">IF(H771,H771,AVERAGE($H$2:$H$35))</f>
        <v>394.67</v>
      </c>
      <c r="L771">
        <f t="shared" ref="L771:L776" si="97">K771-M771</f>
        <v>453.87</v>
      </c>
      <c r="M771">
        <f t="shared" ref="M771:M776" si="98">IF(I771,I771,AVERAGE($I$2:$I$68))</f>
        <v>-59.2</v>
      </c>
      <c r="N771" t="str">
        <f t="shared" ref="N771:N776" si="99">PROPER(F771)</f>
        <v>Target Direct Online</v>
      </c>
      <c r="O771" t="str">
        <f t="shared" ref="O771:O776" si="100">PROPER(E771)</f>
        <v>Online Shopping</v>
      </c>
      <c r="P771" t="str">
        <f t="shared" ref="P771:P776" si="101">PROPER(D771)</f>
        <v>Withdrawal</v>
      </c>
      <c r="Q771">
        <f t="shared" ref="Q771:Q776" si="102">IF(G771,G771,AVERAGE($G$2:$G$31))</f>
        <v>315.74</v>
      </c>
      <c r="R771">
        <f t="shared" ref="R771:R776" si="103">Q771-J771</f>
        <v>-24.409999999999968</v>
      </c>
    </row>
    <row r="772" spans="1:18" x14ac:dyDescent="0.3">
      <c r="A772" t="s">
        <v>780</v>
      </c>
      <c r="B772" t="s">
        <v>900</v>
      </c>
      <c r="C772" s="4" t="s">
        <v>1067</v>
      </c>
      <c r="D772" t="s">
        <v>1292</v>
      </c>
      <c r="E772" t="s">
        <v>1295</v>
      </c>
      <c r="F772" t="s">
        <v>1302</v>
      </c>
      <c r="G772" s="9">
        <v>15.32</v>
      </c>
      <c r="H772">
        <v>19.11</v>
      </c>
      <c r="I772">
        <v>3.79</v>
      </c>
      <c r="J772">
        <v>17.899999999999999</v>
      </c>
      <c r="K772">
        <f t="shared" si="96"/>
        <v>19.11</v>
      </c>
      <c r="L772">
        <f t="shared" si="97"/>
        <v>15.32</v>
      </c>
      <c r="M772">
        <f t="shared" si="98"/>
        <v>3.79</v>
      </c>
      <c r="N772" t="str">
        <f t="shared" si="99"/>
        <v>Supermart Marketplace</v>
      </c>
      <c r="O772" t="str">
        <f t="shared" si="100"/>
        <v>Groceries</v>
      </c>
      <c r="P772" t="str">
        <f t="shared" si="101"/>
        <v>Deposit</v>
      </c>
      <c r="Q772">
        <f t="shared" si="102"/>
        <v>15.32</v>
      </c>
      <c r="R772">
        <f t="shared" si="103"/>
        <v>-2.5799999999999983</v>
      </c>
    </row>
    <row r="773" spans="1:18" x14ac:dyDescent="0.3">
      <c r="A773" t="s">
        <v>781</v>
      </c>
      <c r="B773" t="s">
        <v>871</v>
      </c>
      <c r="C773" s="4" t="s">
        <v>1048</v>
      </c>
      <c r="D773" t="s">
        <v>1292</v>
      </c>
      <c r="E773" t="s">
        <v>1295</v>
      </c>
      <c r="F773" t="s">
        <v>1302</v>
      </c>
      <c r="G773" s="9">
        <v>1086.8800000000001</v>
      </c>
      <c r="H773">
        <v>1287.97</v>
      </c>
      <c r="I773">
        <v>201.09</v>
      </c>
      <c r="J773">
        <v>1151.3900000000001</v>
      </c>
      <c r="K773">
        <f t="shared" si="96"/>
        <v>1287.97</v>
      </c>
      <c r="L773">
        <f t="shared" si="97"/>
        <v>1086.8800000000001</v>
      </c>
      <c r="M773">
        <f t="shared" si="98"/>
        <v>201.09</v>
      </c>
      <c r="N773" t="str">
        <f t="shared" si="99"/>
        <v>Supermart Marketplace</v>
      </c>
      <c r="O773" t="str">
        <f t="shared" si="100"/>
        <v>Groceries</v>
      </c>
      <c r="P773" t="str">
        <f t="shared" si="101"/>
        <v>Deposit</v>
      </c>
      <c r="Q773">
        <f t="shared" si="102"/>
        <v>1086.8800000000001</v>
      </c>
      <c r="R773">
        <f t="shared" si="103"/>
        <v>-64.509999999999991</v>
      </c>
    </row>
    <row r="774" spans="1:18" x14ac:dyDescent="0.3">
      <c r="A774" t="s">
        <v>782</v>
      </c>
      <c r="B774" t="s">
        <v>908</v>
      </c>
      <c r="C774" s="4" t="s">
        <v>1289</v>
      </c>
      <c r="D774" t="s">
        <v>1291</v>
      </c>
      <c r="E774" t="s">
        <v>1297</v>
      </c>
      <c r="F774" t="s">
        <v>1309</v>
      </c>
      <c r="G774" s="9">
        <v>206.11</v>
      </c>
      <c r="H774">
        <v>238.62</v>
      </c>
      <c r="I774">
        <v>-35.79</v>
      </c>
      <c r="J774">
        <v>201.44</v>
      </c>
      <c r="K774">
        <f t="shared" si="96"/>
        <v>238.62</v>
      </c>
      <c r="L774">
        <f t="shared" si="97"/>
        <v>274.41000000000003</v>
      </c>
      <c r="M774">
        <f t="shared" si="98"/>
        <v>-35.79</v>
      </c>
      <c r="N774" t="str">
        <f t="shared" si="99"/>
        <v>Olive Garden Gourmet</v>
      </c>
      <c r="O774" t="str">
        <f t="shared" si="100"/>
        <v>Dining Out</v>
      </c>
      <c r="P774" t="str">
        <f t="shared" si="101"/>
        <v>Withdrawal</v>
      </c>
      <c r="Q774">
        <f t="shared" si="102"/>
        <v>206.11</v>
      </c>
      <c r="R774">
        <f t="shared" si="103"/>
        <v>4.6700000000000159</v>
      </c>
    </row>
    <row r="775" spans="1:18" x14ac:dyDescent="0.3">
      <c r="A775" t="s">
        <v>783</v>
      </c>
      <c r="B775" t="s">
        <v>877</v>
      </c>
      <c r="C775" s="4" t="s">
        <v>1205</v>
      </c>
      <c r="D775" t="s">
        <v>1291</v>
      </c>
      <c r="E775" t="s">
        <v>1299</v>
      </c>
      <c r="F775" t="s">
        <v>1312</v>
      </c>
      <c r="G775" s="9">
        <v>661.57</v>
      </c>
      <c r="H775">
        <v>883.6</v>
      </c>
      <c r="I775">
        <v>-132.54</v>
      </c>
      <c r="J775">
        <v>766.69</v>
      </c>
      <c r="K775">
        <f t="shared" si="96"/>
        <v>883.6</v>
      </c>
      <c r="L775">
        <f t="shared" si="97"/>
        <v>1016.14</v>
      </c>
      <c r="M775">
        <f t="shared" si="98"/>
        <v>-132.54</v>
      </c>
      <c r="N775" t="str">
        <f t="shared" si="99"/>
        <v>Netflix Streaming Premium</v>
      </c>
      <c r="O775" t="str">
        <f t="shared" si="100"/>
        <v>Entertainment</v>
      </c>
      <c r="P775" t="str">
        <f t="shared" si="101"/>
        <v>Withdrawal</v>
      </c>
      <c r="Q775">
        <f t="shared" si="102"/>
        <v>661.57</v>
      </c>
      <c r="R775">
        <f t="shared" si="103"/>
        <v>-105.12</v>
      </c>
    </row>
    <row r="776" spans="1:18" x14ac:dyDescent="0.3">
      <c r="A776" t="s">
        <v>784</v>
      </c>
      <c r="B776" t="s">
        <v>928</v>
      </c>
      <c r="C776" s="4" t="s">
        <v>1290</v>
      </c>
      <c r="D776" t="s">
        <v>1292</v>
      </c>
      <c r="E776" t="s">
        <v>1298</v>
      </c>
      <c r="F776" t="s">
        <v>1306</v>
      </c>
      <c r="G776" s="9">
        <v>928.98</v>
      </c>
      <c r="H776">
        <v>1263.72</v>
      </c>
      <c r="I776">
        <v>334.74</v>
      </c>
      <c r="J776">
        <v>1026.82</v>
      </c>
      <c r="K776">
        <f t="shared" si="96"/>
        <v>1263.72</v>
      </c>
      <c r="L776">
        <f t="shared" si="97"/>
        <v>928.98</v>
      </c>
      <c r="M776">
        <f t="shared" si="98"/>
        <v>334.74</v>
      </c>
      <c r="N776" t="str">
        <f t="shared" si="99"/>
        <v>Internal P2P Route</v>
      </c>
      <c r="O776" t="str">
        <f t="shared" si="100"/>
        <v>Transfer</v>
      </c>
      <c r="P776" t="str">
        <f t="shared" si="101"/>
        <v>Deposit</v>
      </c>
      <c r="Q776">
        <f t="shared" si="102"/>
        <v>928.98</v>
      </c>
      <c r="R776">
        <f t="shared" si="103"/>
        <v>-97.839999999999918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050CE-4BA9-404B-AE27-6EF33F5D0B03}">
  <dimension ref="A1:O776"/>
  <sheetViews>
    <sheetView tabSelected="1" topLeftCell="C1" workbookViewId="0">
      <selection activeCell="D7" sqref="D7"/>
    </sheetView>
  </sheetViews>
  <sheetFormatPr defaultRowHeight="14.4" x14ac:dyDescent="0.3"/>
  <cols>
    <col min="1" max="1" width="17.5546875" bestFit="1" customWidth="1"/>
    <col min="2" max="2" width="15.77734375" bestFit="1" customWidth="1"/>
    <col min="3" max="3" width="19.6640625" style="4" bestFit="1" customWidth="1"/>
    <col min="4" max="4" width="19.88671875" bestFit="1" customWidth="1"/>
    <col min="5" max="5" width="14.109375" bestFit="1" customWidth="1"/>
    <col min="6" max="6" width="23.109375" bestFit="1" customWidth="1"/>
    <col min="7" max="7" width="12" bestFit="1" customWidth="1"/>
    <col min="8" max="8" width="12.77734375" bestFit="1" customWidth="1"/>
    <col min="9" max="9" width="12.6640625" bestFit="1" customWidth="1"/>
    <col min="10" max="10" width="16.21875" bestFit="1" customWidth="1"/>
    <col min="11" max="11" width="12" bestFit="1" customWidth="1"/>
    <col min="12" max="12" width="13" customWidth="1"/>
    <col min="14" max="14" width="14.5546875" bestFit="1" customWidth="1"/>
  </cols>
  <sheetData>
    <row r="1" spans="1:15" s="10" customFormat="1" x14ac:dyDescent="0.3">
      <c r="A1" s="13" t="s">
        <v>0</v>
      </c>
      <c r="B1" s="13" t="s">
        <v>1</v>
      </c>
      <c r="C1" s="14" t="s">
        <v>2</v>
      </c>
      <c r="D1" s="13" t="s">
        <v>3</v>
      </c>
      <c r="E1" s="15" t="s">
        <v>4</v>
      </c>
      <c r="F1" s="15" t="s">
        <v>5</v>
      </c>
      <c r="G1" s="16" t="s">
        <v>6</v>
      </c>
      <c r="H1" s="13" t="s">
        <v>7</v>
      </c>
      <c r="I1" s="15" t="s">
        <v>8</v>
      </c>
      <c r="J1" s="15" t="s">
        <v>9</v>
      </c>
      <c r="K1" s="15" t="s">
        <v>1321</v>
      </c>
      <c r="L1" s="15" t="s">
        <v>1336</v>
      </c>
    </row>
    <row r="2" spans="1:15" x14ac:dyDescent="0.3">
      <c r="A2" t="s">
        <v>10</v>
      </c>
      <c r="B2" t="s">
        <v>785</v>
      </c>
      <c r="C2" s="4" t="s">
        <v>935</v>
      </c>
      <c r="D2" t="s">
        <v>1291</v>
      </c>
      <c r="E2" t="s">
        <v>1293</v>
      </c>
      <c r="F2" t="s">
        <v>1300</v>
      </c>
      <c r="G2">
        <v>269.20999999999998</v>
      </c>
      <c r="H2">
        <v>324.51</v>
      </c>
      <c r="I2">
        <v>-48.68</v>
      </c>
      <c r="J2">
        <v>265.58999999999997</v>
      </c>
      <c r="K2">
        <v>373.19</v>
      </c>
      <c r="L2">
        <v>3.6200000000000045</v>
      </c>
    </row>
    <row r="3" spans="1:15" x14ac:dyDescent="0.3">
      <c r="A3" t="s">
        <v>11</v>
      </c>
      <c r="B3" t="s">
        <v>786</v>
      </c>
      <c r="C3" s="4" t="s">
        <v>936</v>
      </c>
      <c r="D3" t="s">
        <v>1292</v>
      </c>
      <c r="E3" t="s">
        <v>1294</v>
      </c>
      <c r="F3" t="s">
        <v>1301</v>
      </c>
      <c r="G3">
        <v>542.58000000000004</v>
      </c>
      <c r="H3">
        <v>696.85</v>
      </c>
      <c r="I3">
        <v>154.27000000000001</v>
      </c>
      <c r="J3">
        <v>519.51</v>
      </c>
      <c r="K3">
        <v>542.58000000000004</v>
      </c>
      <c r="L3">
        <v>23.07000000000005</v>
      </c>
    </row>
    <row r="4" spans="1:15" x14ac:dyDescent="0.3">
      <c r="A4" t="s">
        <v>12</v>
      </c>
      <c r="B4" t="s">
        <v>787</v>
      </c>
      <c r="C4" s="4" t="s">
        <v>937</v>
      </c>
      <c r="D4" t="s">
        <v>1291</v>
      </c>
      <c r="E4" t="s">
        <v>1295</v>
      </c>
      <c r="F4" t="s">
        <v>1329</v>
      </c>
      <c r="G4">
        <v>375.58</v>
      </c>
      <c r="H4">
        <v>442.32</v>
      </c>
      <c r="I4">
        <v>-66.349999999999994</v>
      </c>
      <c r="J4">
        <v>430.8</v>
      </c>
      <c r="K4">
        <v>508.66999999999996</v>
      </c>
      <c r="L4">
        <v>-55.220000000000027</v>
      </c>
      <c r="N4" s="11" t="s">
        <v>1338</v>
      </c>
      <c r="O4" s="12">
        <f>MAX(H2:H776)</f>
        <v>12991.95</v>
      </c>
    </row>
    <row r="5" spans="1:15" x14ac:dyDescent="0.3">
      <c r="A5" t="s">
        <v>13</v>
      </c>
      <c r="B5" t="s">
        <v>788</v>
      </c>
      <c r="C5" s="4" t="s">
        <v>938</v>
      </c>
      <c r="D5" t="s">
        <v>1292</v>
      </c>
      <c r="E5" t="s">
        <v>1293</v>
      </c>
      <c r="F5" t="s">
        <v>1300</v>
      </c>
      <c r="G5">
        <v>807.69</v>
      </c>
      <c r="H5">
        <v>930.16</v>
      </c>
      <c r="I5">
        <v>122.47</v>
      </c>
      <c r="J5">
        <v>839.38</v>
      </c>
      <c r="K5">
        <v>807.68999999999994</v>
      </c>
      <c r="L5">
        <v>-31.689999999999941</v>
      </c>
      <c r="N5" s="11" t="s">
        <v>1339</v>
      </c>
      <c r="O5" s="12">
        <f>MIN(H2:H776)</f>
        <v>19.11</v>
      </c>
    </row>
    <row r="6" spans="1:15" x14ac:dyDescent="0.3">
      <c r="A6" t="s">
        <v>14</v>
      </c>
      <c r="B6" t="s">
        <v>789</v>
      </c>
      <c r="C6" s="4" t="s">
        <v>939</v>
      </c>
      <c r="D6" t="s">
        <v>1291</v>
      </c>
      <c r="E6" t="s">
        <v>1296</v>
      </c>
      <c r="F6" t="s">
        <v>1330</v>
      </c>
      <c r="G6">
        <v>4843.5200000000004</v>
      </c>
      <c r="H6">
        <v>5611.92</v>
      </c>
      <c r="I6">
        <v>-841.79</v>
      </c>
      <c r="J6">
        <v>4621.9399999999996</v>
      </c>
      <c r="K6">
        <v>6453.71</v>
      </c>
      <c r="L6">
        <v>221.58000000000084</v>
      </c>
    </row>
    <row r="7" spans="1:15" x14ac:dyDescent="0.3">
      <c r="A7" t="s">
        <v>15</v>
      </c>
      <c r="B7" t="s">
        <v>790</v>
      </c>
      <c r="C7" s="4" t="s">
        <v>940</v>
      </c>
      <c r="D7" t="s">
        <v>1291</v>
      </c>
      <c r="E7" t="s">
        <v>1295</v>
      </c>
      <c r="F7" t="s">
        <v>1304</v>
      </c>
      <c r="G7">
        <v>619.87</v>
      </c>
      <c r="H7">
        <v>847.4</v>
      </c>
      <c r="I7">
        <v>-127.11</v>
      </c>
      <c r="J7">
        <v>591.57000000000005</v>
      </c>
      <c r="K7">
        <v>974.51</v>
      </c>
      <c r="L7">
        <v>28.299999999999955</v>
      </c>
      <c r="N7" s="11" t="s">
        <v>1340</v>
      </c>
      <c r="O7" s="12">
        <f>MAX(I2:I776)</f>
        <v>3557.14</v>
      </c>
    </row>
    <row r="8" spans="1:15" x14ac:dyDescent="0.3">
      <c r="A8" t="s">
        <v>16</v>
      </c>
      <c r="B8" t="s">
        <v>791</v>
      </c>
      <c r="C8" s="4" t="s">
        <v>941</v>
      </c>
      <c r="D8" t="s">
        <v>1292</v>
      </c>
      <c r="E8" t="s">
        <v>1297</v>
      </c>
      <c r="F8" t="s">
        <v>1331</v>
      </c>
      <c r="G8">
        <v>847.04</v>
      </c>
      <c r="H8">
        <v>1067.75</v>
      </c>
      <c r="I8">
        <v>220.71</v>
      </c>
      <c r="J8">
        <v>970</v>
      </c>
      <c r="K8">
        <v>847.04</v>
      </c>
      <c r="L8">
        <v>-122.96000000000004</v>
      </c>
      <c r="N8" s="11" t="s">
        <v>1341</v>
      </c>
      <c r="O8" s="12">
        <f>MIN(I2:I776)</f>
        <v>-1919.02</v>
      </c>
    </row>
    <row r="9" spans="1:15" x14ac:dyDescent="0.3">
      <c r="A9" t="s">
        <v>17</v>
      </c>
      <c r="B9" t="s">
        <v>792</v>
      </c>
      <c r="C9" s="4" t="s">
        <v>942</v>
      </c>
      <c r="D9" t="s">
        <v>1292</v>
      </c>
      <c r="E9" t="s">
        <v>1298</v>
      </c>
      <c r="F9" t="s">
        <v>1306</v>
      </c>
      <c r="G9">
        <v>1072.55</v>
      </c>
      <c r="H9">
        <v>1353.15</v>
      </c>
      <c r="I9">
        <v>280.60000000000002</v>
      </c>
      <c r="J9">
        <v>1251.53</v>
      </c>
      <c r="K9">
        <v>1072.5500000000002</v>
      </c>
      <c r="L9">
        <v>-178.98000000000002</v>
      </c>
    </row>
    <row r="10" spans="1:15" x14ac:dyDescent="0.3">
      <c r="A10" t="s">
        <v>18</v>
      </c>
      <c r="B10" t="s">
        <v>790</v>
      </c>
      <c r="C10" s="4" t="s">
        <v>943</v>
      </c>
      <c r="D10" t="s">
        <v>1291</v>
      </c>
      <c r="E10" t="s">
        <v>1296</v>
      </c>
      <c r="F10" t="s">
        <v>1332</v>
      </c>
      <c r="G10">
        <v>7790.63</v>
      </c>
      <c r="H10">
        <v>9641.6299999999992</v>
      </c>
      <c r="I10">
        <v>-1446.24</v>
      </c>
      <c r="J10">
        <v>7145.94</v>
      </c>
      <c r="K10">
        <v>11087.869999999999</v>
      </c>
      <c r="L10">
        <v>644.69000000000051</v>
      </c>
    </row>
    <row r="11" spans="1:15" x14ac:dyDescent="0.3">
      <c r="A11" t="s">
        <v>19</v>
      </c>
      <c r="B11" t="s">
        <v>793</v>
      </c>
      <c r="C11" s="4" t="s">
        <v>944</v>
      </c>
      <c r="D11" t="s">
        <v>1291</v>
      </c>
      <c r="E11" t="s">
        <v>1293</v>
      </c>
      <c r="F11" t="s">
        <v>1300</v>
      </c>
      <c r="G11">
        <v>636.4</v>
      </c>
      <c r="H11">
        <v>859.18</v>
      </c>
      <c r="I11">
        <v>-128.88</v>
      </c>
      <c r="J11">
        <v>755.92</v>
      </c>
      <c r="K11">
        <v>988.06</v>
      </c>
      <c r="L11">
        <v>-119.51999999999998</v>
      </c>
    </row>
    <row r="12" spans="1:15" x14ac:dyDescent="0.3">
      <c r="A12" t="s">
        <v>20</v>
      </c>
      <c r="B12" t="s">
        <v>794</v>
      </c>
      <c r="C12" s="4" t="s">
        <v>945</v>
      </c>
      <c r="D12" t="s">
        <v>1292</v>
      </c>
      <c r="E12" t="s">
        <v>1296</v>
      </c>
      <c r="F12" t="s">
        <v>1308</v>
      </c>
      <c r="G12">
        <v>7371.46</v>
      </c>
      <c r="H12">
        <v>9685.99</v>
      </c>
      <c r="I12">
        <v>2314.5300000000002</v>
      </c>
      <c r="J12">
        <v>6732.63</v>
      </c>
      <c r="K12">
        <v>7371.4599999999991</v>
      </c>
      <c r="L12">
        <v>638.82999999999993</v>
      </c>
    </row>
    <row r="13" spans="1:15" x14ac:dyDescent="0.3">
      <c r="A13" t="s">
        <v>21</v>
      </c>
      <c r="B13" t="s">
        <v>795</v>
      </c>
      <c r="C13" s="4" t="s">
        <v>946</v>
      </c>
      <c r="D13" t="s">
        <v>1291</v>
      </c>
      <c r="E13" t="s">
        <v>1294</v>
      </c>
      <c r="F13" t="s">
        <v>1301</v>
      </c>
      <c r="G13">
        <v>356.46</v>
      </c>
      <c r="H13">
        <v>470.43</v>
      </c>
      <c r="I13">
        <v>-70.56</v>
      </c>
      <c r="J13">
        <v>416.43</v>
      </c>
      <c r="K13">
        <v>540.99</v>
      </c>
      <c r="L13">
        <v>-59.970000000000027</v>
      </c>
    </row>
    <row r="14" spans="1:15" x14ac:dyDescent="0.3">
      <c r="A14" t="s">
        <v>22</v>
      </c>
      <c r="B14" t="s">
        <v>796</v>
      </c>
      <c r="C14" s="4" t="s">
        <v>947</v>
      </c>
      <c r="D14" t="s">
        <v>1292</v>
      </c>
      <c r="E14" t="s">
        <v>1295</v>
      </c>
      <c r="F14" t="s">
        <v>1329</v>
      </c>
      <c r="G14">
        <v>187.84</v>
      </c>
      <c r="H14">
        <v>221.72</v>
      </c>
      <c r="I14">
        <v>33.880000000000003</v>
      </c>
      <c r="J14">
        <v>170.4</v>
      </c>
      <c r="K14">
        <v>187.84</v>
      </c>
      <c r="L14">
        <v>17.439999999999998</v>
      </c>
    </row>
    <row r="15" spans="1:15" x14ac:dyDescent="0.3">
      <c r="A15" t="s">
        <v>23</v>
      </c>
      <c r="B15" t="s">
        <v>797</v>
      </c>
      <c r="C15" s="4" t="s">
        <v>948</v>
      </c>
      <c r="D15" t="s">
        <v>1291</v>
      </c>
      <c r="E15" t="s">
        <v>1297</v>
      </c>
      <c r="F15" t="s">
        <v>1309</v>
      </c>
      <c r="G15">
        <v>262.58</v>
      </c>
      <c r="H15">
        <v>332.06</v>
      </c>
      <c r="I15">
        <v>-49.81</v>
      </c>
      <c r="J15">
        <v>280.13</v>
      </c>
      <c r="K15">
        <v>381.87</v>
      </c>
      <c r="L15">
        <v>-17.550000000000011</v>
      </c>
    </row>
    <row r="16" spans="1:15" x14ac:dyDescent="0.3">
      <c r="A16" t="s">
        <v>24</v>
      </c>
      <c r="B16" t="s">
        <v>798</v>
      </c>
      <c r="C16" s="4" t="s">
        <v>949</v>
      </c>
      <c r="D16" t="s">
        <v>1291</v>
      </c>
      <c r="E16" t="s">
        <v>1295</v>
      </c>
      <c r="F16" t="s">
        <v>1304</v>
      </c>
      <c r="G16">
        <v>905.35</v>
      </c>
      <c r="H16">
        <v>1096.8499999999999</v>
      </c>
      <c r="I16">
        <v>-164.53</v>
      </c>
      <c r="J16">
        <v>971.85</v>
      </c>
      <c r="K16">
        <v>1261.3799999999999</v>
      </c>
      <c r="L16">
        <v>-66.5</v>
      </c>
    </row>
    <row r="17" spans="1:12" x14ac:dyDescent="0.3">
      <c r="A17" t="s">
        <v>25</v>
      </c>
      <c r="B17" t="s">
        <v>799</v>
      </c>
      <c r="C17" s="4" t="s">
        <v>950</v>
      </c>
      <c r="D17" t="s">
        <v>1291</v>
      </c>
      <c r="E17" t="s">
        <v>1297</v>
      </c>
      <c r="F17" t="s">
        <v>1309</v>
      </c>
      <c r="G17">
        <v>54.92</v>
      </c>
      <c r="H17">
        <v>75.510000000000005</v>
      </c>
      <c r="I17">
        <v>-11.33</v>
      </c>
      <c r="J17">
        <v>65.489999999999995</v>
      </c>
      <c r="K17">
        <v>86.84</v>
      </c>
      <c r="L17">
        <v>-10.569999999999993</v>
      </c>
    </row>
    <row r="18" spans="1:12" x14ac:dyDescent="0.3">
      <c r="A18" t="s">
        <v>26</v>
      </c>
      <c r="B18" t="s">
        <v>800</v>
      </c>
      <c r="C18" s="4" t="s">
        <v>951</v>
      </c>
      <c r="D18" t="s">
        <v>1291</v>
      </c>
      <c r="E18" t="s">
        <v>1298</v>
      </c>
      <c r="F18" t="s">
        <v>1310</v>
      </c>
      <c r="G18">
        <v>592.55999999999995</v>
      </c>
      <c r="H18">
        <v>800.74</v>
      </c>
      <c r="I18">
        <v>-120.11</v>
      </c>
      <c r="J18">
        <v>646.33000000000004</v>
      </c>
      <c r="K18">
        <v>920.85</v>
      </c>
      <c r="L18">
        <v>-53.770000000000095</v>
      </c>
    </row>
    <row r="19" spans="1:12" x14ac:dyDescent="0.3">
      <c r="A19" t="s">
        <v>27</v>
      </c>
      <c r="B19" t="s">
        <v>788</v>
      </c>
      <c r="C19" s="4" t="s">
        <v>952</v>
      </c>
      <c r="D19" t="s">
        <v>1292</v>
      </c>
      <c r="E19" t="s">
        <v>1297</v>
      </c>
      <c r="F19" t="s">
        <v>1331</v>
      </c>
      <c r="G19">
        <v>880.09</v>
      </c>
      <c r="H19">
        <v>1044.4000000000001</v>
      </c>
      <c r="I19">
        <v>164.31</v>
      </c>
      <c r="J19">
        <v>980.5</v>
      </c>
      <c r="K19">
        <v>880.09000000000015</v>
      </c>
      <c r="L19">
        <v>-100.40999999999997</v>
      </c>
    </row>
    <row r="20" spans="1:12" x14ac:dyDescent="0.3">
      <c r="A20" t="s">
        <v>28</v>
      </c>
      <c r="B20" t="s">
        <v>801</v>
      </c>
      <c r="C20" s="4" t="s">
        <v>951</v>
      </c>
      <c r="D20" t="s">
        <v>1292</v>
      </c>
      <c r="E20" t="s">
        <v>1299</v>
      </c>
      <c r="F20" t="s">
        <v>1311</v>
      </c>
      <c r="G20">
        <v>290.32</v>
      </c>
      <c r="H20">
        <v>347.82</v>
      </c>
      <c r="I20">
        <v>57.5</v>
      </c>
      <c r="J20">
        <v>275.05</v>
      </c>
      <c r="K20">
        <v>290.32</v>
      </c>
      <c r="L20">
        <v>15.269999999999982</v>
      </c>
    </row>
    <row r="21" spans="1:12" x14ac:dyDescent="0.3">
      <c r="A21" t="s">
        <v>29</v>
      </c>
      <c r="B21" t="s">
        <v>802</v>
      </c>
      <c r="C21" s="4" t="s">
        <v>953</v>
      </c>
      <c r="D21" t="s">
        <v>1292</v>
      </c>
      <c r="E21" t="s">
        <v>1297</v>
      </c>
      <c r="F21" t="s">
        <v>1309</v>
      </c>
      <c r="G21">
        <v>824.84</v>
      </c>
      <c r="H21">
        <v>1130.0899999999999</v>
      </c>
      <c r="I21">
        <v>305.25</v>
      </c>
      <c r="J21">
        <v>768.34</v>
      </c>
      <c r="K21">
        <v>824.83999999999992</v>
      </c>
      <c r="L21">
        <v>56.5</v>
      </c>
    </row>
    <row r="22" spans="1:12" x14ac:dyDescent="0.3">
      <c r="A22" t="s">
        <v>30</v>
      </c>
      <c r="B22" t="s">
        <v>803</v>
      </c>
      <c r="C22" s="4" t="s">
        <v>954</v>
      </c>
      <c r="D22" t="s">
        <v>1292</v>
      </c>
      <c r="E22" t="s">
        <v>1297</v>
      </c>
      <c r="F22" t="s">
        <v>1309</v>
      </c>
      <c r="G22">
        <v>167.75</v>
      </c>
      <c r="H22">
        <v>197.55</v>
      </c>
      <c r="I22">
        <v>29.8</v>
      </c>
      <c r="J22">
        <v>153.03</v>
      </c>
      <c r="K22">
        <v>167.75</v>
      </c>
      <c r="L22">
        <v>14.719999999999999</v>
      </c>
    </row>
    <row r="23" spans="1:12" x14ac:dyDescent="0.3">
      <c r="A23" t="s">
        <v>31</v>
      </c>
      <c r="B23" t="s">
        <v>804</v>
      </c>
      <c r="C23" s="4" t="s">
        <v>937</v>
      </c>
      <c r="D23" t="s">
        <v>1292</v>
      </c>
      <c r="E23" t="s">
        <v>1299</v>
      </c>
      <c r="F23" t="s">
        <v>1312</v>
      </c>
      <c r="G23">
        <v>826.21</v>
      </c>
      <c r="H23">
        <v>962.91</v>
      </c>
      <c r="I23">
        <v>136.69999999999999</v>
      </c>
      <c r="J23">
        <v>767.46</v>
      </c>
      <c r="K23">
        <v>826.21</v>
      </c>
      <c r="L23">
        <v>58.75</v>
      </c>
    </row>
    <row r="24" spans="1:12" x14ac:dyDescent="0.3">
      <c r="A24" t="s">
        <v>32</v>
      </c>
      <c r="B24" t="s">
        <v>805</v>
      </c>
      <c r="C24" s="4" t="s">
        <v>955</v>
      </c>
      <c r="D24" t="s">
        <v>1291</v>
      </c>
      <c r="E24" t="s">
        <v>1295</v>
      </c>
      <c r="F24" t="s">
        <v>1313</v>
      </c>
      <c r="G24">
        <v>1123.8</v>
      </c>
      <c r="H24">
        <v>1385.8</v>
      </c>
      <c r="I24">
        <v>-207.87</v>
      </c>
      <c r="J24">
        <v>1022.35</v>
      </c>
      <c r="K24">
        <v>1593.67</v>
      </c>
      <c r="L24">
        <v>101.44999999999993</v>
      </c>
    </row>
    <row r="25" spans="1:12" x14ac:dyDescent="0.3">
      <c r="A25" t="s">
        <v>33</v>
      </c>
      <c r="B25" t="s">
        <v>787</v>
      </c>
      <c r="C25" s="4" t="s">
        <v>956</v>
      </c>
      <c r="D25" t="s">
        <v>1291</v>
      </c>
      <c r="E25" t="s">
        <v>1295</v>
      </c>
      <c r="F25" t="s">
        <v>1313</v>
      </c>
      <c r="G25">
        <v>535.25</v>
      </c>
      <c r="H25">
        <v>739.41</v>
      </c>
      <c r="I25">
        <v>-110.91</v>
      </c>
      <c r="J25">
        <v>623.66</v>
      </c>
      <c r="K25">
        <v>850.31999999999994</v>
      </c>
      <c r="L25">
        <v>-88.409999999999968</v>
      </c>
    </row>
    <row r="26" spans="1:12" x14ac:dyDescent="0.3">
      <c r="A26" t="s">
        <v>34</v>
      </c>
      <c r="B26" t="s">
        <v>806</v>
      </c>
      <c r="C26" s="4" t="s">
        <v>953</v>
      </c>
      <c r="D26" t="s">
        <v>1292</v>
      </c>
      <c r="E26" t="s">
        <v>1294</v>
      </c>
      <c r="F26" t="s">
        <v>1314</v>
      </c>
      <c r="G26">
        <v>910.95</v>
      </c>
      <c r="H26">
        <v>1133.02</v>
      </c>
      <c r="I26">
        <v>222.07</v>
      </c>
      <c r="J26">
        <v>889.39</v>
      </c>
      <c r="K26">
        <v>910.95</v>
      </c>
      <c r="L26">
        <v>21.560000000000059</v>
      </c>
    </row>
    <row r="27" spans="1:12" x14ac:dyDescent="0.3">
      <c r="A27" t="s">
        <v>35</v>
      </c>
      <c r="B27" t="s">
        <v>807</v>
      </c>
      <c r="C27" s="4" t="s">
        <v>957</v>
      </c>
      <c r="D27" t="s">
        <v>1291</v>
      </c>
      <c r="E27" t="s">
        <v>1298</v>
      </c>
      <c r="F27" t="s">
        <v>1306</v>
      </c>
      <c r="G27">
        <v>372.66</v>
      </c>
      <c r="H27">
        <v>445</v>
      </c>
      <c r="I27">
        <v>-66.75</v>
      </c>
      <c r="J27">
        <v>337.75</v>
      </c>
      <c r="K27">
        <v>511.75</v>
      </c>
      <c r="L27">
        <v>34.910000000000025</v>
      </c>
    </row>
    <row r="28" spans="1:12" x14ac:dyDescent="0.3">
      <c r="A28" t="s">
        <v>36</v>
      </c>
      <c r="B28" t="s">
        <v>808</v>
      </c>
      <c r="C28" s="4" t="s">
        <v>958</v>
      </c>
      <c r="D28" t="s">
        <v>1292</v>
      </c>
      <c r="E28" t="s">
        <v>1294</v>
      </c>
      <c r="F28" t="s">
        <v>1301</v>
      </c>
      <c r="G28">
        <v>465.17</v>
      </c>
      <c r="H28">
        <v>591.79999999999995</v>
      </c>
      <c r="I28">
        <v>126.63</v>
      </c>
      <c r="J28">
        <v>473.28</v>
      </c>
      <c r="K28">
        <v>465.16999999999996</v>
      </c>
      <c r="L28">
        <v>-8.1099999999999568</v>
      </c>
    </row>
    <row r="29" spans="1:12" x14ac:dyDescent="0.3">
      <c r="A29" t="s">
        <v>37</v>
      </c>
      <c r="B29" t="s">
        <v>809</v>
      </c>
      <c r="C29" s="4" t="s">
        <v>959</v>
      </c>
      <c r="D29" t="s">
        <v>1291</v>
      </c>
      <c r="E29" t="s">
        <v>1294</v>
      </c>
      <c r="F29" t="s">
        <v>1333</v>
      </c>
      <c r="G29">
        <v>878.04</v>
      </c>
      <c r="H29">
        <v>1159.96</v>
      </c>
      <c r="I29">
        <v>-173.99</v>
      </c>
      <c r="J29">
        <v>865.19</v>
      </c>
      <c r="K29">
        <v>1333.95</v>
      </c>
      <c r="L29">
        <v>12.849999999999909</v>
      </c>
    </row>
    <row r="30" spans="1:12" x14ac:dyDescent="0.3">
      <c r="A30" t="s">
        <v>38</v>
      </c>
      <c r="B30" t="s">
        <v>805</v>
      </c>
      <c r="C30" s="4" t="s">
        <v>960</v>
      </c>
      <c r="D30" t="s">
        <v>1291</v>
      </c>
      <c r="E30" t="s">
        <v>1295</v>
      </c>
      <c r="F30" t="s">
        <v>1304</v>
      </c>
      <c r="G30">
        <v>637.79999999999995</v>
      </c>
      <c r="H30">
        <v>742.06</v>
      </c>
      <c r="I30">
        <v>-111.31</v>
      </c>
      <c r="J30">
        <v>594.55999999999995</v>
      </c>
      <c r="K30">
        <v>853.36999999999989</v>
      </c>
      <c r="L30">
        <v>43.240000000000009</v>
      </c>
    </row>
    <row r="31" spans="1:12" x14ac:dyDescent="0.3">
      <c r="A31" t="s">
        <v>39</v>
      </c>
      <c r="B31" t="s">
        <v>810</v>
      </c>
      <c r="C31" s="4" t="s">
        <v>961</v>
      </c>
      <c r="D31" t="s">
        <v>1291</v>
      </c>
      <c r="E31" t="s">
        <v>1297</v>
      </c>
      <c r="F31" t="s">
        <v>1331</v>
      </c>
      <c r="G31">
        <v>1133.3699999999999</v>
      </c>
      <c r="H31">
        <v>1372.11</v>
      </c>
      <c r="I31">
        <v>-205.82</v>
      </c>
      <c r="J31">
        <v>1066.43</v>
      </c>
      <c r="K31">
        <v>1577.9299999999998</v>
      </c>
      <c r="L31">
        <v>66.939999999999827</v>
      </c>
    </row>
    <row r="32" spans="1:12" x14ac:dyDescent="0.3">
      <c r="A32" t="s">
        <v>40</v>
      </c>
      <c r="B32" t="s">
        <v>811</v>
      </c>
      <c r="C32" s="4" t="s">
        <v>962</v>
      </c>
      <c r="D32" t="s">
        <v>1291</v>
      </c>
      <c r="E32" t="s">
        <v>1296</v>
      </c>
      <c r="F32" t="s">
        <v>1308</v>
      </c>
      <c r="G32">
        <v>1219.4163333333336</v>
      </c>
      <c r="H32">
        <v>121.8</v>
      </c>
      <c r="I32">
        <v>-18.27</v>
      </c>
      <c r="J32">
        <v>100.37</v>
      </c>
      <c r="K32">
        <v>140.07</v>
      </c>
      <c r="L32">
        <v>1119.0463333333337</v>
      </c>
    </row>
    <row r="33" spans="1:12" x14ac:dyDescent="0.3">
      <c r="A33" t="s">
        <v>41</v>
      </c>
      <c r="B33" t="s">
        <v>812</v>
      </c>
      <c r="C33" s="4" t="s">
        <v>963</v>
      </c>
      <c r="D33" t="s">
        <v>1291</v>
      </c>
      <c r="E33" t="s">
        <v>1299</v>
      </c>
      <c r="F33" t="s">
        <v>1334</v>
      </c>
      <c r="G33">
        <v>1095.26</v>
      </c>
      <c r="H33">
        <v>1274.47</v>
      </c>
      <c r="I33">
        <v>-191.17</v>
      </c>
      <c r="J33">
        <v>1229.27</v>
      </c>
      <c r="K33">
        <v>1465.64</v>
      </c>
      <c r="L33">
        <v>-134.01</v>
      </c>
    </row>
    <row r="34" spans="1:12" x14ac:dyDescent="0.3">
      <c r="A34" t="s">
        <v>42</v>
      </c>
      <c r="B34" t="s">
        <v>803</v>
      </c>
      <c r="C34" s="4" t="s">
        <v>964</v>
      </c>
      <c r="D34" t="s">
        <v>1292</v>
      </c>
      <c r="E34" t="s">
        <v>1297</v>
      </c>
      <c r="F34" t="s">
        <v>1309</v>
      </c>
      <c r="G34">
        <v>686.79</v>
      </c>
      <c r="H34">
        <v>940.71</v>
      </c>
      <c r="I34">
        <v>253.92</v>
      </c>
      <c r="J34">
        <v>820.01</v>
      </c>
      <c r="K34">
        <v>686.79000000000008</v>
      </c>
      <c r="L34">
        <v>-133.22000000000003</v>
      </c>
    </row>
    <row r="35" spans="1:12" x14ac:dyDescent="0.3">
      <c r="A35" t="s">
        <v>43</v>
      </c>
      <c r="B35" t="s">
        <v>813</v>
      </c>
      <c r="C35" s="4" t="s">
        <v>950</v>
      </c>
      <c r="D35" t="s">
        <v>1292</v>
      </c>
      <c r="E35" t="s">
        <v>1298</v>
      </c>
      <c r="F35" t="s">
        <v>1317</v>
      </c>
      <c r="G35">
        <v>189.72</v>
      </c>
      <c r="H35">
        <v>241.89</v>
      </c>
      <c r="I35">
        <v>52.17</v>
      </c>
      <c r="J35">
        <v>188.11</v>
      </c>
      <c r="K35">
        <v>189.71999999999997</v>
      </c>
      <c r="L35">
        <v>1.6099999999999852</v>
      </c>
    </row>
    <row r="36" spans="1:12" x14ac:dyDescent="0.3">
      <c r="A36" t="s">
        <v>44</v>
      </c>
      <c r="B36" t="s">
        <v>814</v>
      </c>
      <c r="C36" s="4" t="s">
        <v>965</v>
      </c>
      <c r="D36" t="s">
        <v>1292</v>
      </c>
      <c r="E36" t="s">
        <v>1295</v>
      </c>
      <c r="F36" t="s">
        <v>1304</v>
      </c>
      <c r="G36">
        <v>103.46</v>
      </c>
      <c r="H36">
        <v>1420.2638235294123</v>
      </c>
      <c r="I36">
        <v>22.01</v>
      </c>
      <c r="J36">
        <v>113.87</v>
      </c>
      <c r="K36">
        <v>1398.2538235294123</v>
      </c>
      <c r="L36">
        <v>-10.410000000000011</v>
      </c>
    </row>
    <row r="37" spans="1:12" x14ac:dyDescent="0.3">
      <c r="A37" t="s">
        <v>45</v>
      </c>
      <c r="B37" t="s">
        <v>815</v>
      </c>
      <c r="C37" s="4" t="s">
        <v>966</v>
      </c>
      <c r="D37" t="s">
        <v>1292</v>
      </c>
      <c r="E37" t="s">
        <v>1299</v>
      </c>
      <c r="F37" t="s">
        <v>1312</v>
      </c>
      <c r="G37">
        <v>1038.3</v>
      </c>
      <c r="H37">
        <v>1300.33</v>
      </c>
      <c r="I37">
        <v>262.02999999999997</v>
      </c>
      <c r="J37">
        <v>1133.24</v>
      </c>
      <c r="K37">
        <v>1038.3</v>
      </c>
      <c r="L37">
        <v>-94.940000000000055</v>
      </c>
    </row>
    <row r="38" spans="1:12" x14ac:dyDescent="0.3">
      <c r="A38" t="s">
        <v>46</v>
      </c>
      <c r="B38" t="s">
        <v>816</v>
      </c>
      <c r="C38" s="4" t="s">
        <v>967</v>
      </c>
      <c r="D38" t="s">
        <v>1291</v>
      </c>
      <c r="E38" t="s">
        <v>1294</v>
      </c>
      <c r="F38" t="s">
        <v>1314</v>
      </c>
      <c r="G38">
        <v>282.83</v>
      </c>
      <c r="H38">
        <v>346.58</v>
      </c>
      <c r="I38">
        <v>-51.99</v>
      </c>
      <c r="J38">
        <v>335.75</v>
      </c>
      <c r="K38">
        <v>398.57</v>
      </c>
      <c r="L38">
        <v>-52.920000000000016</v>
      </c>
    </row>
    <row r="39" spans="1:12" x14ac:dyDescent="0.3">
      <c r="A39" t="s">
        <v>47</v>
      </c>
      <c r="B39" t="s">
        <v>817</v>
      </c>
      <c r="C39" s="4" t="s">
        <v>968</v>
      </c>
      <c r="D39" t="s">
        <v>1292</v>
      </c>
      <c r="E39" t="s">
        <v>1299</v>
      </c>
      <c r="F39" t="s">
        <v>1312</v>
      </c>
      <c r="G39">
        <v>640.4</v>
      </c>
      <c r="H39">
        <v>868.35</v>
      </c>
      <c r="I39">
        <v>227.95</v>
      </c>
      <c r="J39">
        <v>726.25</v>
      </c>
      <c r="K39">
        <v>640.40000000000009</v>
      </c>
      <c r="L39">
        <v>-85.850000000000023</v>
      </c>
    </row>
    <row r="40" spans="1:12" x14ac:dyDescent="0.3">
      <c r="A40" t="s">
        <v>48</v>
      </c>
      <c r="B40" t="s">
        <v>786</v>
      </c>
      <c r="C40" s="4" t="s">
        <v>969</v>
      </c>
      <c r="D40" t="s">
        <v>1292</v>
      </c>
      <c r="E40" t="s">
        <v>1295</v>
      </c>
      <c r="F40" t="s">
        <v>1329</v>
      </c>
      <c r="G40">
        <v>1082.23</v>
      </c>
      <c r="H40">
        <v>1461.75</v>
      </c>
      <c r="I40">
        <v>379.52</v>
      </c>
      <c r="J40">
        <v>1102.7</v>
      </c>
      <c r="K40">
        <v>1082.23</v>
      </c>
      <c r="L40">
        <v>-20.470000000000027</v>
      </c>
    </row>
    <row r="41" spans="1:12" x14ac:dyDescent="0.3">
      <c r="A41" t="s">
        <v>49</v>
      </c>
      <c r="B41" t="s">
        <v>798</v>
      </c>
      <c r="C41" s="4" t="s">
        <v>970</v>
      </c>
      <c r="D41" t="s">
        <v>1291</v>
      </c>
      <c r="E41" t="s">
        <v>1296</v>
      </c>
      <c r="F41" t="s">
        <v>1308</v>
      </c>
      <c r="G41">
        <v>7381.28</v>
      </c>
      <c r="H41">
        <v>9756.2099999999991</v>
      </c>
      <c r="I41">
        <v>-1463.43</v>
      </c>
      <c r="J41">
        <v>7096.85</v>
      </c>
      <c r="K41">
        <v>11219.64</v>
      </c>
      <c r="L41">
        <v>284.42999999999938</v>
      </c>
    </row>
    <row r="42" spans="1:12" x14ac:dyDescent="0.3">
      <c r="A42" t="s">
        <v>50</v>
      </c>
      <c r="B42" t="s">
        <v>818</v>
      </c>
      <c r="C42" s="4" t="s">
        <v>971</v>
      </c>
      <c r="D42" t="s">
        <v>1292</v>
      </c>
      <c r="E42" t="s">
        <v>1293</v>
      </c>
      <c r="F42" t="s">
        <v>1318</v>
      </c>
      <c r="G42">
        <v>612.38</v>
      </c>
      <c r="H42">
        <v>826.06</v>
      </c>
      <c r="I42">
        <v>213.68</v>
      </c>
      <c r="J42">
        <v>668.94</v>
      </c>
      <c r="K42">
        <v>612.37999999999988</v>
      </c>
      <c r="L42">
        <v>-56.560000000000059</v>
      </c>
    </row>
    <row r="43" spans="1:12" x14ac:dyDescent="0.3">
      <c r="A43" t="s">
        <v>51</v>
      </c>
      <c r="B43" t="s">
        <v>819</v>
      </c>
      <c r="C43" s="4" t="s">
        <v>972</v>
      </c>
      <c r="D43" t="s">
        <v>1292</v>
      </c>
      <c r="E43" t="s">
        <v>1298</v>
      </c>
      <c r="F43" t="s">
        <v>1317</v>
      </c>
      <c r="G43">
        <v>602.71</v>
      </c>
      <c r="H43">
        <v>807.39</v>
      </c>
      <c r="I43">
        <v>204.68</v>
      </c>
      <c r="J43">
        <v>657.35</v>
      </c>
      <c r="K43">
        <v>602.71</v>
      </c>
      <c r="L43">
        <v>-54.639999999999986</v>
      </c>
    </row>
    <row r="44" spans="1:12" x14ac:dyDescent="0.3">
      <c r="A44" t="s">
        <v>52</v>
      </c>
      <c r="B44" t="s">
        <v>799</v>
      </c>
      <c r="C44" s="4" t="s">
        <v>973</v>
      </c>
      <c r="D44" t="s">
        <v>1291</v>
      </c>
      <c r="E44" t="s">
        <v>1294</v>
      </c>
      <c r="F44" t="s">
        <v>1314</v>
      </c>
      <c r="G44">
        <v>839.49</v>
      </c>
      <c r="H44">
        <v>1038.4000000000001</v>
      </c>
      <c r="I44">
        <v>-155.76</v>
      </c>
      <c r="J44">
        <v>765.46</v>
      </c>
      <c r="K44">
        <v>1194.1600000000001</v>
      </c>
      <c r="L44">
        <v>74.029999999999973</v>
      </c>
    </row>
    <row r="45" spans="1:12" x14ac:dyDescent="0.3">
      <c r="A45" t="s">
        <v>53</v>
      </c>
      <c r="B45" t="s">
        <v>789</v>
      </c>
      <c r="C45" s="4" t="s">
        <v>974</v>
      </c>
      <c r="D45" t="s">
        <v>1292</v>
      </c>
      <c r="E45" t="s">
        <v>1296</v>
      </c>
      <c r="F45" t="s">
        <v>1330</v>
      </c>
      <c r="G45">
        <v>5226.95</v>
      </c>
      <c r="H45">
        <v>7054.36</v>
      </c>
      <c r="I45">
        <v>1827.41</v>
      </c>
      <c r="J45">
        <v>4977.54</v>
      </c>
      <c r="K45">
        <v>5226.95</v>
      </c>
      <c r="L45">
        <v>249.40999999999985</v>
      </c>
    </row>
    <row r="46" spans="1:12" x14ac:dyDescent="0.3">
      <c r="A46" t="s">
        <v>54</v>
      </c>
      <c r="B46" t="s">
        <v>820</v>
      </c>
      <c r="C46" s="4" t="s">
        <v>975</v>
      </c>
      <c r="D46" t="s">
        <v>1291</v>
      </c>
      <c r="E46" t="s">
        <v>1298</v>
      </c>
      <c r="F46" t="s">
        <v>1310</v>
      </c>
      <c r="G46">
        <v>856.89</v>
      </c>
      <c r="H46">
        <v>1061.83</v>
      </c>
      <c r="I46">
        <v>-159.27000000000001</v>
      </c>
      <c r="J46">
        <v>929.66</v>
      </c>
      <c r="K46">
        <v>1221.0999999999999</v>
      </c>
      <c r="L46">
        <v>-72.769999999999982</v>
      </c>
    </row>
    <row r="47" spans="1:12" x14ac:dyDescent="0.3">
      <c r="A47" t="s">
        <v>55</v>
      </c>
      <c r="B47" t="s">
        <v>821</v>
      </c>
      <c r="C47" s="4" t="s">
        <v>976</v>
      </c>
      <c r="D47" t="s">
        <v>1291</v>
      </c>
      <c r="E47" t="s">
        <v>1294</v>
      </c>
      <c r="F47" t="s">
        <v>1314</v>
      </c>
      <c r="G47">
        <v>187.47</v>
      </c>
      <c r="H47">
        <v>247.07</v>
      </c>
      <c r="I47">
        <v>-37.06</v>
      </c>
      <c r="J47">
        <v>197.85</v>
      </c>
      <c r="K47">
        <v>284.13</v>
      </c>
      <c r="L47">
        <v>-10.379999999999995</v>
      </c>
    </row>
    <row r="48" spans="1:12" x14ac:dyDescent="0.3">
      <c r="A48" t="s">
        <v>56</v>
      </c>
      <c r="B48" t="s">
        <v>822</v>
      </c>
      <c r="C48" s="4" t="s">
        <v>977</v>
      </c>
      <c r="D48" t="s">
        <v>1291</v>
      </c>
      <c r="E48" t="s">
        <v>1294</v>
      </c>
      <c r="F48" t="s">
        <v>1301</v>
      </c>
      <c r="G48">
        <v>406.95</v>
      </c>
      <c r="H48">
        <v>485.37</v>
      </c>
      <c r="I48">
        <v>-72.81</v>
      </c>
      <c r="J48">
        <v>485.2</v>
      </c>
      <c r="K48">
        <v>558.18000000000006</v>
      </c>
      <c r="L48">
        <v>-78.25</v>
      </c>
    </row>
    <row r="49" spans="1:12" x14ac:dyDescent="0.3">
      <c r="A49" t="s">
        <v>57</v>
      </c>
      <c r="B49" t="s">
        <v>823</v>
      </c>
      <c r="C49" s="4" t="s">
        <v>978</v>
      </c>
      <c r="D49" t="s">
        <v>1292</v>
      </c>
      <c r="E49" t="s">
        <v>1294</v>
      </c>
      <c r="F49" t="s">
        <v>1301</v>
      </c>
      <c r="G49">
        <v>300.83</v>
      </c>
      <c r="H49">
        <v>348.51</v>
      </c>
      <c r="I49">
        <v>47.68</v>
      </c>
      <c r="J49">
        <v>271.29000000000002</v>
      </c>
      <c r="K49">
        <v>300.83</v>
      </c>
      <c r="L49">
        <v>29.539999999999964</v>
      </c>
    </row>
    <row r="50" spans="1:12" x14ac:dyDescent="0.3">
      <c r="A50" t="s">
        <v>58</v>
      </c>
      <c r="B50" t="s">
        <v>824</v>
      </c>
      <c r="C50" s="4" t="s">
        <v>979</v>
      </c>
      <c r="D50" t="s">
        <v>1292</v>
      </c>
      <c r="E50" t="s">
        <v>1293</v>
      </c>
      <c r="F50" t="s">
        <v>1318</v>
      </c>
      <c r="G50">
        <v>1139.92</v>
      </c>
      <c r="H50">
        <v>1517.98</v>
      </c>
      <c r="I50">
        <v>378.06</v>
      </c>
      <c r="J50">
        <v>1049.77</v>
      </c>
      <c r="K50">
        <v>1139.92</v>
      </c>
      <c r="L50">
        <v>90.150000000000091</v>
      </c>
    </row>
    <row r="51" spans="1:12" x14ac:dyDescent="0.3">
      <c r="A51" t="s">
        <v>59</v>
      </c>
      <c r="B51" t="s">
        <v>818</v>
      </c>
      <c r="C51" s="4" t="s">
        <v>980</v>
      </c>
      <c r="D51" t="s">
        <v>1291</v>
      </c>
      <c r="E51" t="s">
        <v>1295</v>
      </c>
      <c r="F51" t="s">
        <v>1329</v>
      </c>
      <c r="G51">
        <v>594.03</v>
      </c>
      <c r="H51">
        <v>699.49</v>
      </c>
      <c r="I51">
        <v>-104.92</v>
      </c>
      <c r="J51">
        <v>627.42999999999995</v>
      </c>
      <c r="K51">
        <v>804.41</v>
      </c>
      <c r="L51">
        <v>-33.399999999999977</v>
      </c>
    </row>
    <row r="52" spans="1:12" x14ac:dyDescent="0.3">
      <c r="A52" t="s">
        <v>60</v>
      </c>
      <c r="B52" t="s">
        <v>825</v>
      </c>
      <c r="C52" s="4" t="s">
        <v>981</v>
      </c>
      <c r="D52" t="s">
        <v>1291</v>
      </c>
      <c r="E52" t="s">
        <v>1298</v>
      </c>
      <c r="F52" t="s">
        <v>1317</v>
      </c>
      <c r="G52">
        <v>204.97</v>
      </c>
      <c r="H52">
        <v>250.26</v>
      </c>
      <c r="I52">
        <v>-37.54</v>
      </c>
      <c r="J52">
        <v>237.92</v>
      </c>
      <c r="K52">
        <v>287.8</v>
      </c>
      <c r="L52">
        <v>-32.949999999999989</v>
      </c>
    </row>
    <row r="53" spans="1:12" x14ac:dyDescent="0.3">
      <c r="A53" t="s">
        <v>61</v>
      </c>
      <c r="B53" t="s">
        <v>814</v>
      </c>
      <c r="C53" s="4" t="s">
        <v>956</v>
      </c>
      <c r="D53" t="s">
        <v>1291</v>
      </c>
      <c r="E53" t="s">
        <v>1296</v>
      </c>
      <c r="F53" t="s">
        <v>1308</v>
      </c>
      <c r="G53">
        <v>5922.17</v>
      </c>
      <c r="H53">
        <v>7709.52</v>
      </c>
      <c r="I53">
        <v>-1156.43</v>
      </c>
      <c r="J53">
        <v>6487.1</v>
      </c>
      <c r="K53">
        <v>8865.9500000000007</v>
      </c>
      <c r="L53">
        <v>-564.93000000000029</v>
      </c>
    </row>
    <row r="54" spans="1:12" x14ac:dyDescent="0.3">
      <c r="A54" t="s">
        <v>62</v>
      </c>
      <c r="B54" t="s">
        <v>826</v>
      </c>
      <c r="C54" s="4" t="s">
        <v>982</v>
      </c>
      <c r="D54" t="s">
        <v>1292</v>
      </c>
      <c r="E54" t="s">
        <v>1297</v>
      </c>
      <c r="F54" t="s">
        <v>1319</v>
      </c>
      <c r="G54">
        <v>588.09</v>
      </c>
      <c r="H54">
        <v>783.59</v>
      </c>
      <c r="I54">
        <v>195.5</v>
      </c>
      <c r="J54">
        <v>555.89</v>
      </c>
      <c r="K54">
        <v>588.09</v>
      </c>
      <c r="L54">
        <v>32.200000000000045</v>
      </c>
    </row>
    <row r="55" spans="1:12" x14ac:dyDescent="0.3">
      <c r="A55" t="s">
        <v>63</v>
      </c>
      <c r="B55" t="s">
        <v>825</v>
      </c>
      <c r="C55" s="4" t="s">
        <v>983</v>
      </c>
      <c r="D55" t="s">
        <v>1292</v>
      </c>
      <c r="E55" t="s">
        <v>1298</v>
      </c>
      <c r="F55" t="s">
        <v>1306</v>
      </c>
      <c r="G55">
        <v>499.91</v>
      </c>
      <c r="H55">
        <v>641.9</v>
      </c>
      <c r="I55">
        <v>141.99</v>
      </c>
      <c r="J55">
        <v>518.9</v>
      </c>
      <c r="K55">
        <v>499.90999999999997</v>
      </c>
      <c r="L55">
        <v>-18.989999999999952</v>
      </c>
    </row>
    <row r="56" spans="1:12" x14ac:dyDescent="0.3">
      <c r="A56" t="s">
        <v>64</v>
      </c>
      <c r="B56" t="s">
        <v>814</v>
      </c>
      <c r="C56" s="4" t="s">
        <v>984</v>
      </c>
      <c r="D56" t="s">
        <v>1291</v>
      </c>
      <c r="E56" t="s">
        <v>1299</v>
      </c>
      <c r="F56" t="s">
        <v>1312</v>
      </c>
      <c r="G56">
        <v>808.68</v>
      </c>
      <c r="H56">
        <v>966.99</v>
      </c>
      <c r="I56">
        <v>-145.05000000000001</v>
      </c>
      <c r="J56">
        <v>776.25</v>
      </c>
      <c r="K56">
        <v>1112.04</v>
      </c>
      <c r="L56">
        <v>32.42999999999995</v>
      </c>
    </row>
    <row r="57" spans="1:12" x14ac:dyDescent="0.3">
      <c r="A57" t="s">
        <v>65</v>
      </c>
      <c r="B57" t="s">
        <v>827</v>
      </c>
      <c r="C57" s="4" t="s">
        <v>985</v>
      </c>
      <c r="D57" t="s">
        <v>1292</v>
      </c>
      <c r="E57" t="s">
        <v>1295</v>
      </c>
      <c r="F57" t="s">
        <v>1304</v>
      </c>
      <c r="G57">
        <v>296.45999999999998</v>
      </c>
      <c r="H57">
        <v>347.06</v>
      </c>
      <c r="I57">
        <v>50.6</v>
      </c>
      <c r="J57">
        <v>271.08999999999997</v>
      </c>
      <c r="K57">
        <v>296.45999999999998</v>
      </c>
      <c r="L57">
        <v>25.370000000000005</v>
      </c>
    </row>
    <row r="58" spans="1:12" x14ac:dyDescent="0.3">
      <c r="A58" t="s">
        <v>66</v>
      </c>
      <c r="B58" t="s">
        <v>828</v>
      </c>
      <c r="C58" s="4" t="s">
        <v>986</v>
      </c>
      <c r="D58" t="s">
        <v>1291</v>
      </c>
      <c r="E58" t="s">
        <v>1296</v>
      </c>
      <c r="F58" t="s">
        <v>1308</v>
      </c>
      <c r="G58">
        <v>8220.42</v>
      </c>
      <c r="H58">
        <v>9951.33</v>
      </c>
      <c r="I58">
        <v>-1492.7</v>
      </c>
      <c r="J58">
        <v>8123.23</v>
      </c>
      <c r="K58">
        <v>11444.03</v>
      </c>
      <c r="L58">
        <v>97.190000000000509</v>
      </c>
    </row>
    <row r="59" spans="1:12" x14ac:dyDescent="0.3">
      <c r="A59" t="s">
        <v>67</v>
      </c>
      <c r="B59" t="s">
        <v>829</v>
      </c>
      <c r="C59" s="4" t="s">
        <v>987</v>
      </c>
      <c r="D59" t="s">
        <v>1292</v>
      </c>
      <c r="E59" t="s">
        <v>1298</v>
      </c>
      <c r="F59" t="s">
        <v>1306</v>
      </c>
      <c r="G59">
        <v>158.06</v>
      </c>
      <c r="H59">
        <v>184.47</v>
      </c>
      <c r="I59">
        <v>26.41</v>
      </c>
      <c r="J59">
        <v>183.81</v>
      </c>
      <c r="K59">
        <v>158.06</v>
      </c>
      <c r="L59">
        <v>-25.75</v>
      </c>
    </row>
    <row r="60" spans="1:12" x14ac:dyDescent="0.3">
      <c r="A60" t="s">
        <v>68</v>
      </c>
      <c r="B60" t="s">
        <v>830</v>
      </c>
      <c r="C60" s="4" t="s">
        <v>988</v>
      </c>
      <c r="D60" t="s">
        <v>1292</v>
      </c>
      <c r="E60" t="s">
        <v>1299</v>
      </c>
      <c r="F60" t="s">
        <v>1312</v>
      </c>
      <c r="G60">
        <v>167.65</v>
      </c>
      <c r="H60">
        <v>216.12</v>
      </c>
      <c r="I60">
        <v>48.47</v>
      </c>
      <c r="J60">
        <v>175.86</v>
      </c>
      <c r="K60">
        <v>167.65</v>
      </c>
      <c r="L60">
        <v>-8.210000000000008</v>
      </c>
    </row>
    <row r="61" spans="1:12" x14ac:dyDescent="0.3">
      <c r="A61" t="s">
        <v>69</v>
      </c>
      <c r="B61" t="s">
        <v>831</v>
      </c>
      <c r="C61" s="4" t="s">
        <v>989</v>
      </c>
      <c r="D61" t="s">
        <v>1292</v>
      </c>
      <c r="E61" t="s">
        <v>1299</v>
      </c>
      <c r="F61" t="s">
        <v>1334</v>
      </c>
      <c r="G61">
        <v>699.8</v>
      </c>
      <c r="H61">
        <v>931.41</v>
      </c>
      <c r="I61">
        <v>231.61</v>
      </c>
      <c r="J61">
        <v>679.72</v>
      </c>
      <c r="K61">
        <v>699.8</v>
      </c>
      <c r="L61">
        <v>20.079999999999927</v>
      </c>
    </row>
    <row r="62" spans="1:12" x14ac:dyDescent="0.3">
      <c r="A62" t="s">
        <v>70</v>
      </c>
      <c r="B62" t="s">
        <v>832</v>
      </c>
      <c r="C62" s="4" t="s">
        <v>990</v>
      </c>
      <c r="D62" t="s">
        <v>1291</v>
      </c>
      <c r="E62" t="s">
        <v>1299</v>
      </c>
      <c r="F62" t="s">
        <v>1312</v>
      </c>
      <c r="G62">
        <v>981.8</v>
      </c>
      <c r="H62">
        <v>1177.1300000000001</v>
      </c>
      <c r="I62">
        <v>-176.57</v>
      </c>
      <c r="J62">
        <v>1114.22</v>
      </c>
      <c r="K62">
        <v>1353.7</v>
      </c>
      <c r="L62">
        <v>-132.42000000000007</v>
      </c>
    </row>
    <row r="63" spans="1:12" x14ac:dyDescent="0.3">
      <c r="A63" t="s">
        <v>71</v>
      </c>
      <c r="B63" t="s">
        <v>833</v>
      </c>
      <c r="C63" s="4" t="s">
        <v>991</v>
      </c>
      <c r="D63" t="s">
        <v>1291</v>
      </c>
      <c r="E63" t="s">
        <v>1296</v>
      </c>
      <c r="F63" t="s">
        <v>1330</v>
      </c>
      <c r="G63">
        <v>5950.68</v>
      </c>
      <c r="H63">
        <v>7219.95</v>
      </c>
      <c r="I63">
        <v>-1082.99</v>
      </c>
      <c r="J63">
        <v>5792.42</v>
      </c>
      <c r="K63">
        <v>8302.94</v>
      </c>
      <c r="L63">
        <v>158.26000000000022</v>
      </c>
    </row>
    <row r="64" spans="1:12" x14ac:dyDescent="0.3">
      <c r="A64" t="s">
        <v>72</v>
      </c>
      <c r="B64" t="s">
        <v>834</v>
      </c>
      <c r="C64" s="4" t="s">
        <v>992</v>
      </c>
      <c r="D64" t="s">
        <v>1292</v>
      </c>
      <c r="E64" t="s">
        <v>1294</v>
      </c>
      <c r="F64" t="s">
        <v>1301</v>
      </c>
      <c r="G64">
        <v>910.02</v>
      </c>
      <c r="H64">
        <v>1166.1500000000001</v>
      </c>
      <c r="I64">
        <v>256.13</v>
      </c>
      <c r="J64">
        <v>1032.0899999999999</v>
      </c>
      <c r="K64">
        <v>910.0200000000001</v>
      </c>
      <c r="L64">
        <v>-122.06999999999994</v>
      </c>
    </row>
    <row r="65" spans="1:12" x14ac:dyDescent="0.3">
      <c r="A65" t="s">
        <v>73</v>
      </c>
      <c r="B65" t="s">
        <v>835</v>
      </c>
      <c r="C65" s="4" t="s">
        <v>993</v>
      </c>
      <c r="D65" t="s">
        <v>1291</v>
      </c>
      <c r="E65" t="s">
        <v>1295</v>
      </c>
      <c r="F65" t="s">
        <v>1313</v>
      </c>
      <c r="G65">
        <v>1138.1400000000001</v>
      </c>
      <c r="H65">
        <v>1508.39</v>
      </c>
      <c r="I65">
        <v>-226.26</v>
      </c>
      <c r="J65">
        <v>1340.26</v>
      </c>
      <c r="K65">
        <v>1734.65</v>
      </c>
      <c r="L65">
        <v>-202.11999999999989</v>
      </c>
    </row>
    <row r="66" spans="1:12" x14ac:dyDescent="0.3">
      <c r="A66" t="s">
        <v>74</v>
      </c>
      <c r="B66" t="s">
        <v>836</v>
      </c>
      <c r="C66" s="4" t="s">
        <v>994</v>
      </c>
      <c r="D66" t="s">
        <v>1291</v>
      </c>
      <c r="E66" t="s">
        <v>1296</v>
      </c>
      <c r="F66" t="s">
        <v>1308</v>
      </c>
      <c r="G66">
        <v>7654.98</v>
      </c>
      <c r="H66">
        <v>9831.4699999999993</v>
      </c>
      <c r="I66">
        <v>-1474.72</v>
      </c>
      <c r="J66">
        <v>8743.2199999999993</v>
      </c>
      <c r="K66">
        <v>11306.189999999999</v>
      </c>
      <c r="L66">
        <v>-1088.2399999999998</v>
      </c>
    </row>
    <row r="67" spans="1:12" x14ac:dyDescent="0.3">
      <c r="A67" t="s">
        <v>75</v>
      </c>
      <c r="B67" t="s">
        <v>837</v>
      </c>
      <c r="C67" s="4" t="s">
        <v>941</v>
      </c>
      <c r="D67" t="s">
        <v>1292</v>
      </c>
      <c r="E67" t="s">
        <v>1298</v>
      </c>
      <c r="F67" t="s">
        <v>1317</v>
      </c>
      <c r="G67">
        <v>694.02</v>
      </c>
      <c r="H67">
        <v>967.83</v>
      </c>
      <c r="I67">
        <v>273.81</v>
      </c>
      <c r="J67">
        <v>625.45000000000005</v>
      </c>
      <c r="K67">
        <v>694.02</v>
      </c>
      <c r="L67">
        <v>68.569999999999936</v>
      </c>
    </row>
    <row r="68" spans="1:12" x14ac:dyDescent="0.3">
      <c r="A68" t="s">
        <v>76</v>
      </c>
      <c r="B68" t="s">
        <v>823</v>
      </c>
      <c r="C68" s="4" t="s">
        <v>995</v>
      </c>
      <c r="D68" t="s">
        <v>1291</v>
      </c>
      <c r="E68" t="s">
        <v>1294</v>
      </c>
      <c r="F68" t="s">
        <v>1333</v>
      </c>
      <c r="G68">
        <v>1171.03</v>
      </c>
      <c r="H68">
        <v>1490.89</v>
      </c>
      <c r="I68">
        <v>-223.63</v>
      </c>
      <c r="J68">
        <v>1133.21</v>
      </c>
      <c r="K68">
        <v>1714.52</v>
      </c>
      <c r="L68">
        <v>37.819999999999936</v>
      </c>
    </row>
    <row r="69" spans="1:12" x14ac:dyDescent="0.3">
      <c r="A69" t="s">
        <v>77</v>
      </c>
      <c r="B69" t="s">
        <v>838</v>
      </c>
      <c r="C69" s="4" t="s">
        <v>996</v>
      </c>
      <c r="D69" t="s">
        <v>1291</v>
      </c>
      <c r="E69" t="s">
        <v>1299</v>
      </c>
      <c r="F69" t="s">
        <v>1311</v>
      </c>
      <c r="G69">
        <v>839.82</v>
      </c>
      <c r="H69">
        <v>1098.96</v>
      </c>
      <c r="I69">
        <v>-44.182985074626863</v>
      </c>
      <c r="J69">
        <v>929.12</v>
      </c>
      <c r="K69">
        <v>1143.1429850746269</v>
      </c>
      <c r="L69">
        <v>-89.299999999999955</v>
      </c>
    </row>
    <row r="70" spans="1:12" x14ac:dyDescent="0.3">
      <c r="A70" t="s">
        <v>78</v>
      </c>
      <c r="B70" t="s">
        <v>838</v>
      </c>
      <c r="C70" s="4" t="s">
        <v>997</v>
      </c>
      <c r="D70" t="s">
        <v>1292</v>
      </c>
      <c r="E70" t="s">
        <v>1295</v>
      </c>
      <c r="F70" t="s">
        <v>1304</v>
      </c>
      <c r="G70">
        <v>617.58000000000004</v>
      </c>
      <c r="H70">
        <v>835.1</v>
      </c>
      <c r="I70">
        <v>217.52</v>
      </c>
      <c r="J70">
        <v>573.22</v>
      </c>
      <c r="K70">
        <v>617.58000000000004</v>
      </c>
      <c r="L70">
        <v>44.360000000000014</v>
      </c>
    </row>
    <row r="71" spans="1:12" x14ac:dyDescent="0.3">
      <c r="A71" t="s">
        <v>79</v>
      </c>
      <c r="B71" t="s">
        <v>833</v>
      </c>
      <c r="C71" s="4" t="s">
        <v>939</v>
      </c>
      <c r="D71" t="s">
        <v>1291</v>
      </c>
      <c r="E71" t="s">
        <v>1299</v>
      </c>
      <c r="F71" t="s">
        <v>1312</v>
      </c>
      <c r="G71">
        <v>171.76</v>
      </c>
      <c r="H71">
        <v>236.98</v>
      </c>
      <c r="I71">
        <v>-35.549999999999997</v>
      </c>
      <c r="J71">
        <v>185.16</v>
      </c>
      <c r="K71">
        <v>272.52999999999997</v>
      </c>
      <c r="L71">
        <v>-13.400000000000006</v>
      </c>
    </row>
    <row r="72" spans="1:12" x14ac:dyDescent="0.3">
      <c r="A72" t="s">
        <v>80</v>
      </c>
      <c r="B72" t="s">
        <v>790</v>
      </c>
      <c r="C72" s="4" t="s">
        <v>998</v>
      </c>
      <c r="D72" t="s">
        <v>1291</v>
      </c>
      <c r="E72" t="s">
        <v>1299</v>
      </c>
      <c r="F72" t="s">
        <v>1334</v>
      </c>
      <c r="G72">
        <v>378.35</v>
      </c>
      <c r="H72">
        <v>484.23</v>
      </c>
      <c r="I72">
        <v>-72.63</v>
      </c>
      <c r="J72">
        <v>353.95</v>
      </c>
      <c r="K72">
        <v>556.86</v>
      </c>
      <c r="L72">
        <v>24.400000000000034</v>
      </c>
    </row>
    <row r="73" spans="1:12" x14ac:dyDescent="0.3">
      <c r="A73" t="s">
        <v>81</v>
      </c>
      <c r="B73" t="s">
        <v>839</v>
      </c>
      <c r="C73" s="4" t="s">
        <v>999</v>
      </c>
      <c r="D73" t="s">
        <v>1292</v>
      </c>
      <c r="E73" t="s">
        <v>1298</v>
      </c>
      <c r="F73" t="s">
        <v>1317</v>
      </c>
      <c r="G73">
        <v>1027.06</v>
      </c>
      <c r="H73">
        <v>1263.48</v>
      </c>
      <c r="I73">
        <v>236.42</v>
      </c>
      <c r="J73">
        <v>1039.8800000000001</v>
      </c>
      <c r="K73">
        <v>1027.06</v>
      </c>
      <c r="L73">
        <v>-12.820000000000164</v>
      </c>
    </row>
    <row r="74" spans="1:12" x14ac:dyDescent="0.3">
      <c r="A74" t="s">
        <v>82</v>
      </c>
      <c r="B74" t="s">
        <v>840</v>
      </c>
      <c r="C74" s="4" t="s">
        <v>947</v>
      </c>
      <c r="D74" t="s">
        <v>1291</v>
      </c>
      <c r="E74" t="s">
        <v>1297</v>
      </c>
      <c r="F74" t="s">
        <v>1309</v>
      </c>
      <c r="G74">
        <v>1162.17</v>
      </c>
      <c r="H74">
        <v>1459.38</v>
      </c>
      <c r="I74">
        <v>-218.91</v>
      </c>
      <c r="J74">
        <v>1173.9000000000001</v>
      </c>
      <c r="K74">
        <v>1678.2900000000002</v>
      </c>
      <c r="L74">
        <v>-11.730000000000018</v>
      </c>
    </row>
    <row r="75" spans="1:12" x14ac:dyDescent="0.3">
      <c r="A75" t="s">
        <v>83</v>
      </c>
      <c r="B75" t="s">
        <v>841</v>
      </c>
      <c r="C75" s="4" t="s">
        <v>1000</v>
      </c>
      <c r="D75" t="s">
        <v>1291</v>
      </c>
      <c r="E75" t="s">
        <v>1296</v>
      </c>
      <c r="F75" t="s">
        <v>1308</v>
      </c>
      <c r="G75">
        <v>4397.12</v>
      </c>
      <c r="H75">
        <v>5162.83</v>
      </c>
      <c r="I75">
        <v>-774.42</v>
      </c>
      <c r="J75">
        <v>4591.32</v>
      </c>
      <c r="K75">
        <v>5937.25</v>
      </c>
      <c r="L75">
        <v>-194.19999999999982</v>
      </c>
    </row>
    <row r="76" spans="1:12" x14ac:dyDescent="0.3">
      <c r="A76" t="s">
        <v>84</v>
      </c>
      <c r="B76" t="s">
        <v>842</v>
      </c>
      <c r="C76" s="4" t="s">
        <v>1001</v>
      </c>
      <c r="D76" t="s">
        <v>1292</v>
      </c>
      <c r="E76" t="s">
        <v>1295</v>
      </c>
      <c r="F76" t="s">
        <v>1313</v>
      </c>
      <c r="G76">
        <v>602.55999999999995</v>
      </c>
      <c r="H76">
        <v>825.13</v>
      </c>
      <c r="I76">
        <v>222.57</v>
      </c>
      <c r="J76">
        <v>588.21</v>
      </c>
      <c r="K76">
        <v>602.55999999999995</v>
      </c>
      <c r="L76">
        <v>14.349999999999909</v>
      </c>
    </row>
    <row r="77" spans="1:12" x14ac:dyDescent="0.3">
      <c r="A77" t="s">
        <v>85</v>
      </c>
      <c r="B77" t="s">
        <v>843</v>
      </c>
      <c r="C77" s="4" t="s">
        <v>1002</v>
      </c>
      <c r="D77" t="s">
        <v>1292</v>
      </c>
      <c r="E77" t="s">
        <v>1297</v>
      </c>
      <c r="F77" t="s">
        <v>1309</v>
      </c>
      <c r="G77">
        <v>600.04999999999995</v>
      </c>
      <c r="H77">
        <v>814.45</v>
      </c>
      <c r="I77">
        <v>214.4</v>
      </c>
      <c r="J77">
        <v>716.7</v>
      </c>
      <c r="K77">
        <v>600.05000000000007</v>
      </c>
      <c r="L77">
        <v>-116.65000000000009</v>
      </c>
    </row>
    <row r="78" spans="1:12" x14ac:dyDescent="0.3">
      <c r="A78" t="s">
        <v>86</v>
      </c>
      <c r="B78" t="s">
        <v>833</v>
      </c>
      <c r="C78" s="4" t="s">
        <v>1003</v>
      </c>
      <c r="D78" t="s">
        <v>1292</v>
      </c>
      <c r="E78" t="s">
        <v>1299</v>
      </c>
      <c r="F78" t="s">
        <v>1312</v>
      </c>
      <c r="G78">
        <v>216.63</v>
      </c>
      <c r="H78">
        <v>287.18</v>
      </c>
      <c r="I78">
        <v>70.55</v>
      </c>
      <c r="J78">
        <v>230.03</v>
      </c>
      <c r="K78">
        <v>216.63</v>
      </c>
      <c r="L78">
        <v>-13.400000000000006</v>
      </c>
    </row>
    <row r="79" spans="1:12" x14ac:dyDescent="0.3">
      <c r="A79" t="s">
        <v>87</v>
      </c>
      <c r="B79" t="s">
        <v>844</v>
      </c>
      <c r="C79" s="4" t="s">
        <v>1004</v>
      </c>
      <c r="D79" t="s">
        <v>1291</v>
      </c>
      <c r="E79" t="s">
        <v>1299</v>
      </c>
      <c r="F79" t="s">
        <v>1312</v>
      </c>
      <c r="G79">
        <v>501.53</v>
      </c>
      <c r="H79">
        <v>653.67999999999995</v>
      </c>
      <c r="I79">
        <v>-98.05</v>
      </c>
      <c r="J79">
        <v>594.04</v>
      </c>
      <c r="K79">
        <v>751.7299999999999</v>
      </c>
      <c r="L79">
        <v>-92.509999999999991</v>
      </c>
    </row>
    <row r="80" spans="1:12" x14ac:dyDescent="0.3">
      <c r="A80" t="s">
        <v>88</v>
      </c>
      <c r="B80" t="s">
        <v>833</v>
      </c>
      <c r="C80" s="4" t="s">
        <v>1005</v>
      </c>
      <c r="D80" t="s">
        <v>1291</v>
      </c>
      <c r="E80" t="s">
        <v>1298</v>
      </c>
      <c r="F80" t="s">
        <v>1317</v>
      </c>
      <c r="G80">
        <v>212.62</v>
      </c>
      <c r="H80">
        <v>283.29000000000002</v>
      </c>
      <c r="I80">
        <v>-42.49</v>
      </c>
      <c r="J80">
        <v>249.41</v>
      </c>
      <c r="K80">
        <v>325.78000000000003</v>
      </c>
      <c r="L80">
        <v>-36.789999999999992</v>
      </c>
    </row>
    <row r="81" spans="1:12" x14ac:dyDescent="0.3">
      <c r="A81" t="s">
        <v>89</v>
      </c>
      <c r="B81" t="s">
        <v>845</v>
      </c>
      <c r="C81" s="4" t="s">
        <v>1006</v>
      </c>
      <c r="D81" t="s">
        <v>1292</v>
      </c>
      <c r="E81" t="s">
        <v>1298</v>
      </c>
      <c r="F81" t="s">
        <v>1310</v>
      </c>
      <c r="G81">
        <v>509.28</v>
      </c>
      <c r="H81">
        <v>637.9</v>
      </c>
      <c r="I81">
        <v>128.62</v>
      </c>
      <c r="J81">
        <v>469.11</v>
      </c>
      <c r="K81">
        <v>509.28</v>
      </c>
      <c r="L81">
        <v>40.169999999999959</v>
      </c>
    </row>
    <row r="82" spans="1:12" x14ac:dyDescent="0.3">
      <c r="A82" t="s">
        <v>90</v>
      </c>
      <c r="B82" t="s">
        <v>807</v>
      </c>
      <c r="C82" s="4" t="s">
        <v>961</v>
      </c>
      <c r="D82" t="s">
        <v>1291</v>
      </c>
      <c r="E82" t="s">
        <v>1294</v>
      </c>
      <c r="F82" t="s">
        <v>1333</v>
      </c>
      <c r="G82">
        <v>1178.42</v>
      </c>
      <c r="H82">
        <v>1363.1</v>
      </c>
      <c r="I82">
        <v>-204.46</v>
      </c>
      <c r="J82">
        <v>1140.98</v>
      </c>
      <c r="K82">
        <v>1567.56</v>
      </c>
      <c r="L82">
        <v>37.440000000000055</v>
      </c>
    </row>
    <row r="83" spans="1:12" x14ac:dyDescent="0.3">
      <c r="A83" t="s">
        <v>91</v>
      </c>
      <c r="B83" t="s">
        <v>846</v>
      </c>
      <c r="C83" s="4" t="s">
        <v>1007</v>
      </c>
      <c r="D83" t="s">
        <v>1292</v>
      </c>
      <c r="E83" t="s">
        <v>1297</v>
      </c>
      <c r="F83" t="s">
        <v>1309</v>
      </c>
      <c r="G83">
        <v>1083.47</v>
      </c>
      <c r="H83">
        <v>1381.74</v>
      </c>
      <c r="I83">
        <v>298.27</v>
      </c>
      <c r="J83">
        <v>1130.3599999999999</v>
      </c>
      <c r="K83">
        <v>1083.47</v>
      </c>
      <c r="L83">
        <v>-46.889999999999873</v>
      </c>
    </row>
    <row r="84" spans="1:12" x14ac:dyDescent="0.3">
      <c r="A84" t="s">
        <v>92</v>
      </c>
      <c r="B84" t="s">
        <v>806</v>
      </c>
      <c r="C84" s="4" t="s">
        <v>1008</v>
      </c>
      <c r="D84" t="s">
        <v>1292</v>
      </c>
      <c r="E84" t="s">
        <v>1295</v>
      </c>
      <c r="F84" t="s">
        <v>1329</v>
      </c>
      <c r="G84">
        <v>68.66</v>
      </c>
      <c r="H84">
        <v>85.02</v>
      </c>
      <c r="I84">
        <v>16.36</v>
      </c>
      <c r="J84">
        <v>69.25</v>
      </c>
      <c r="K84">
        <v>68.66</v>
      </c>
      <c r="L84">
        <v>-0.59000000000000341</v>
      </c>
    </row>
    <row r="85" spans="1:12" x14ac:dyDescent="0.3">
      <c r="A85" t="s">
        <v>93</v>
      </c>
      <c r="B85" t="s">
        <v>847</v>
      </c>
      <c r="C85" s="4" t="s">
        <v>1009</v>
      </c>
      <c r="D85" t="s">
        <v>1292</v>
      </c>
      <c r="E85" t="s">
        <v>1295</v>
      </c>
      <c r="F85" t="s">
        <v>1313</v>
      </c>
      <c r="G85">
        <v>504.94</v>
      </c>
      <c r="H85">
        <v>582.02</v>
      </c>
      <c r="I85">
        <v>77.08</v>
      </c>
      <c r="J85">
        <v>595.73</v>
      </c>
      <c r="K85">
        <v>504.94</v>
      </c>
      <c r="L85">
        <v>-90.79000000000002</v>
      </c>
    </row>
    <row r="86" spans="1:12" x14ac:dyDescent="0.3">
      <c r="A86" t="s">
        <v>94</v>
      </c>
      <c r="B86" t="s">
        <v>848</v>
      </c>
      <c r="C86" s="4" t="s">
        <v>988</v>
      </c>
      <c r="D86" t="s">
        <v>1291</v>
      </c>
      <c r="E86" t="s">
        <v>1299</v>
      </c>
      <c r="F86" t="s">
        <v>1334</v>
      </c>
      <c r="G86">
        <v>643.58000000000004</v>
      </c>
      <c r="H86">
        <v>831.12</v>
      </c>
      <c r="I86">
        <v>-124.67</v>
      </c>
      <c r="J86">
        <v>661.41</v>
      </c>
      <c r="K86">
        <v>955.79</v>
      </c>
      <c r="L86">
        <v>-17.829999999999927</v>
      </c>
    </row>
    <row r="87" spans="1:12" x14ac:dyDescent="0.3">
      <c r="A87" t="s">
        <v>95</v>
      </c>
      <c r="B87" t="s">
        <v>849</v>
      </c>
      <c r="C87" s="4" t="s">
        <v>1010</v>
      </c>
      <c r="D87" t="s">
        <v>1292</v>
      </c>
      <c r="E87" t="s">
        <v>1296</v>
      </c>
      <c r="F87" t="s">
        <v>1308</v>
      </c>
      <c r="G87">
        <v>7836.93</v>
      </c>
      <c r="H87">
        <v>10463.299999999999</v>
      </c>
      <c r="I87">
        <v>2626.37</v>
      </c>
      <c r="J87">
        <v>7901.05</v>
      </c>
      <c r="K87">
        <v>7836.9299999999994</v>
      </c>
      <c r="L87">
        <v>-64.119999999999891</v>
      </c>
    </row>
    <row r="88" spans="1:12" x14ac:dyDescent="0.3">
      <c r="A88" t="s">
        <v>96</v>
      </c>
      <c r="B88" t="s">
        <v>793</v>
      </c>
      <c r="C88" s="4" t="s">
        <v>955</v>
      </c>
      <c r="D88" t="s">
        <v>1291</v>
      </c>
      <c r="E88" t="s">
        <v>1298</v>
      </c>
      <c r="F88" t="s">
        <v>1310</v>
      </c>
      <c r="G88">
        <v>988.89</v>
      </c>
      <c r="H88">
        <v>1163.1500000000001</v>
      </c>
      <c r="I88">
        <v>-174.47</v>
      </c>
      <c r="J88">
        <v>1107.17</v>
      </c>
      <c r="K88">
        <v>1337.6200000000001</v>
      </c>
      <c r="L88">
        <v>-118.28000000000009</v>
      </c>
    </row>
    <row r="89" spans="1:12" x14ac:dyDescent="0.3">
      <c r="A89" t="s">
        <v>97</v>
      </c>
      <c r="B89" t="s">
        <v>804</v>
      </c>
      <c r="C89" s="4" t="s">
        <v>1003</v>
      </c>
      <c r="D89" t="s">
        <v>1291</v>
      </c>
      <c r="E89" t="s">
        <v>1298</v>
      </c>
      <c r="F89" t="s">
        <v>1310</v>
      </c>
      <c r="G89">
        <v>1118.08</v>
      </c>
      <c r="H89">
        <v>1304.02</v>
      </c>
      <c r="I89">
        <v>-195.6</v>
      </c>
      <c r="J89">
        <v>1032.93</v>
      </c>
      <c r="K89">
        <v>1499.62</v>
      </c>
      <c r="L89">
        <v>85.149999999999864</v>
      </c>
    </row>
    <row r="90" spans="1:12" x14ac:dyDescent="0.3">
      <c r="A90" t="s">
        <v>98</v>
      </c>
      <c r="B90" t="s">
        <v>850</v>
      </c>
      <c r="C90" s="4" t="s">
        <v>1011</v>
      </c>
      <c r="D90" t="s">
        <v>1291</v>
      </c>
      <c r="E90" t="s">
        <v>1297</v>
      </c>
      <c r="F90" t="s">
        <v>1319</v>
      </c>
      <c r="G90">
        <v>667.25</v>
      </c>
      <c r="H90">
        <v>887.17</v>
      </c>
      <c r="I90">
        <v>-133.08000000000001</v>
      </c>
      <c r="J90">
        <v>748.3</v>
      </c>
      <c r="K90">
        <v>1020.25</v>
      </c>
      <c r="L90">
        <v>-81.049999999999955</v>
      </c>
    </row>
    <row r="91" spans="1:12" x14ac:dyDescent="0.3">
      <c r="A91" t="s">
        <v>99</v>
      </c>
      <c r="B91" t="s">
        <v>787</v>
      </c>
      <c r="C91" s="4" t="s">
        <v>1012</v>
      </c>
      <c r="D91" t="s">
        <v>1292</v>
      </c>
      <c r="E91" t="s">
        <v>1297</v>
      </c>
      <c r="F91" t="s">
        <v>1309</v>
      </c>
      <c r="G91">
        <v>524.34</v>
      </c>
      <c r="H91">
        <v>604.51</v>
      </c>
      <c r="I91">
        <v>80.17</v>
      </c>
      <c r="J91">
        <v>556.99</v>
      </c>
      <c r="K91">
        <v>524.34</v>
      </c>
      <c r="L91">
        <v>-32.649999999999977</v>
      </c>
    </row>
    <row r="92" spans="1:12" x14ac:dyDescent="0.3">
      <c r="A92" t="s">
        <v>100</v>
      </c>
      <c r="B92" t="s">
        <v>828</v>
      </c>
      <c r="C92" s="4" t="s">
        <v>1013</v>
      </c>
      <c r="D92" t="s">
        <v>1292</v>
      </c>
      <c r="E92" t="s">
        <v>1298</v>
      </c>
      <c r="F92" t="s">
        <v>1310</v>
      </c>
      <c r="G92">
        <v>138.19</v>
      </c>
      <c r="H92">
        <v>172.88</v>
      </c>
      <c r="I92">
        <v>34.69</v>
      </c>
      <c r="J92">
        <v>124.86</v>
      </c>
      <c r="K92">
        <v>138.19</v>
      </c>
      <c r="L92">
        <v>13.329999999999998</v>
      </c>
    </row>
    <row r="93" spans="1:12" x14ac:dyDescent="0.3">
      <c r="A93" t="s">
        <v>101</v>
      </c>
      <c r="B93" t="s">
        <v>828</v>
      </c>
      <c r="C93" s="4" t="s">
        <v>1014</v>
      </c>
      <c r="D93" t="s">
        <v>1291</v>
      </c>
      <c r="E93" t="s">
        <v>1296</v>
      </c>
      <c r="F93" t="s">
        <v>1308</v>
      </c>
      <c r="G93">
        <v>7077.71</v>
      </c>
      <c r="H93">
        <v>9339.86</v>
      </c>
      <c r="I93">
        <v>-1400.98</v>
      </c>
      <c r="J93">
        <v>6915.55</v>
      </c>
      <c r="K93">
        <v>10740.84</v>
      </c>
      <c r="L93">
        <v>162.15999999999985</v>
      </c>
    </row>
    <row r="94" spans="1:12" x14ac:dyDescent="0.3">
      <c r="A94" t="s">
        <v>102</v>
      </c>
      <c r="B94" t="s">
        <v>813</v>
      </c>
      <c r="C94" s="4" t="s">
        <v>1015</v>
      </c>
      <c r="D94" t="s">
        <v>1291</v>
      </c>
      <c r="E94" t="s">
        <v>1294</v>
      </c>
      <c r="F94" t="s">
        <v>1314</v>
      </c>
      <c r="G94">
        <v>877.02</v>
      </c>
      <c r="H94">
        <v>1072.52</v>
      </c>
      <c r="I94">
        <v>-160.88</v>
      </c>
      <c r="J94">
        <v>954.45</v>
      </c>
      <c r="K94">
        <v>1233.4000000000001</v>
      </c>
      <c r="L94">
        <v>-77.430000000000064</v>
      </c>
    </row>
    <row r="95" spans="1:12" x14ac:dyDescent="0.3">
      <c r="A95" t="s">
        <v>103</v>
      </c>
      <c r="B95" t="s">
        <v>839</v>
      </c>
      <c r="C95" s="4" t="s">
        <v>1016</v>
      </c>
      <c r="D95" t="s">
        <v>1291</v>
      </c>
      <c r="E95" t="s">
        <v>1298</v>
      </c>
      <c r="F95" t="s">
        <v>1306</v>
      </c>
      <c r="G95">
        <v>17.399999999999999</v>
      </c>
      <c r="H95">
        <v>21.29</v>
      </c>
      <c r="I95">
        <v>-3.19</v>
      </c>
      <c r="J95">
        <v>18.47</v>
      </c>
      <c r="K95">
        <v>24.48</v>
      </c>
      <c r="L95">
        <v>-1.0700000000000003</v>
      </c>
    </row>
    <row r="96" spans="1:12" x14ac:dyDescent="0.3">
      <c r="A96" t="s">
        <v>104</v>
      </c>
      <c r="B96" t="s">
        <v>802</v>
      </c>
      <c r="C96" s="4" t="s">
        <v>1017</v>
      </c>
      <c r="D96" t="s">
        <v>1291</v>
      </c>
      <c r="E96" t="s">
        <v>1294</v>
      </c>
      <c r="F96" t="s">
        <v>1314</v>
      </c>
      <c r="G96">
        <v>22.11</v>
      </c>
      <c r="H96">
        <v>29.11</v>
      </c>
      <c r="I96">
        <v>-4.37</v>
      </c>
      <c r="J96">
        <v>25.89</v>
      </c>
      <c r="K96">
        <v>33.479999999999997</v>
      </c>
      <c r="L96">
        <v>-3.7800000000000011</v>
      </c>
    </row>
    <row r="97" spans="1:12" x14ac:dyDescent="0.3">
      <c r="A97" t="s">
        <v>105</v>
      </c>
      <c r="B97" t="s">
        <v>817</v>
      </c>
      <c r="C97" s="4" t="s">
        <v>1018</v>
      </c>
      <c r="D97" t="s">
        <v>1291</v>
      </c>
      <c r="E97" t="s">
        <v>1294</v>
      </c>
      <c r="F97" t="s">
        <v>1301</v>
      </c>
      <c r="G97">
        <v>836.38</v>
      </c>
      <c r="H97">
        <v>1059.04</v>
      </c>
      <c r="I97">
        <v>-158.86000000000001</v>
      </c>
      <c r="J97">
        <v>1003.13</v>
      </c>
      <c r="K97">
        <v>1217.9000000000001</v>
      </c>
      <c r="L97">
        <v>-166.75</v>
      </c>
    </row>
    <row r="98" spans="1:12" x14ac:dyDescent="0.3">
      <c r="A98" t="s">
        <v>106</v>
      </c>
      <c r="B98" t="s">
        <v>851</v>
      </c>
      <c r="C98" s="4" t="s">
        <v>1019</v>
      </c>
      <c r="D98" t="s">
        <v>1291</v>
      </c>
      <c r="E98" t="s">
        <v>1294</v>
      </c>
      <c r="F98" t="s">
        <v>1314</v>
      </c>
      <c r="G98">
        <v>191.06</v>
      </c>
      <c r="H98">
        <v>219.87</v>
      </c>
      <c r="I98">
        <v>-32.979999999999997</v>
      </c>
      <c r="J98">
        <v>199.5</v>
      </c>
      <c r="K98">
        <v>252.85</v>
      </c>
      <c r="L98">
        <v>-8.4399999999999977</v>
      </c>
    </row>
    <row r="99" spans="1:12" x14ac:dyDescent="0.3">
      <c r="A99" t="s">
        <v>107</v>
      </c>
      <c r="B99" t="s">
        <v>819</v>
      </c>
      <c r="C99" s="4" t="s">
        <v>1020</v>
      </c>
      <c r="D99" t="s">
        <v>1291</v>
      </c>
      <c r="E99" t="s">
        <v>1294</v>
      </c>
      <c r="F99" t="s">
        <v>1301</v>
      </c>
      <c r="G99">
        <v>36.090000000000003</v>
      </c>
      <c r="H99">
        <v>42.9</v>
      </c>
      <c r="I99">
        <v>-6.43</v>
      </c>
      <c r="J99">
        <v>40.270000000000003</v>
      </c>
      <c r="K99">
        <v>49.33</v>
      </c>
      <c r="L99">
        <v>-4.18</v>
      </c>
    </row>
    <row r="100" spans="1:12" x14ac:dyDescent="0.3">
      <c r="A100" t="s">
        <v>108</v>
      </c>
      <c r="B100" t="s">
        <v>841</v>
      </c>
      <c r="C100" s="4" t="s">
        <v>1021</v>
      </c>
      <c r="D100" t="s">
        <v>1292</v>
      </c>
      <c r="E100" t="s">
        <v>1298</v>
      </c>
      <c r="F100" t="s">
        <v>1306</v>
      </c>
      <c r="G100">
        <v>318.33</v>
      </c>
      <c r="H100">
        <v>385.21</v>
      </c>
      <c r="I100">
        <v>66.88</v>
      </c>
      <c r="J100">
        <v>369.8</v>
      </c>
      <c r="K100">
        <v>318.33</v>
      </c>
      <c r="L100">
        <v>-51.470000000000027</v>
      </c>
    </row>
    <row r="101" spans="1:12" x14ac:dyDescent="0.3">
      <c r="A101" t="s">
        <v>109</v>
      </c>
      <c r="B101" t="s">
        <v>852</v>
      </c>
      <c r="C101" s="4" t="s">
        <v>1022</v>
      </c>
      <c r="D101" t="s">
        <v>1291</v>
      </c>
      <c r="E101" t="s">
        <v>1299</v>
      </c>
      <c r="F101" t="s">
        <v>1311</v>
      </c>
      <c r="G101">
        <v>972.48</v>
      </c>
      <c r="H101">
        <v>1151.8800000000001</v>
      </c>
      <c r="I101">
        <v>-172.78</v>
      </c>
      <c r="J101">
        <v>1139.21</v>
      </c>
      <c r="K101">
        <v>1324.66</v>
      </c>
      <c r="L101">
        <v>-166.73000000000002</v>
      </c>
    </row>
    <row r="102" spans="1:12" x14ac:dyDescent="0.3">
      <c r="A102" t="s">
        <v>110</v>
      </c>
      <c r="B102" t="s">
        <v>853</v>
      </c>
      <c r="C102" s="4" t="s">
        <v>1023</v>
      </c>
      <c r="D102" t="s">
        <v>1292</v>
      </c>
      <c r="E102" t="s">
        <v>1298</v>
      </c>
      <c r="F102" t="s">
        <v>1317</v>
      </c>
      <c r="G102">
        <v>775.78</v>
      </c>
      <c r="H102">
        <v>1073.77</v>
      </c>
      <c r="I102">
        <v>297.99</v>
      </c>
      <c r="J102">
        <v>762.83</v>
      </c>
      <c r="K102">
        <v>775.78</v>
      </c>
      <c r="L102">
        <v>12.949999999999932</v>
      </c>
    </row>
    <row r="103" spans="1:12" x14ac:dyDescent="0.3">
      <c r="A103" t="s">
        <v>111</v>
      </c>
      <c r="B103" t="s">
        <v>854</v>
      </c>
      <c r="C103" s="4" t="s">
        <v>1024</v>
      </c>
      <c r="D103" t="s">
        <v>1291</v>
      </c>
      <c r="E103" t="s">
        <v>1295</v>
      </c>
      <c r="F103" t="s">
        <v>1329</v>
      </c>
      <c r="G103">
        <v>274.52</v>
      </c>
      <c r="H103">
        <v>371.45</v>
      </c>
      <c r="I103">
        <v>-55.72</v>
      </c>
      <c r="J103">
        <v>270.39999999999998</v>
      </c>
      <c r="K103">
        <v>427.16999999999996</v>
      </c>
      <c r="L103">
        <v>4.1200000000000045</v>
      </c>
    </row>
    <row r="104" spans="1:12" x14ac:dyDescent="0.3">
      <c r="A104" t="s">
        <v>112</v>
      </c>
      <c r="B104" t="s">
        <v>819</v>
      </c>
      <c r="C104" s="4" t="s">
        <v>1025</v>
      </c>
      <c r="D104" t="s">
        <v>1291</v>
      </c>
      <c r="E104" t="s">
        <v>1299</v>
      </c>
      <c r="F104" t="s">
        <v>1334</v>
      </c>
      <c r="G104">
        <v>607.16</v>
      </c>
      <c r="H104">
        <v>825.93</v>
      </c>
      <c r="I104">
        <v>-123.89</v>
      </c>
      <c r="J104">
        <v>697.65</v>
      </c>
      <c r="K104">
        <v>949.81999999999994</v>
      </c>
      <c r="L104">
        <v>-90.490000000000009</v>
      </c>
    </row>
    <row r="105" spans="1:12" x14ac:dyDescent="0.3">
      <c r="A105" t="s">
        <v>113</v>
      </c>
      <c r="B105" t="s">
        <v>855</v>
      </c>
      <c r="C105" s="4" t="s">
        <v>1026</v>
      </c>
      <c r="D105" t="s">
        <v>1292</v>
      </c>
      <c r="E105" t="s">
        <v>1299</v>
      </c>
      <c r="F105" t="s">
        <v>1334</v>
      </c>
      <c r="G105">
        <v>597.12</v>
      </c>
      <c r="H105">
        <v>723.99</v>
      </c>
      <c r="I105">
        <v>126.87</v>
      </c>
      <c r="J105">
        <v>569.04</v>
      </c>
      <c r="K105">
        <v>597.12</v>
      </c>
      <c r="L105">
        <v>28.080000000000041</v>
      </c>
    </row>
    <row r="106" spans="1:12" x14ac:dyDescent="0.3">
      <c r="A106" t="s">
        <v>114</v>
      </c>
      <c r="B106" t="s">
        <v>831</v>
      </c>
      <c r="C106" s="4" t="s">
        <v>980</v>
      </c>
      <c r="D106" t="s">
        <v>1292</v>
      </c>
      <c r="E106" t="s">
        <v>1293</v>
      </c>
      <c r="F106" t="s">
        <v>1300</v>
      </c>
      <c r="G106">
        <v>1035.31</v>
      </c>
      <c r="H106">
        <v>1371.11</v>
      </c>
      <c r="I106">
        <v>335.8</v>
      </c>
      <c r="J106">
        <v>1171.1300000000001</v>
      </c>
      <c r="K106">
        <v>1035.31</v>
      </c>
      <c r="L106">
        <v>-135.82000000000016</v>
      </c>
    </row>
    <row r="107" spans="1:12" x14ac:dyDescent="0.3">
      <c r="A107" t="s">
        <v>115</v>
      </c>
      <c r="B107" t="s">
        <v>856</v>
      </c>
      <c r="C107" s="4" t="s">
        <v>1014</v>
      </c>
      <c r="D107" t="s">
        <v>1291</v>
      </c>
      <c r="E107" t="s">
        <v>1295</v>
      </c>
      <c r="F107" t="s">
        <v>1329</v>
      </c>
      <c r="G107">
        <v>293.99</v>
      </c>
      <c r="H107">
        <v>352.6</v>
      </c>
      <c r="I107">
        <v>-52.89</v>
      </c>
      <c r="J107">
        <v>328.61</v>
      </c>
      <c r="K107">
        <v>405.49</v>
      </c>
      <c r="L107">
        <v>-34.620000000000005</v>
      </c>
    </row>
    <row r="108" spans="1:12" x14ac:dyDescent="0.3">
      <c r="A108" t="s">
        <v>116</v>
      </c>
      <c r="B108" t="s">
        <v>857</v>
      </c>
      <c r="C108" s="4" t="s">
        <v>1027</v>
      </c>
      <c r="D108" t="s">
        <v>1291</v>
      </c>
      <c r="E108" t="s">
        <v>1293</v>
      </c>
      <c r="F108" t="s">
        <v>1320</v>
      </c>
      <c r="G108">
        <v>858.16</v>
      </c>
      <c r="H108">
        <v>1058.8599999999999</v>
      </c>
      <c r="I108">
        <v>-158.83000000000001</v>
      </c>
      <c r="J108">
        <v>1013.52</v>
      </c>
      <c r="K108">
        <v>1217.6899999999998</v>
      </c>
      <c r="L108">
        <v>-155.36000000000001</v>
      </c>
    </row>
    <row r="109" spans="1:12" x14ac:dyDescent="0.3">
      <c r="A109" t="s">
        <v>117</v>
      </c>
      <c r="B109" t="s">
        <v>810</v>
      </c>
      <c r="C109" s="4" t="s">
        <v>1015</v>
      </c>
      <c r="D109" t="s">
        <v>1292</v>
      </c>
      <c r="E109" t="s">
        <v>1295</v>
      </c>
      <c r="F109" t="s">
        <v>1313</v>
      </c>
      <c r="G109">
        <v>42.92</v>
      </c>
      <c r="H109">
        <v>55.8</v>
      </c>
      <c r="I109">
        <v>12.88</v>
      </c>
      <c r="J109">
        <v>47.99</v>
      </c>
      <c r="K109">
        <v>42.919999999999995</v>
      </c>
      <c r="L109">
        <v>-5.07</v>
      </c>
    </row>
    <row r="110" spans="1:12" x14ac:dyDescent="0.3">
      <c r="A110" t="s">
        <v>118</v>
      </c>
      <c r="B110" t="s">
        <v>791</v>
      </c>
      <c r="C110" s="4" t="s">
        <v>1028</v>
      </c>
      <c r="D110" t="s">
        <v>1291</v>
      </c>
      <c r="E110" t="s">
        <v>1298</v>
      </c>
      <c r="F110" t="s">
        <v>1317</v>
      </c>
      <c r="G110">
        <v>999.75</v>
      </c>
      <c r="H110">
        <v>1420.2638235294123</v>
      </c>
      <c r="I110">
        <v>-206.75</v>
      </c>
      <c r="J110">
        <v>1024.3</v>
      </c>
      <c r="K110">
        <v>1627.0138235294123</v>
      </c>
      <c r="L110">
        <v>-24.549999999999955</v>
      </c>
    </row>
    <row r="111" spans="1:12" x14ac:dyDescent="0.3">
      <c r="A111" t="s">
        <v>119</v>
      </c>
      <c r="B111" t="s">
        <v>858</v>
      </c>
      <c r="C111" s="4" t="s">
        <v>1029</v>
      </c>
      <c r="D111" t="s">
        <v>1291</v>
      </c>
      <c r="E111" t="s">
        <v>1296</v>
      </c>
      <c r="F111" t="s">
        <v>1330</v>
      </c>
      <c r="G111">
        <v>9276.6299999999992</v>
      </c>
      <c r="H111">
        <v>11020.52</v>
      </c>
      <c r="I111">
        <v>-1653.08</v>
      </c>
      <c r="J111">
        <v>10676.28</v>
      </c>
      <c r="K111">
        <v>12673.6</v>
      </c>
      <c r="L111">
        <v>-1399.6500000000015</v>
      </c>
    </row>
    <row r="112" spans="1:12" x14ac:dyDescent="0.3">
      <c r="A112" t="s">
        <v>120</v>
      </c>
      <c r="B112" t="s">
        <v>830</v>
      </c>
      <c r="C112" s="4" t="s">
        <v>988</v>
      </c>
      <c r="D112" t="s">
        <v>1291</v>
      </c>
      <c r="E112" t="s">
        <v>1293</v>
      </c>
      <c r="F112" t="s">
        <v>1320</v>
      </c>
      <c r="G112">
        <v>18.36</v>
      </c>
      <c r="H112">
        <v>24.44</v>
      </c>
      <c r="I112">
        <v>-3.67</v>
      </c>
      <c r="J112">
        <v>20.38</v>
      </c>
      <c r="K112">
        <v>28.11</v>
      </c>
      <c r="L112">
        <v>-2.0199999999999996</v>
      </c>
    </row>
    <row r="113" spans="1:12" x14ac:dyDescent="0.3">
      <c r="A113" t="s">
        <v>121</v>
      </c>
      <c r="B113" t="s">
        <v>796</v>
      </c>
      <c r="C113" s="4" t="s">
        <v>1030</v>
      </c>
      <c r="D113" t="s">
        <v>1291</v>
      </c>
      <c r="E113" t="s">
        <v>1295</v>
      </c>
      <c r="F113" t="s">
        <v>1329</v>
      </c>
      <c r="G113">
        <v>886.44</v>
      </c>
      <c r="H113">
        <v>1169.2</v>
      </c>
      <c r="I113">
        <v>-175.38</v>
      </c>
      <c r="J113">
        <v>824.26</v>
      </c>
      <c r="K113">
        <v>1344.58</v>
      </c>
      <c r="L113">
        <v>62.180000000000064</v>
      </c>
    </row>
    <row r="114" spans="1:12" x14ac:dyDescent="0.3">
      <c r="A114" t="s">
        <v>122</v>
      </c>
      <c r="B114" t="s">
        <v>849</v>
      </c>
      <c r="C114" s="4" t="s">
        <v>1031</v>
      </c>
      <c r="D114" t="s">
        <v>1292</v>
      </c>
      <c r="E114" t="s">
        <v>1294</v>
      </c>
      <c r="F114" t="s">
        <v>1301</v>
      </c>
      <c r="G114">
        <v>1125.46</v>
      </c>
      <c r="H114">
        <v>1512.57</v>
      </c>
      <c r="I114">
        <v>387.11</v>
      </c>
      <c r="J114">
        <v>1137.97</v>
      </c>
      <c r="K114">
        <v>1125.46</v>
      </c>
      <c r="L114">
        <v>-12.509999999999991</v>
      </c>
    </row>
    <row r="115" spans="1:12" x14ac:dyDescent="0.3">
      <c r="A115" t="s">
        <v>123</v>
      </c>
      <c r="B115" t="s">
        <v>844</v>
      </c>
      <c r="C115" s="4" t="s">
        <v>1032</v>
      </c>
      <c r="D115" t="s">
        <v>1291</v>
      </c>
      <c r="E115" t="s">
        <v>1296</v>
      </c>
      <c r="F115" t="s">
        <v>1330</v>
      </c>
      <c r="G115">
        <v>7606.6</v>
      </c>
      <c r="H115">
        <v>9642.1</v>
      </c>
      <c r="I115">
        <v>-1446.32</v>
      </c>
      <c r="J115">
        <v>7397.25</v>
      </c>
      <c r="K115">
        <v>11088.42</v>
      </c>
      <c r="L115">
        <v>209.35000000000036</v>
      </c>
    </row>
    <row r="116" spans="1:12" x14ac:dyDescent="0.3">
      <c r="A116" t="s">
        <v>124</v>
      </c>
      <c r="B116" t="s">
        <v>859</v>
      </c>
      <c r="C116" s="4" t="s">
        <v>967</v>
      </c>
      <c r="D116" t="s">
        <v>1292</v>
      </c>
      <c r="E116" t="s">
        <v>1297</v>
      </c>
      <c r="F116" t="s">
        <v>1331</v>
      </c>
      <c r="G116">
        <v>249.89</v>
      </c>
      <c r="H116">
        <v>313.18</v>
      </c>
      <c r="I116">
        <v>63.29</v>
      </c>
      <c r="J116">
        <v>266.27999999999997</v>
      </c>
      <c r="K116">
        <v>249.89000000000001</v>
      </c>
      <c r="L116">
        <v>-16.389999999999986</v>
      </c>
    </row>
    <row r="117" spans="1:12" x14ac:dyDescent="0.3">
      <c r="A117" t="s">
        <v>125</v>
      </c>
      <c r="B117" t="s">
        <v>860</v>
      </c>
      <c r="C117" s="4" t="s">
        <v>1033</v>
      </c>
      <c r="D117" t="s">
        <v>1292</v>
      </c>
      <c r="E117" t="s">
        <v>1294</v>
      </c>
      <c r="F117" t="s">
        <v>1301</v>
      </c>
      <c r="G117">
        <v>289.27999999999997</v>
      </c>
      <c r="H117">
        <v>399.35</v>
      </c>
      <c r="I117">
        <v>110.07</v>
      </c>
      <c r="J117">
        <v>338.34</v>
      </c>
      <c r="K117">
        <v>289.28000000000003</v>
      </c>
      <c r="L117">
        <v>-49.06</v>
      </c>
    </row>
    <row r="118" spans="1:12" x14ac:dyDescent="0.3">
      <c r="A118" t="s">
        <v>126</v>
      </c>
      <c r="B118" t="s">
        <v>800</v>
      </c>
      <c r="C118" s="4" t="s">
        <v>971</v>
      </c>
      <c r="D118" t="s">
        <v>1292</v>
      </c>
      <c r="E118" t="s">
        <v>1293</v>
      </c>
      <c r="F118" t="s">
        <v>1320</v>
      </c>
      <c r="G118">
        <v>1043.3900000000001</v>
      </c>
      <c r="H118">
        <v>1270.08</v>
      </c>
      <c r="I118">
        <v>226.69</v>
      </c>
      <c r="J118">
        <v>1056.8</v>
      </c>
      <c r="K118">
        <v>1043.3899999999999</v>
      </c>
      <c r="L118">
        <v>-13.409999999999854</v>
      </c>
    </row>
    <row r="119" spans="1:12" x14ac:dyDescent="0.3">
      <c r="A119" t="s">
        <v>127</v>
      </c>
      <c r="B119" t="s">
        <v>787</v>
      </c>
      <c r="C119" s="4" t="s">
        <v>1034</v>
      </c>
      <c r="D119" t="s">
        <v>1291</v>
      </c>
      <c r="E119" t="s">
        <v>1294</v>
      </c>
      <c r="F119" t="s">
        <v>1301</v>
      </c>
      <c r="G119">
        <v>1024.26</v>
      </c>
      <c r="H119">
        <v>1293.48</v>
      </c>
      <c r="I119">
        <v>-194.02</v>
      </c>
      <c r="J119">
        <v>1184.25</v>
      </c>
      <c r="K119">
        <v>1487.5</v>
      </c>
      <c r="L119">
        <v>-159.99</v>
      </c>
    </row>
    <row r="120" spans="1:12" x14ac:dyDescent="0.3">
      <c r="A120" t="s">
        <v>128</v>
      </c>
      <c r="B120" t="s">
        <v>789</v>
      </c>
      <c r="C120" s="4" t="s">
        <v>1035</v>
      </c>
      <c r="D120" t="s">
        <v>1292</v>
      </c>
      <c r="E120" t="s">
        <v>1298</v>
      </c>
      <c r="F120" t="s">
        <v>1310</v>
      </c>
      <c r="G120">
        <v>1059.55</v>
      </c>
      <c r="H120">
        <v>1481.94</v>
      </c>
      <c r="I120">
        <v>422.39</v>
      </c>
      <c r="J120">
        <v>1261.1199999999999</v>
      </c>
      <c r="K120">
        <v>1059.5500000000002</v>
      </c>
      <c r="L120">
        <v>-201.56999999999994</v>
      </c>
    </row>
    <row r="121" spans="1:12" x14ac:dyDescent="0.3">
      <c r="A121" t="s">
        <v>129</v>
      </c>
      <c r="B121" t="s">
        <v>849</v>
      </c>
      <c r="C121" s="4" t="s">
        <v>963</v>
      </c>
      <c r="D121" t="s">
        <v>1291</v>
      </c>
      <c r="E121" t="s">
        <v>1293</v>
      </c>
      <c r="F121" t="s">
        <v>1318</v>
      </c>
      <c r="G121">
        <v>122.32</v>
      </c>
      <c r="H121">
        <v>152.33000000000001</v>
      </c>
      <c r="I121">
        <v>-22.85</v>
      </c>
      <c r="J121">
        <v>122.1</v>
      </c>
      <c r="K121">
        <v>175.18</v>
      </c>
      <c r="L121">
        <v>0.21999999999999886</v>
      </c>
    </row>
    <row r="122" spans="1:12" x14ac:dyDescent="0.3">
      <c r="A122" t="s">
        <v>130</v>
      </c>
      <c r="B122" t="s">
        <v>837</v>
      </c>
      <c r="C122" s="4" t="s">
        <v>1036</v>
      </c>
      <c r="D122" t="s">
        <v>1292</v>
      </c>
      <c r="E122" t="s">
        <v>1295</v>
      </c>
      <c r="F122" t="s">
        <v>1304</v>
      </c>
      <c r="G122">
        <v>726.16</v>
      </c>
      <c r="H122">
        <v>1011.53</v>
      </c>
      <c r="I122">
        <v>285.37</v>
      </c>
      <c r="J122">
        <v>808.53</v>
      </c>
      <c r="K122">
        <v>726.16</v>
      </c>
      <c r="L122">
        <v>-82.37</v>
      </c>
    </row>
    <row r="123" spans="1:12" x14ac:dyDescent="0.3">
      <c r="A123" t="s">
        <v>131</v>
      </c>
      <c r="B123" t="s">
        <v>835</v>
      </c>
      <c r="C123" s="4" t="s">
        <v>982</v>
      </c>
      <c r="D123" t="s">
        <v>1291</v>
      </c>
      <c r="E123" t="s">
        <v>1294</v>
      </c>
      <c r="F123" t="s">
        <v>1301</v>
      </c>
      <c r="G123">
        <v>39.29</v>
      </c>
      <c r="H123">
        <v>47.57</v>
      </c>
      <c r="I123">
        <v>-7.14</v>
      </c>
      <c r="J123">
        <v>46.59</v>
      </c>
      <c r="K123">
        <v>54.71</v>
      </c>
      <c r="L123">
        <v>-7.3000000000000043</v>
      </c>
    </row>
    <row r="124" spans="1:12" x14ac:dyDescent="0.3">
      <c r="A124" t="s">
        <v>132</v>
      </c>
      <c r="B124" t="s">
        <v>861</v>
      </c>
      <c r="C124" s="4" t="s">
        <v>1037</v>
      </c>
      <c r="D124" t="s">
        <v>1291</v>
      </c>
      <c r="E124" t="s">
        <v>1294</v>
      </c>
      <c r="F124" t="s">
        <v>1314</v>
      </c>
      <c r="G124">
        <v>401</v>
      </c>
      <c r="H124">
        <v>555.24</v>
      </c>
      <c r="I124">
        <v>-83.29</v>
      </c>
      <c r="J124">
        <v>438</v>
      </c>
      <c r="K124">
        <v>638.53</v>
      </c>
      <c r="L124">
        <v>-37</v>
      </c>
    </row>
    <row r="125" spans="1:12" x14ac:dyDescent="0.3">
      <c r="A125" t="s">
        <v>133</v>
      </c>
      <c r="B125" t="s">
        <v>862</v>
      </c>
      <c r="C125" s="4" t="s">
        <v>1038</v>
      </c>
      <c r="D125" t="s">
        <v>1292</v>
      </c>
      <c r="E125" t="s">
        <v>1297</v>
      </c>
      <c r="F125" t="s">
        <v>1309</v>
      </c>
      <c r="G125">
        <v>1102.43</v>
      </c>
      <c r="H125">
        <v>1445.07</v>
      </c>
      <c r="I125">
        <v>342.64</v>
      </c>
      <c r="J125">
        <v>1003.95</v>
      </c>
      <c r="K125">
        <v>1102.4299999999998</v>
      </c>
      <c r="L125">
        <v>98.480000000000018</v>
      </c>
    </row>
    <row r="126" spans="1:12" x14ac:dyDescent="0.3">
      <c r="A126" t="s">
        <v>134</v>
      </c>
      <c r="B126" t="s">
        <v>863</v>
      </c>
      <c r="C126" s="4" t="s">
        <v>1004</v>
      </c>
      <c r="D126" t="s">
        <v>1292</v>
      </c>
      <c r="E126" t="s">
        <v>1296</v>
      </c>
      <c r="F126" t="s">
        <v>1332</v>
      </c>
      <c r="G126">
        <v>4997.32</v>
      </c>
      <c r="H126">
        <v>6604.31</v>
      </c>
      <c r="I126">
        <v>1606.99</v>
      </c>
      <c r="J126">
        <v>4853.5600000000004</v>
      </c>
      <c r="K126">
        <v>4997.3200000000006</v>
      </c>
      <c r="L126">
        <v>143.75999999999931</v>
      </c>
    </row>
    <row r="127" spans="1:12" x14ac:dyDescent="0.3">
      <c r="A127" t="s">
        <v>135</v>
      </c>
      <c r="B127" t="s">
        <v>803</v>
      </c>
      <c r="C127" s="4" t="s">
        <v>1039</v>
      </c>
      <c r="D127" t="s">
        <v>1292</v>
      </c>
      <c r="E127" t="s">
        <v>1297</v>
      </c>
      <c r="F127" t="s">
        <v>1309</v>
      </c>
      <c r="G127">
        <v>1132.31</v>
      </c>
      <c r="H127">
        <v>1484.58</v>
      </c>
      <c r="I127">
        <v>352.27</v>
      </c>
      <c r="J127">
        <v>1035.1199999999999</v>
      </c>
      <c r="K127">
        <v>1132.31</v>
      </c>
      <c r="L127">
        <v>97.190000000000055</v>
      </c>
    </row>
    <row r="128" spans="1:12" x14ac:dyDescent="0.3">
      <c r="A128" t="s">
        <v>136</v>
      </c>
      <c r="B128" t="s">
        <v>827</v>
      </c>
      <c r="C128" s="4" t="s">
        <v>1040</v>
      </c>
      <c r="D128" t="s">
        <v>1292</v>
      </c>
      <c r="E128" t="s">
        <v>1293</v>
      </c>
      <c r="F128" t="s">
        <v>1300</v>
      </c>
      <c r="G128">
        <v>238.51</v>
      </c>
      <c r="H128">
        <v>323.99</v>
      </c>
      <c r="I128">
        <v>-44.182985074626863</v>
      </c>
      <c r="J128">
        <v>265.52999999999997</v>
      </c>
      <c r="K128">
        <v>368.17298507462687</v>
      </c>
      <c r="L128">
        <v>-27.019999999999982</v>
      </c>
    </row>
    <row r="129" spans="1:12" x14ac:dyDescent="0.3">
      <c r="A129" t="s">
        <v>137</v>
      </c>
      <c r="B129" t="s">
        <v>834</v>
      </c>
      <c r="C129" s="4" t="s">
        <v>1041</v>
      </c>
      <c r="D129" t="s">
        <v>1291</v>
      </c>
      <c r="E129" t="s">
        <v>1295</v>
      </c>
      <c r="F129" t="s">
        <v>1304</v>
      </c>
      <c r="G129">
        <v>188.53</v>
      </c>
      <c r="H129">
        <v>245.73</v>
      </c>
      <c r="I129">
        <v>-36.86</v>
      </c>
      <c r="J129">
        <v>195.02</v>
      </c>
      <c r="K129">
        <v>282.58999999999997</v>
      </c>
      <c r="L129">
        <v>-6.4900000000000091</v>
      </c>
    </row>
    <row r="130" spans="1:12" x14ac:dyDescent="0.3">
      <c r="A130" t="s">
        <v>138</v>
      </c>
      <c r="B130" t="s">
        <v>801</v>
      </c>
      <c r="C130" s="4" t="s">
        <v>1029</v>
      </c>
      <c r="D130" t="s">
        <v>1291</v>
      </c>
      <c r="E130" t="s">
        <v>1299</v>
      </c>
      <c r="F130" t="s">
        <v>1311</v>
      </c>
      <c r="G130">
        <v>479.3</v>
      </c>
      <c r="H130">
        <v>634.08000000000004</v>
      </c>
      <c r="I130">
        <v>-95.11</v>
      </c>
      <c r="J130">
        <v>467.15</v>
      </c>
      <c r="K130">
        <v>729.19</v>
      </c>
      <c r="L130">
        <v>12.150000000000034</v>
      </c>
    </row>
    <row r="131" spans="1:12" x14ac:dyDescent="0.3">
      <c r="A131" t="s">
        <v>139</v>
      </c>
      <c r="B131" t="s">
        <v>855</v>
      </c>
      <c r="C131" s="4" t="s">
        <v>958</v>
      </c>
      <c r="D131" t="s">
        <v>1292</v>
      </c>
      <c r="E131" t="s">
        <v>1295</v>
      </c>
      <c r="F131" t="s">
        <v>1304</v>
      </c>
      <c r="G131">
        <v>597.04</v>
      </c>
      <c r="H131">
        <v>751.81</v>
      </c>
      <c r="I131">
        <v>154.77000000000001</v>
      </c>
      <c r="J131">
        <v>585.95000000000005</v>
      </c>
      <c r="K131">
        <v>597.04</v>
      </c>
      <c r="L131">
        <v>11.089999999999918</v>
      </c>
    </row>
    <row r="132" spans="1:12" x14ac:dyDescent="0.3">
      <c r="A132" t="s">
        <v>140</v>
      </c>
      <c r="B132" t="s">
        <v>794</v>
      </c>
      <c r="C132" s="4" t="s">
        <v>1042</v>
      </c>
      <c r="D132" t="s">
        <v>1291</v>
      </c>
      <c r="E132" t="s">
        <v>1293</v>
      </c>
      <c r="F132" t="s">
        <v>1300</v>
      </c>
      <c r="G132">
        <v>1163.19</v>
      </c>
      <c r="H132">
        <v>1592.42</v>
      </c>
      <c r="I132">
        <v>-238.86</v>
      </c>
      <c r="J132">
        <v>1310.07</v>
      </c>
      <c r="K132">
        <v>1831.2800000000002</v>
      </c>
      <c r="L132">
        <v>-146.87999999999988</v>
      </c>
    </row>
    <row r="133" spans="1:12" x14ac:dyDescent="0.3">
      <c r="A133" t="s">
        <v>141</v>
      </c>
      <c r="B133" t="s">
        <v>852</v>
      </c>
      <c r="C133" s="4" t="s">
        <v>945</v>
      </c>
      <c r="D133" t="s">
        <v>1292</v>
      </c>
      <c r="E133" t="s">
        <v>1299</v>
      </c>
      <c r="F133" t="s">
        <v>1312</v>
      </c>
      <c r="G133">
        <v>1219.4163333333336</v>
      </c>
      <c r="H133">
        <v>117.79</v>
      </c>
      <c r="I133">
        <v>17.79</v>
      </c>
      <c r="J133">
        <v>109.43</v>
      </c>
      <c r="K133">
        <v>100</v>
      </c>
      <c r="L133">
        <v>1109.9863333333335</v>
      </c>
    </row>
    <row r="134" spans="1:12" x14ac:dyDescent="0.3">
      <c r="A134" t="s">
        <v>142</v>
      </c>
      <c r="B134" t="s">
        <v>844</v>
      </c>
      <c r="C134" s="4" t="s">
        <v>1043</v>
      </c>
      <c r="D134" t="s">
        <v>1292</v>
      </c>
      <c r="E134" t="s">
        <v>1294</v>
      </c>
      <c r="F134" t="s">
        <v>1301</v>
      </c>
      <c r="G134">
        <v>893.54</v>
      </c>
      <c r="H134">
        <v>1081.1300000000001</v>
      </c>
      <c r="I134">
        <v>187.59</v>
      </c>
      <c r="J134">
        <v>808.36</v>
      </c>
      <c r="K134">
        <v>893.54000000000008</v>
      </c>
      <c r="L134">
        <v>85.17999999999995</v>
      </c>
    </row>
    <row r="135" spans="1:12" x14ac:dyDescent="0.3">
      <c r="A135" t="s">
        <v>143</v>
      </c>
      <c r="B135" t="s">
        <v>846</v>
      </c>
      <c r="C135" s="4" t="s">
        <v>1004</v>
      </c>
      <c r="D135" t="s">
        <v>1292</v>
      </c>
      <c r="E135" t="s">
        <v>1293</v>
      </c>
      <c r="F135" t="s">
        <v>1300</v>
      </c>
      <c r="G135">
        <v>493.89</v>
      </c>
      <c r="H135">
        <v>576.94000000000005</v>
      </c>
      <c r="I135">
        <v>83.05</v>
      </c>
      <c r="J135">
        <v>478.6</v>
      </c>
      <c r="K135">
        <v>493.89000000000004</v>
      </c>
      <c r="L135">
        <v>15.289999999999964</v>
      </c>
    </row>
    <row r="136" spans="1:12" x14ac:dyDescent="0.3">
      <c r="A136" t="s">
        <v>144</v>
      </c>
      <c r="B136" t="s">
        <v>864</v>
      </c>
      <c r="C136" s="4" t="s">
        <v>1044</v>
      </c>
      <c r="D136" t="s">
        <v>1292</v>
      </c>
      <c r="E136" t="s">
        <v>1299</v>
      </c>
      <c r="F136" t="s">
        <v>1334</v>
      </c>
      <c r="G136">
        <v>57.51</v>
      </c>
      <c r="H136">
        <v>74.39</v>
      </c>
      <c r="I136">
        <v>16.88</v>
      </c>
      <c r="J136">
        <v>68.72</v>
      </c>
      <c r="K136">
        <v>57.510000000000005</v>
      </c>
      <c r="L136">
        <v>-11.21</v>
      </c>
    </row>
    <row r="137" spans="1:12" x14ac:dyDescent="0.3">
      <c r="A137" t="s">
        <v>145</v>
      </c>
      <c r="B137" t="s">
        <v>865</v>
      </c>
      <c r="C137" s="4" t="s">
        <v>988</v>
      </c>
      <c r="D137" t="s">
        <v>1292</v>
      </c>
      <c r="E137" t="s">
        <v>1295</v>
      </c>
      <c r="F137" t="s">
        <v>1313</v>
      </c>
      <c r="G137">
        <v>587.71</v>
      </c>
      <c r="H137">
        <v>708.89</v>
      </c>
      <c r="I137">
        <v>121.18</v>
      </c>
      <c r="J137">
        <v>535.13</v>
      </c>
      <c r="K137">
        <v>587.71</v>
      </c>
      <c r="L137">
        <v>52.580000000000041</v>
      </c>
    </row>
    <row r="138" spans="1:12" x14ac:dyDescent="0.3">
      <c r="A138" t="s">
        <v>146</v>
      </c>
      <c r="B138" t="s">
        <v>866</v>
      </c>
      <c r="C138" s="4" t="s">
        <v>1045</v>
      </c>
      <c r="D138" t="s">
        <v>1291</v>
      </c>
      <c r="E138" t="s">
        <v>1293</v>
      </c>
      <c r="F138" t="s">
        <v>1318</v>
      </c>
      <c r="G138">
        <v>1034.3800000000001</v>
      </c>
      <c r="H138">
        <v>1249.32</v>
      </c>
      <c r="I138">
        <v>-187.4</v>
      </c>
      <c r="J138">
        <v>1167.69</v>
      </c>
      <c r="K138">
        <v>1436.72</v>
      </c>
      <c r="L138">
        <v>-133.30999999999995</v>
      </c>
    </row>
    <row r="139" spans="1:12" x14ac:dyDescent="0.3">
      <c r="A139" t="s">
        <v>147</v>
      </c>
      <c r="B139" t="s">
        <v>828</v>
      </c>
      <c r="C139" s="4" t="s">
        <v>1046</v>
      </c>
      <c r="D139" t="s">
        <v>1292</v>
      </c>
      <c r="E139" t="s">
        <v>1294</v>
      </c>
      <c r="F139" t="s">
        <v>1333</v>
      </c>
      <c r="G139">
        <v>970.84</v>
      </c>
      <c r="H139">
        <v>1223.2</v>
      </c>
      <c r="I139">
        <v>252.36</v>
      </c>
      <c r="J139">
        <v>915.16</v>
      </c>
      <c r="K139">
        <v>970.84</v>
      </c>
      <c r="L139">
        <v>55.680000000000064</v>
      </c>
    </row>
    <row r="140" spans="1:12" x14ac:dyDescent="0.3">
      <c r="A140" t="s">
        <v>148</v>
      </c>
      <c r="B140" t="s">
        <v>823</v>
      </c>
      <c r="C140" s="4" t="s">
        <v>1047</v>
      </c>
      <c r="D140" t="s">
        <v>1292</v>
      </c>
      <c r="E140" t="s">
        <v>1295</v>
      </c>
      <c r="F140" t="s">
        <v>1304</v>
      </c>
      <c r="G140">
        <v>190.79</v>
      </c>
      <c r="H140">
        <v>238.65</v>
      </c>
      <c r="I140">
        <v>47.86</v>
      </c>
      <c r="J140">
        <v>179.24</v>
      </c>
      <c r="K140">
        <v>190.79000000000002</v>
      </c>
      <c r="L140">
        <v>11.549999999999983</v>
      </c>
    </row>
    <row r="141" spans="1:12" x14ac:dyDescent="0.3">
      <c r="A141" t="s">
        <v>149</v>
      </c>
      <c r="B141" t="s">
        <v>863</v>
      </c>
      <c r="C141" s="4" t="s">
        <v>1048</v>
      </c>
      <c r="D141" t="s">
        <v>1292</v>
      </c>
      <c r="E141" t="s">
        <v>1293</v>
      </c>
      <c r="F141" t="s">
        <v>1300</v>
      </c>
      <c r="G141">
        <v>439.85</v>
      </c>
      <c r="H141">
        <v>562.89</v>
      </c>
      <c r="I141">
        <v>123.04</v>
      </c>
      <c r="J141">
        <v>459.56</v>
      </c>
      <c r="K141">
        <v>439.84999999999997</v>
      </c>
      <c r="L141">
        <v>-19.70999999999998</v>
      </c>
    </row>
    <row r="142" spans="1:12" x14ac:dyDescent="0.3">
      <c r="A142" t="s">
        <v>150</v>
      </c>
      <c r="B142" t="s">
        <v>867</v>
      </c>
      <c r="C142" s="4" t="s">
        <v>1025</v>
      </c>
      <c r="D142" t="s">
        <v>1292</v>
      </c>
      <c r="E142" t="s">
        <v>1298</v>
      </c>
      <c r="F142" t="s">
        <v>1306</v>
      </c>
      <c r="G142">
        <v>36.11</v>
      </c>
      <c r="H142">
        <v>48.88</v>
      </c>
      <c r="I142">
        <v>12.77</v>
      </c>
      <c r="J142">
        <v>38.409999999999997</v>
      </c>
      <c r="K142">
        <v>36.11</v>
      </c>
      <c r="L142">
        <v>-2.2999999999999972</v>
      </c>
    </row>
    <row r="143" spans="1:12" x14ac:dyDescent="0.3">
      <c r="A143" t="s">
        <v>151</v>
      </c>
      <c r="B143" t="s">
        <v>868</v>
      </c>
      <c r="C143" s="4" t="s">
        <v>1003</v>
      </c>
      <c r="D143" t="s">
        <v>1291</v>
      </c>
      <c r="E143" t="s">
        <v>1293</v>
      </c>
      <c r="F143" t="s">
        <v>1300</v>
      </c>
      <c r="G143">
        <v>1004.23</v>
      </c>
      <c r="H143">
        <v>1319.49</v>
      </c>
      <c r="I143">
        <v>-197.92</v>
      </c>
      <c r="J143">
        <v>1201.54</v>
      </c>
      <c r="K143">
        <v>1517.41</v>
      </c>
      <c r="L143">
        <v>-197.30999999999995</v>
      </c>
    </row>
    <row r="144" spans="1:12" x14ac:dyDescent="0.3">
      <c r="A144" t="s">
        <v>152</v>
      </c>
      <c r="B144" t="s">
        <v>841</v>
      </c>
      <c r="C144" s="4" t="s">
        <v>1049</v>
      </c>
      <c r="D144" t="s">
        <v>1291</v>
      </c>
      <c r="E144" t="s">
        <v>1294</v>
      </c>
      <c r="F144" t="s">
        <v>1314</v>
      </c>
      <c r="G144">
        <v>868.23</v>
      </c>
      <c r="H144">
        <v>1201.97</v>
      </c>
      <c r="I144">
        <v>-180.3</v>
      </c>
      <c r="J144">
        <v>923.48</v>
      </c>
      <c r="K144">
        <v>1382.27</v>
      </c>
      <c r="L144">
        <v>-55.25</v>
      </c>
    </row>
    <row r="145" spans="1:12" x14ac:dyDescent="0.3">
      <c r="A145" t="s">
        <v>153</v>
      </c>
      <c r="B145" t="s">
        <v>869</v>
      </c>
      <c r="C145" s="4" t="s">
        <v>1050</v>
      </c>
      <c r="D145" t="s">
        <v>1291</v>
      </c>
      <c r="E145" t="s">
        <v>1299</v>
      </c>
      <c r="F145" t="s">
        <v>1312</v>
      </c>
      <c r="G145">
        <v>1219.4163333333336</v>
      </c>
      <c r="H145">
        <v>131.96</v>
      </c>
      <c r="I145">
        <v>-19.79</v>
      </c>
      <c r="J145">
        <v>105.12</v>
      </c>
      <c r="K145">
        <v>151.75</v>
      </c>
      <c r="L145">
        <v>1114.2963333333337</v>
      </c>
    </row>
    <row r="146" spans="1:12" x14ac:dyDescent="0.3">
      <c r="A146" t="s">
        <v>154</v>
      </c>
      <c r="B146" t="s">
        <v>866</v>
      </c>
      <c r="C146" s="4" t="s">
        <v>1051</v>
      </c>
      <c r="D146" t="s">
        <v>1292</v>
      </c>
      <c r="E146" t="s">
        <v>1298</v>
      </c>
      <c r="F146" t="s">
        <v>1306</v>
      </c>
      <c r="G146">
        <v>596.29999999999995</v>
      </c>
      <c r="H146">
        <v>738.5</v>
      </c>
      <c r="I146">
        <v>142.19999999999999</v>
      </c>
      <c r="J146">
        <v>699.83</v>
      </c>
      <c r="K146">
        <v>596.29999999999995</v>
      </c>
      <c r="L146">
        <v>-103.53000000000009</v>
      </c>
    </row>
    <row r="147" spans="1:12" x14ac:dyDescent="0.3">
      <c r="A147" t="s">
        <v>155</v>
      </c>
      <c r="B147" t="s">
        <v>870</v>
      </c>
      <c r="C147" s="4" t="s">
        <v>1052</v>
      </c>
      <c r="D147" t="s">
        <v>1291</v>
      </c>
      <c r="E147" t="s">
        <v>1299</v>
      </c>
      <c r="F147" t="s">
        <v>1311</v>
      </c>
      <c r="G147">
        <v>769.13</v>
      </c>
      <c r="H147">
        <v>1016.94</v>
      </c>
      <c r="I147">
        <v>-152.54</v>
      </c>
      <c r="J147">
        <v>817.78</v>
      </c>
      <c r="K147">
        <v>1169.48</v>
      </c>
      <c r="L147">
        <v>-48.649999999999977</v>
      </c>
    </row>
    <row r="148" spans="1:12" x14ac:dyDescent="0.3">
      <c r="A148" t="s">
        <v>156</v>
      </c>
      <c r="B148" t="s">
        <v>871</v>
      </c>
      <c r="C148" s="4" t="s">
        <v>1053</v>
      </c>
      <c r="D148" t="s">
        <v>1291</v>
      </c>
      <c r="E148" t="s">
        <v>1294</v>
      </c>
      <c r="F148" t="s">
        <v>1314</v>
      </c>
      <c r="G148">
        <v>826.05</v>
      </c>
      <c r="H148">
        <v>1143.29</v>
      </c>
      <c r="I148">
        <v>-171.49</v>
      </c>
      <c r="J148">
        <v>958.49</v>
      </c>
      <c r="K148">
        <v>1314.78</v>
      </c>
      <c r="L148">
        <v>-132.44000000000005</v>
      </c>
    </row>
    <row r="149" spans="1:12" x14ac:dyDescent="0.3">
      <c r="A149" t="s">
        <v>157</v>
      </c>
      <c r="B149" t="s">
        <v>872</v>
      </c>
      <c r="C149" s="4" t="s">
        <v>1054</v>
      </c>
      <c r="D149" t="s">
        <v>1291</v>
      </c>
      <c r="E149" t="s">
        <v>1298</v>
      </c>
      <c r="F149" t="s">
        <v>1317</v>
      </c>
      <c r="G149">
        <v>765.93</v>
      </c>
      <c r="H149">
        <v>998.17</v>
      </c>
      <c r="I149">
        <v>-149.72999999999999</v>
      </c>
      <c r="J149">
        <v>873.52</v>
      </c>
      <c r="K149">
        <v>1147.8999999999999</v>
      </c>
      <c r="L149">
        <v>-107.59000000000003</v>
      </c>
    </row>
    <row r="150" spans="1:12" x14ac:dyDescent="0.3">
      <c r="A150" t="s">
        <v>158</v>
      </c>
      <c r="B150" t="s">
        <v>853</v>
      </c>
      <c r="C150" s="4" t="s">
        <v>940</v>
      </c>
      <c r="D150" t="s">
        <v>1292</v>
      </c>
      <c r="E150" t="s">
        <v>1298</v>
      </c>
      <c r="F150" t="s">
        <v>1306</v>
      </c>
      <c r="G150">
        <v>119.61</v>
      </c>
      <c r="H150">
        <v>166.21</v>
      </c>
      <c r="I150">
        <v>46.6</v>
      </c>
      <c r="J150">
        <v>113.76</v>
      </c>
      <c r="K150">
        <v>119.61000000000001</v>
      </c>
      <c r="L150">
        <v>5.8499999999999943</v>
      </c>
    </row>
    <row r="151" spans="1:12" x14ac:dyDescent="0.3">
      <c r="A151" t="s">
        <v>159</v>
      </c>
      <c r="B151" t="s">
        <v>873</v>
      </c>
      <c r="C151" s="4" t="s">
        <v>1055</v>
      </c>
      <c r="D151" t="s">
        <v>1292</v>
      </c>
      <c r="E151" t="s">
        <v>1298</v>
      </c>
      <c r="F151" t="s">
        <v>1310</v>
      </c>
      <c r="G151">
        <v>980.55</v>
      </c>
      <c r="H151">
        <v>1131.6600000000001</v>
      </c>
      <c r="I151">
        <v>151.11000000000001</v>
      </c>
      <c r="J151">
        <v>912.68</v>
      </c>
      <c r="K151">
        <v>980.55000000000007</v>
      </c>
      <c r="L151">
        <v>67.87</v>
      </c>
    </row>
    <row r="152" spans="1:12" x14ac:dyDescent="0.3">
      <c r="A152" t="s">
        <v>160</v>
      </c>
      <c r="B152" t="s">
        <v>793</v>
      </c>
      <c r="C152" s="4" t="s">
        <v>1056</v>
      </c>
      <c r="D152" t="s">
        <v>1291</v>
      </c>
      <c r="E152" t="s">
        <v>1295</v>
      </c>
      <c r="F152" t="s">
        <v>1329</v>
      </c>
      <c r="G152">
        <v>861.39</v>
      </c>
      <c r="H152">
        <v>1007.39</v>
      </c>
      <c r="I152">
        <v>-151.11000000000001</v>
      </c>
      <c r="J152">
        <v>975.26</v>
      </c>
      <c r="K152">
        <v>1158.5</v>
      </c>
      <c r="L152">
        <v>-113.87</v>
      </c>
    </row>
    <row r="153" spans="1:12" x14ac:dyDescent="0.3">
      <c r="A153" t="s">
        <v>161</v>
      </c>
      <c r="B153" t="s">
        <v>847</v>
      </c>
      <c r="C153" s="4" t="s">
        <v>974</v>
      </c>
      <c r="D153" t="s">
        <v>1292</v>
      </c>
      <c r="E153" t="s">
        <v>1295</v>
      </c>
      <c r="F153" t="s">
        <v>1304</v>
      </c>
      <c r="G153">
        <v>789.9</v>
      </c>
      <c r="H153">
        <v>913.32</v>
      </c>
      <c r="I153">
        <v>123.42</v>
      </c>
      <c r="J153">
        <v>942.7</v>
      </c>
      <c r="K153">
        <v>789.90000000000009</v>
      </c>
      <c r="L153">
        <v>-152.80000000000007</v>
      </c>
    </row>
    <row r="154" spans="1:12" x14ac:dyDescent="0.3">
      <c r="A154" t="s">
        <v>162</v>
      </c>
      <c r="B154" t="s">
        <v>874</v>
      </c>
      <c r="C154" s="4" t="s">
        <v>1057</v>
      </c>
      <c r="D154" t="s">
        <v>1291</v>
      </c>
      <c r="E154" t="s">
        <v>1296</v>
      </c>
      <c r="F154" t="s">
        <v>1332</v>
      </c>
      <c r="G154">
        <v>6077.11</v>
      </c>
      <c r="H154">
        <v>8292.0499999999993</v>
      </c>
      <c r="I154">
        <v>-1243.81</v>
      </c>
      <c r="J154">
        <v>5786.53</v>
      </c>
      <c r="K154">
        <v>9535.8599999999988</v>
      </c>
      <c r="L154">
        <v>290.57999999999993</v>
      </c>
    </row>
    <row r="155" spans="1:12" x14ac:dyDescent="0.3">
      <c r="A155" t="s">
        <v>163</v>
      </c>
      <c r="B155" t="s">
        <v>875</v>
      </c>
      <c r="C155" s="4" t="s">
        <v>1058</v>
      </c>
      <c r="D155" t="s">
        <v>1292</v>
      </c>
      <c r="E155" t="s">
        <v>1299</v>
      </c>
      <c r="F155" t="s">
        <v>1334</v>
      </c>
      <c r="G155">
        <v>978.98</v>
      </c>
      <c r="H155">
        <v>1210.06</v>
      </c>
      <c r="I155">
        <v>231.08</v>
      </c>
      <c r="J155">
        <v>1120.3</v>
      </c>
      <c r="K155">
        <v>978.9799999999999</v>
      </c>
      <c r="L155">
        <v>-141.31999999999994</v>
      </c>
    </row>
    <row r="156" spans="1:12" x14ac:dyDescent="0.3">
      <c r="A156" t="s">
        <v>164</v>
      </c>
      <c r="B156" t="s">
        <v>832</v>
      </c>
      <c r="C156" s="4" t="s">
        <v>1059</v>
      </c>
      <c r="D156" t="s">
        <v>1292</v>
      </c>
      <c r="E156" t="s">
        <v>1293</v>
      </c>
      <c r="F156" t="s">
        <v>1318</v>
      </c>
      <c r="G156">
        <v>405.49</v>
      </c>
      <c r="H156">
        <v>1420.2638235294123</v>
      </c>
      <c r="I156">
        <v>85.9</v>
      </c>
      <c r="J156">
        <v>469.05</v>
      </c>
      <c r="K156">
        <v>1334.3638235294122</v>
      </c>
      <c r="L156">
        <v>-63.56</v>
      </c>
    </row>
    <row r="157" spans="1:12" x14ac:dyDescent="0.3">
      <c r="A157" t="s">
        <v>165</v>
      </c>
      <c r="B157" t="s">
        <v>786</v>
      </c>
      <c r="C157" s="4" t="s">
        <v>1060</v>
      </c>
      <c r="D157" t="s">
        <v>1292</v>
      </c>
      <c r="E157" t="s">
        <v>1297</v>
      </c>
      <c r="F157" t="s">
        <v>1309</v>
      </c>
      <c r="G157">
        <v>1062.83</v>
      </c>
      <c r="H157">
        <v>1468.18</v>
      </c>
      <c r="I157">
        <v>405.35</v>
      </c>
      <c r="J157">
        <v>1180.93</v>
      </c>
      <c r="K157">
        <v>1062.83</v>
      </c>
      <c r="L157">
        <v>-118.10000000000014</v>
      </c>
    </row>
    <row r="158" spans="1:12" x14ac:dyDescent="0.3">
      <c r="A158" t="s">
        <v>166</v>
      </c>
      <c r="B158" t="s">
        <v>876</v>
      </c>
      <c r="C158" s="4" t="s">
        <v>1061</v>
      </c>
      <c r="D158" t="s">
        <v>1292</v>
      </c>
      <c r="E158" t="s">
        <v>1298</v>
      </c>
      <c r="F158" t="s">
        <v>1306</v>
      </c>
      <c r="G158">
        <v>1219.4163333333336</v>
      </c>
      <c r="H158">
        <v>131.19</v>
      </c>
      <c r="I158">
        <v>31.19</v>
      </c>
      <c r="J158">
        <v>93.17</v>
      </c>
      <c r="K158">
        <v>100</v>
      </c>
      <c r="L158">
        <v>1126.2463333333335</v>
      </c>
    </row>
    <row r="159" spans="1:12" x14ac:dyDescent="0.3">
      <c r="A159" t="s">
        <v>167</v>
      </c>
      <c r="B159" t="s">
        <v>810</v>
      </c>
      <c r="C159" s="4" t="s">
        <v>1062</v>
      </c>
      <c r="D159" t="s">
        <v>1291</v>
      </c>
      <c r="E159" t="s">
        <v>1298</v>
      </c>
      <c r="F159" t="s">
        <v>1306</v>
      </c>
      <c r="G159">
        <v>947.27</v>
      </c>
      <c r="H159">
        <v>1281.8499999999999</v>
      </c>
      <c r="I159">
        <v>-192.28</v>
      </c>
      <c r="J159">
        <v>860.21</v>
      </c>
      <c r="K159">
        <v>1474.1299999999999</v>
      </c>
      <c r="L159">
        <v>87.059999999999945</v>
      </c>
    </row>
    <row r="160" spans="1:12" x14ac:dyDescent="0.3">
      <c r="A160" t="s">
        <v>168</v>
      </c>
      <c r="B160" t="s">
        <v>817</v>
      </c>
      <c r="C160" s="4" t="s">
        <v>1063</v>
      </c>
      <c r="D160" t="s">
        <v>1292</v>
      </c>
      <c r="E160" t="s">
        <v>1293</v>
      </c>
      <c r="F160" t="s">
        <v>1320</v>
      </c>
      <c r="G160">
        <v>351.59</v>
      </c>
      <c r="H160">
        <v>460.86</v>
      </c>
      <c r="I160">
        <v>109.27</v>
      </c>
      <c r="J160">
        <v>402.77</v>
      </c>
      <c r="K160">
        <v>351.59000000000003</v>
      </c>
      <c r="L160">
        <v>-51.180000000000007</v>
      </c>
    </row>
    <row r="161" spans="1:12" x14ac:dyDescent="0.3">
      <c r="A161" t="s">
        <v>169</v>
      </c>
      <c r="B161" t="s">
        <v>875</v>
      </c>
      <c r="C161" s="4" t="s">
        <v>1033</v>
      </c>
      <c r="D161" t="s">
        <v>1292</v>
      </c>
      <c r="E161" t="s">
        <v>1296</v>
      </c>
      <c r="F161" t="s">
        <v>1330</v>
      </c>
      <c r="G161">
        <v>5599.86</v>
      </c>
      <c r="H161">
        <v>7474.06</v>
      </c>
      <c r="I161">
        <v>1874.2</v>
      </c>
      <c r="J161">
        <v>5671.02</v>
      </c>
      <c r="K161">
        <v>5599.8600000000006</v>
      </c>
      <c r="L161">
        <v>-71.160000000000764</v>
      </c>
    </row>
    <row r="162" spans="1:12" x14ac:dyDescent="0.3">
      <c r="A162" t="s">
        <v>170</v>
      </c>
      <c r="B162" t="s">
        <v>877</v>
      </c>
      <c r="C162" s="4" t="s">
        <v>1064</v>
      </c>
      <c r="D162" t="s">
        <v>1291</v>
      </c>
      <c r="E162" t="s">
        <v>1295</v>
      </c>
      <c r="F162" t="s">
        <v>1313</v>
      </c>
      <c r="G162">
        <v>1173.76</v>
      </c>
      <c r="H162">
        <v>1585.82</v>
      </c>
      <c r="I162">
        <v>-237.87</v>
      </c>
      <c r="J162">
        <v>1383.86</v>
      </c>
      <c r="K162">
        <v>1823.69</v>
      </c>
      <c r="L162">
        <v>-210.09999999999991</v>
      </c>
    </row>
    <row r="163" spans="1:12" x14ac:dyDescent="0.3">
      <c r="A163" t="s">
        <v>171</v>
      </c>
      <c r="B163" t="s">
        <v>818</v>
      </c>
      <c r="C163" s="4" t="s">
        <v>1065</v>
      </c>
      <c r="D163" t="s">
        <v>1292</v>
      </c>
      <c r="E163" t="s">
        <v>1297</v>
      </c>
      <c r="F163" t="s">
        <v>1319</v>
      </c>
      <c r="G163">
        <v>231.17</v>
      </c>
      <c r="H163">
        <v>292.83999999999997</v>
      </c>
      <c r="I163">
        <v>61.67</v>
      </c>
      <c r="J163">
        <v>263.49</v>
      </c>
      <c r="K163">
        <v>231.16999999999996</v>
      </c>
      <c r="L163">
        <v>-32.320000000000022</v>
      </c>
    </row>
    <row r="164" spans="1:12" x14ac:dyDescent="0.3">
      <c r="A164" t="s">
        <v>172</v>
      </c>
      <c r="B164" t="s">
        <v>834</v>
      </c>
      <c r="C164" s="4" t="s">
        <v>969</v>
      </c>
      <c r="D164" t="s">
        <v>1292</v>
      </c>
      <c r="E164" t="s">
        <v>1294</v>
      </c>
      <c r="F164" t="s">
        <v>1301</v>
      </c>
      <c r="G164">
        <v>1034.32</v>
      </c>
      <c r="H164">
        <v>1290.45</v>
      </c>
      <c r="I164">
        <v>256.13</v>
      </c>
      <c r="J164">
        <v>1063.8</v>
      </c>
      <c r="K164">
        <v>1034.3200000000002</v>
      </c>
      <c r="L164">
        <v>-29.480000000000018</v>
      </c>
    </row>
    <row r="165" spans="1:12" x14ac:dyDescent="0.3">
      <c r="A165" t="s">
        <v>173</v>
      </c>
      <c r="B165" t="s">
        <v>878</v>
      </c>
      <c r="C165" s="4" t="s">
        <v>1066</v>
      </c>
      <c r="D165" t="s">
        <v>1292</v>
      </c>
      <c r="E165" t="s">
        <v>1297</v>
      </c>
      <c r="F165" t="s">
        <v>1331</v>
      </c>
      <c r="G165">
        <v>39.06</v>
      </c>
      <c r="H165">
        <v>51.41</v>
      </c>
      <c r="I165">
        <v>12.35</v>
      </c>
      <c r="J165">
        <v>39.07</v>
      </c>
      <c r="K165">
        <v>39.059999999999995</v>
      </c>
      <c r="L165">
        <v>-9.9999999999980105E-3</v>
      </c>
    </row>
    <row r="166" spans="1:12" x14ac:dyDescent="0.3">
      <c r="A166" t="s">
        <v>174</v>
      </c>
      <c r="B166" t="s">
        <v>788</v>
      </c>
      <c r="C166" s="4" t="s">
        <v>1003</v>
      </c>
      <c r="D166" t="s">
        <v>1291</v>
      </c>
      <c r="E166" t="s">
        <v>1295</v>
      </c>
      <c r="F166" t="s">
        <v>1304</v>
      </c>
      <c r="G166">
        <v>331.11</v>
      </c>
      <c r="H166">
        <v>444.87</v>
      </c>
      <c r="I166">
        <v>-66.73</v>
      </c>
      <c r="J166">
        <v>370.96</v>
      </c>
      <c r="K166">
        <v>511.6</v>
      </c>
      <c r="L166">
        <v>-39.849999999999966</v>
      </c>
    </row>
    <row r="167" spans="1:12" x14ac:dyDescent="0.3">
      <c r="A167" t="s">
        <v>175</v>
      </c>
      <c r="B167" t="s">
        <v>879</v>
      </c>
      <c r="C167" s="4" t="s">
        <v>936</v>
      </c>
      <c r="D167" t="s">
        <v>1291</v>
      </c>
      <c r="E167" t="s">
        <v>1299</v>
      </c>
      <c r="F167" t="s">
        <v>1311</v>
      </c>
      <c r="G167">
        <v>565.25</v>
      </c>
      <c r="H167">
        <v>729.35</v>
      </c>
      <c r="I167">
        <v>-109.4</v>
      </c>
      <c r="J167">
        <v>662.93</v>
      </c>
      <c r="K167">
        <v>838.75</v>
      </c>
      <c r="L167">
        <v>-97.67999999999995</v>
      </c>
    </row>
    <row r="168" spans="1:12" x14ac:dyDescent="0.3">
      <c r="A168" t="s">
        <v>176</v>
      </c>
      <c r="B168" t="s">
        <v>806</v>
      </c>
      <c r="C168" s="4" t="s">
        <v>1067</v>
      </c>
      <c r="D168" t="s">
        <v>1291</v>
      </c>
      <c r="E168" t="s">
        <v>1296</v>
      </c>
      <c r="F168" t="s">
        <v>1332</v>
      </c>
      <c r="G168">
        <v>4418.42</v>
      </c>
      <c r="H168">
        <v>5275.29</v>
      </c>
      <c r="I168">
        <v>-791.29</v>
      </c>
      <c r="J168">
        <v>5027.8599999999997</v>
      </c>
      <c r="K168">
        <v>6066.58</v>
      </c>
      <c r="L168">
        <v>-609.4399999999996</v>
      </c>
    </row>
    <row r="169" spans="1:12" x14ac:dyDescent="0.3">
      <c r="A169" t="s">
        <v>177</v>
      </c>
      <c r="B169" t="s">
        <v>880</v>
      </c>
      <c r="C169" s="4" t="s">
        <v>1068</v>
      </c>
      <c r="D169" t="s">
        <v>1291</v>
      </c>
      <c r="E169" t="s">
        <v>1293</v>
      </c>
      <c r="F169" t="s">
        <v>1318</v>
      </c>
      <c r="G169">
        <v>958.16</v>
      </c>
      <c r="H169">
        <v>1197.48</v>
      </c>
      <c r="I169">
        <v>-179.62</v>
      </c>
      <c r="J169">
        <v>1020.63</v>
      </c>
      <c r="K169">
        <v>1377.1</v>
      </c>
      <c r="L169">
        <v>-62.470000000000027</v>
      </c>
    </row>
    <row r="170" spans="1:12" x14ac:dyDescent="0.3">
      <c r="A170" t="s">
        <v>178</v>
      </c>
      <c r="B170" t="s">
        <v>881</v>
      </c>
      <c r="C170" s="4" t="s">
        <v>1069</v>
      </c>
      <c r="D170" t="s">
        <v>1292</v>
      </c>
      <c r="E170" t="s">
        <v>1299</v>
      </c>
      <c r="F170" t="s">
        <v>1334</v>
      </c>
      <c r="G170">
        <v>882.09</v>
      </c>
      <c r="H170">
        <v>1074.31</v>
      </c>
      <c r="I170">
        <v>192.22</v>
      </c>
      <c r="J170">
        <v>989.33</v>
      </c>
      <c r="K170">
        <v>882.08999999999992</v>
      </c>
      <c r="L170">
        <v>-107.24000000000001</v>
      </c>
    </row>
    <row r="171" spans="1:12" x14ac:dyDescent="0.3">
      <c r="A171" t="s">
        <v>179</v>
      </c>
      <c r="B171" t="s">
        <v>878</v>
      </c>
      <c r="C171" s="4" t="s">
        <v>1070</v>
      </c>
      <c r="D171" t="s">
        <v>1291</v>
      </c>
      <c r="E171" t="s">
        <v>1293</v>
      </c>
      <c r="F171" t="s">
        <v>1320</v>
      </c>
      <c r="G171">
        <v>694</v>
      </c>
      <c r="H171">
        <v>917.19</v>
      </c>
      <c r="I171">
        <v>-137.58000000000001</v>
      </c>
      <c r="J171">
        <v>672.08</v>
      </c>
      <c r="K171">
        <v>1054.77</v>
      </c>
      <c r="L171">
        <v>21.919999999999959</v>
      </c>
    </row>
    <row r="172" spans="1:12" x14ac:dyDescent="0.3">
      <c r="A172" t="s">
        <v>180</v>
      </c>
      <c r="B172" t="s">
        <v>866</v>
      </c>
      <c r="C172" s="4" t="s">
        <v>1039</v>
      </c>
      <c r="D172" t="s">
        <v>1292</v>
      </c>
      <c r="E172" t="s">
        <v>1297</v>
      </c>
      <c r="F172" t="s">
        <v>1331</v>
      </c>
      <c r="G172">
        <v>278.52999999999997</v>
      </c>
      <c r="H172">
        <v>359.17</v>
      </c>
      <c r="I172">
        <v>80.64</v>
      </c>
      <c r="J172">
        <v>333.49</v>
      </c>
      <c r="K172">
        <v>278.53000000000003</v>
      </c>
      <c r="L172">
        <v>-54.960000000000036</v>
      </c>
    </row>
    <row r="173" spans="1:12" x14ac:dyDescent="0.3">
      <c r="A173" t="s">
        <v>181</v>
      </c>
      <c r="B173" t="s">
        <v>867</v>
      </c>
      <c r="C173" s="4" t="s">
        <v>1071</v>
      </c>
      <c r="D173" t="s">
        <v>1292</v>
      </c>
      <c r="E173" t="s">
        <v>1296</v>
      </c>
      <c r="F173" t="s">
        <v>1332</v>
      </c>
      <c r="G173">
        <v>4667.32</v>
      </c>
      <c r="H173">
        <v>5512.49</v>
      </c>
      <c r="I173">
        <v>845.17</v>
      </c>
      <c r="J173">
        <v>4782.46</v>
      </c>
      <c r="K173">
        <v>4667.32</v>
      </c>
      <c r="L173">
        <v>-115.14000000000033</v>
      </c>
    </row>
    <row r="174" spans="1:12" x14ac:dyDescent="0.3">
      <c r="A174" t="s">
        <v>182</v>
      </c>
      <c r="B174" t="s">
        <v>849</v>
      </c>
      <c r="C174" s="4" t="s">
        <v>989</v>
      </c>
      <c r="D174" t="s">
        <v>1291</v>
      </c>
      <c r="E174" t="s">
        <v>1293</v>
      </c>
      <c r="F174" t="s">
        <v>1320</v>
      </c>
      <c r="G174">
        <v>1005.26</v>
      </c>
      <c r="H174">
        <v>1385.44</v>
      </c>
      <c r="I174">
        <v>-207.82</v>
      </c>
      <c r="J174">
        <v>974.2</v>
      </c>
      <c r="K174">
        <v>1593.26</v>
      </c>
      <c r="L174">
        <v>31.059999999999945</v>
      </c>
    </row>
    <row r="175" spans="1:12" x14ac:dyDescent="0.3">
      <c r="A175" t="s">
        <v>183</v>
      </c>
      <c r="B175" t="s">
        <v>841</v>
      </c>
      <c r="C175" s="4" t="s">
        <v>1072</v>
      </c>
      <c r="D175" t="s">
        <v>1291</v>
      </c>
      <c r="E175" t="s">
        <v>1296</v>
      </c>
      <c r="F175" t="s">
        <v>1308</v>
      </c>
      <c r="G175">
        <v>6920.99</v>
      </c>
      <c r="H175">
        <v>8344.52</v>
      </c>
      <c r="I175">
        <v>-1251.68</v>
      </c>
      <c r="J175">
        <v>7921.12</v>
      </c>
      <c r="K175">
        <v>9596.2000000000007</v>
      </c>
      <c r="L175">
        <v>-1000.1300000000001</v>
      </c>
    </row>
    <row r="176" spans="1:12" x14ac:dyDescent="0.3">
      <c r="A176" t="s">
        <v>184</v>
      </c>
      <c r="B176" t="s">
        <v>882</v>
      </c>
      <c r="C176" s="4" t="s">
        <v>1073</v>
      </c>
      <c r="D176" t="s">
        <v>1291</v>
      </c>
      <c r="E176" t="s">
        <v>1299</v>
      </c>
      <c r="F176" t="s">
        <v>1334</v>
      </c>
      <c r="G176">
        <v>530.66999999999996</v>
      </c>
      <c r="H176">
        <v>694.5</v>
      </c>
      <c r="I176">
        <v>-104.17</v>
      </c>
      <c r="J176">
        <v>544.11</v>
      </c>
      <c r="K176">
        <v>798.67</v>
      </c>
      <c r="L176">
        <v>-13.440000000000055</v>
      </c>
    </row>
    <row r="177" spans="1:12" x14ac:dyDescent="0.3">
      <c r="A177" t="s">
        <v>185</v>
      </c>
      <c r="B177" t="s">
        <v>870</v>
      </c>
      <c r="C177" s="4" t="s">
        <v>1074</v>
      </c>
      <c r="D177" t="s">
        <v>1291</v>
      </c>
      <c r="E177" t="s">
        <v>1298</v>
      </c>
      <c r="F177" t="s">
        <v>1317</v>
      </c>
      <c r="G177">
        <v>856.76</v>
      </c>
      <c r="H177">
        <v>1019.22</v>
      </c>
      <c r="I177">
        <v>-152.88</v>
      </c>
      <c r="J177">
        <v>849.05</v>
      </c>
      <c r="K177">
        <v>1172.0999999999999</v>
      </c>
      <c r="L177">
        <v>7.7100000000000364</v>
      </c>
    </row>
    <row r="178" spans="1:12" x14ac:dyDescent="0.3">
      <c r="A178" t="s">
        <v>186</v>
      </c>
      <c r="B178" t="s">
        <v>867</v>
      </c>
      <c r="C178" s="4" t="s">
        <v>1075</v>
      </c>
      <c r="D178" t="s">
        <v>1292</v>
      </c>
      <c r="E178" t="s">
        <v>1295</v>
      </c>
      <c r="F178" t="s">
        <v>1329</v>
      </c>
      <c r="G178">
        <v>1023.93</v>
      </c>
      <c r="H178">
        <v>1357.65</v>
      </c>
      <c r="I178">
        <v>333.72</v>
      </c>
      <c r="J178">
        <v>997.35</v>
      </c>
      <c r="K178">
        <v>1023.9300000000001</v>
      </c>
      <c r="L178">
        <v>26.579999999999927</v>
      </c>
    </row>
    <row r="179" spans="1:12" x14ac:dyDescent="0.3">
      <c r="A179" t="s">
        <v>187</v>
      </c>
      <c r="B179" t="s">
        <v>788</v>
      </c>
      <c r="C179" s="4" t="s">
        <v>970</v>
      </c>
      <c r="D179" t="s">
        <v>1291</v>
      </c>
      <c r="E179" t="s">
        <v>1293</v>
      </c>
      <c r="F179" t="s">
        <v>1300</v>
      </c>
      <c r="G179">
        <v>308.8</v>
      </c>
      <c r="H179">
        <v>375.04</v>
      </c>
      <c r="I179">
        <v>-56.26</v>
      </c>
      <c r="J179">
        <v>296.14999999999998</v>
      </c>
      <c r="K179">
        <v>431.3</v>
      </c>
      <c r="L179">
        <v>12.650000000000034</v>
      </c>
    </row>
    <row r="180" spans="1:12" x14ac:dyDescent="0.3">
      <c r="A180" t="s">
        <v>188</v>
      </c>
      <c r="B180" t="s">
        <v>814</v>
      </c>
      <c r="C180" s="4" t="s">
        <v>980</v>
      </c>
      <c r="D180" t="s">
        <v>1291</v>
      </c>
      <c r="E180" t="s">
        <v>1299</v>
      </c>
      <c r="F180" t="s">
        <v>1312</v>
      </c>
      <c r="G180">
        <v>1219.4163333333336</v>
      </c>
      <c r="H180">
        <v>135.36000000000001</v>
      </c>
      <c r="I180">
        <v>-20.3</v>
      </c>
      <c r="J180">
        <v>100.34</v>
      </c>
      <c r="K180">
        <v>155.66000000000003</v>
      </c>
      <c r="L180">
        <v>1119.0763333333337</v>
      </c>
    </row>
    <row r="181" spans="1:12" x14ac:dyDescent="0.3">
      <c r="A181" t="s">
        <v>189</v>
      </c>
      <c r="B181" t="s">
        <v>883</v>
      </c>
      <c r="C181" s="4" t="s">
        <v>1076</v>
      </c>
      <c r="D181" t="s">
        <v>1291</v>
      </c>
      <c r="E181" t="s">
        <v>1297</v>
      </c>
      <c r="F181" t="s">
        <v>1331</v>
      </c>
      <c r="G181">
        <v>1138.18</v>
      </c>
      <c r="H181">
        <v>1555.59</v>
      </c>
      <c r="I181">
        <v>-233.34</v>
      </c>
      <c r="J181">
        <v>1195.21</v>
      </c>
      <c r="K181">
        <v>1788.9299999999998</v>
      </c>
      <c r="L181">
        <v>-57.029999999999973</v>
      </c>
    </row>
    <row r="182" spans="1:12" x14ac:dyDescent="0.3">
      <c r="A182" t="s">
        <v>190</v>
      </c>
      <c r="B182" t="s">
        <v>857</v>
      </c>
      <c r="C182" s="4" t="s">
        <v>1077</v>
      </c>
      <c r="D182" t="s">
        <v>1292</v>
      </c>
      <c r="E182" t="s">
        <v>1295</v>
      </c>
      <c r="F182" t="s">
        <v>1313</v>
      </c>
      <c r="G182">
        <v>1187.6099999999999</v>
      </c>
      <c r="H182">
        <v>1642.84</v>
      </c>
      <c r="I182">
        <v>455.23</v>
      </c>
      <c r="J182">
        <v>1192.83</v>
      </c>
      <c r="K182">
        <v>1187.6099999999999</v>
      </c>
      <c r="L182">
        <v>-5.2200000000000273</v>
      </c>
    </row>
    <row r="183" spans="1:12" x14ac:dyDescent="0.3">
      <c r="A183" t="s">
        <v>191</v>
      </c>
      <c r="B183" t="s">
        <v>838</v>
      </c>
      <c r="C183" s="4" t="s">
        <v>1078</v>
      </c>
      <c r="D183" t="s">
        <v>1292</v>
      </c>
      <c r="E183" t="s">
        <v>1295</v>
      </c>
      <c r="F183" t="s">
        <v>1313</v>
      </c>
      <c r="G183">
        <v>968.03</v>
      </c>
      <c r="H183">
        <v>1140.4100000000001</v>
      </c>
      <c r="I183">
        <v>172.38</v>
      </c>
      <c r="J183">
        <v>1058.02</v>
      </c>
      <c r="K183">
        <v>968.03000000000009</v>
      </c>
      <c r="L183">
        <v>-89.990000000000009</v>
      </c>
    </row>
    <row r="184" spans="1:12" x14ac:dyDescent="0.3">
      <c r="A184" t="s">
        <v>192</v>
      </c>
      <c r="B184" t="s">
        <v>873</v>
      </c>
      <c r="C184" s="4" t="s">
        <v>1079</v>
      </c>
      <c r="D184" t="s">
        <v>1292</v>
      </c>
      <c r="E184" t="s">
        <v>1299</v>
      </c>
      <c r="F184" t="s">
        <v>1312</v>
      </c>
      <c r="G184">
        <v>470.89</v>
      </c>
      <c r="H184">
        <v>623</v>
      </c>
      <c r="I184">
        <v>152.11000000000001</v>
      </c>
      <c r="J184">
        <v>551.58000000000004</v>
      </c>
      <c r="K184">
        <v>470.89</v>
      </c>
      <c r="L184">
        <v>-80.690000000000055</v>
      </c>
    </row>
    <row r="185" spans="1:12" x14ac:dyDescent="0.3">
      <c r="A185" t="s">
        <v>193</v>
      </c>
      <c r="B185" t="s">
        <v>884</v>
      </c>
      <c r="C185" s="4" t="s">
        <v>958</v>
      </c>
      <c r="D185" t="s">
        <v>1292</v>
      </c>
      <c r="E185" t="s">
        <v>1294</v>
      </c>
      <c r="F185" t="s">
        <v>1333</v>
      </c>
      <c r="G185">
        <v>869.66</v>
      </c>
      <c r="H185">
        <v>1156.4000000000001</v>
      </c>
      <c r="I185">
        <v>286.74</v>
      </c>
      <c r="J185">
        <v>948.02</v>
      </c>
      <c r="K185">
        <v>869.66000000000008</v>
      </c>
      <c r="L185">
        <v>-78.360000000000014</v>
      </c>
    </row>
    <row r="186" spans="1:12" x14ac:dyDescent="0.3">
      <c r="A186" t="s">
        <v>194</v>
      </c>
      <c r="B186" t="s">
        <v>885</v>
      </c>
      <c r="C186" s="4" t="s">
        <v>1080</v>
      </c>
      <c r="D186" t="s">
        <v>1291</v>
      </c>
      <c r="E186" t="s">
        <v>1299</v>
      </c>
      <c r="F186" t="s">
        <v>1334</v>
      </c>
      <c r="G186">
        <v>1041.6099999999999</v>
      </c>
      <c r="H186">
        <v>1420.2638235294123</v>
      </c>
      <c r="I186">
        <v>-195.96</v>
      </c>
      <c r="J186">
        <v>1050.25</v>
      </c>
      <c r="K186">
        <v>1616.2238235294124</v>
      </c>
      <c r="L186">
        <v>-8.6400000000001</v>
      </c>
    </row>
    <row r="187" spans="1:12" x14ac:dyDescent="0.3">
      <c r="A187" t="s">
        <v>195</v>
      </c>
      <c r="B187" t="s">
        <v>886</v>
      </c>
      <c r="C187" s="4" t="s">
        <v>1081</v>
      </c>
      <c r="D187" t="s">
        <v>1292</v>
      </c>
      <c r="E187" t="s">
        <v>1294</v>
      </c>
      <c r="F187" t="s">
        <v>1333</v>
      </c>
      <c r="G187">
        <v>228.37</v>
      </c>
      <c r="H187">
        <v>305.54000000000002</v>
      </c>
      <c r="I187">
        <v>77.17</v>
      </c>
      <c r="J187">
        <v>247.69</v>
      </c>
      <c r="K187">
        <v>228.37</v>
      </c>
      <c r="L187">
        <v>-19.319999999999993</v>
      </c>
    </row>
    <row r="188" spans="1:12" x14ac:dyDescent="0.3">
      <c r="A188" t="s">
        <v>196</v>
      </c>
      <c r="B188" t="s">
        <v>797</v>
      </c>
      <c r="C188" s="4" t="s">
        <v>1052</v>
      </c>
      <c r="D188" t="s">
        <v>1291</v>
      </c>
      <c r="E188" t="s">
        <v>1297</v>
      </c>
      <c r="F188" t="s">
        <v>1319</v>
      </c>
      <c r="G188">
        <v>158.33000000000001</v>
      </c>
      <c r="H188">
        <v>221.24</v>
      </c>
      <c r="I188">
        <v>-33.19</v>
      </c>
      <c r="J188">
        <v>179.01</v>
      </c>
      <c r="K188">
        <v>254.43</v>
      </c>
      <c r="L188">
        <v>-20.679999999999978</v>
      </c>
    </row>
    <row r="189" spans="1:12" x14ac:dyDescent="0.3">
      <c r="A189" t="s">
        <v>197</v>
      </c>
      <c r="B189" t="s">
        <v>823</v>
      </c>
      <c r="C189" s="4" t="s">
        <v>1018</v>
      </c>
      <c r="D189" t="s">
        <v>1291</v>
      </c>
      <c r="E189" t="s">
        <v>1296</v>
      </c>
      <c r="F189" t="s">
        <v>1332</v>
      </c>
      <c r="G189">
        <v>7533.08</v>
      </c>
      <c r="H189">
        <v>9840.92</v>
      </c>
      <c r="I189">
        <v>-1476.14</v>
      </c>
      <c r="J189">
        <v>7002.44</v>
      </c>
      <c r="K189">
        <v>11317.06</v>
      </c>
      <c r="L189">
        <v>530.64000000000033</v>
      </c>
    </row>
    <row r="190" spans="1:12" x14ac:dyDescent="0.3">
      <c r="A190" t="s">
        <v>198</v>
      </c>
      <c r="B190" t="s">
        <v>869</v>
      </c>
      <c r="C190" s="4" t="s">
        <v>1082</v>
      </c>
      <c r="D190" t="s">
        <v>1292</v>
      </c>
      <c r="E190" t="s">
        <v>1296</v>
      </c>
      <c r="F190" t="s">
        <v>1332</v>
      </c>
      <c r="G190">
        <v>8391.6</v>
      </c>
      <c r="H190">
        <v>10026.73</v>
      </c>
      <c r="I190">
        <v>1635.13</v>
      </c>
      <c r="J190">
        <v>9006.27</v>
      </c>
      <c r="K190">
        <v>8391.5999999999985</v>
      </c>
      <c r="L190">
        <v>-614.67000000000007</v>
      </c>
    </row>
    <row r="191" spans="1:12" x14ac:dyDescent="0.3">
      <c r="A191" t="s">
        <v>199</v>
      </c>
      <c r="B191" t="s">
        <v>887</v>
      </c>
      <c r="C191" s="4" t="s">
        <v>1083</v>
      </c>
      <c r="D191" t="s">
        <v>1291</v>
      </c>
      <c r="E191" t="s">
        <v>1295</v>
      </c>
      <c r="F191" t="s">
        <v>1304</v>
      </c>
      <c r="G191">
        <v>752.66</v>
      </c>
      <c r="H191">
        <v>902.48</v>
      </c>
      <c r="I191">
        <v>-135.37</v>
      </c>
      <c r="J191">
        <v>870.92</v>
      </c>
      <c r="K191">
        <v>1037.8499999999999</v>
      </c>
      <c r="L191">
        <v>-118.25999999999999</v>
      </c>
    </row>
    <row r="192" spans="1:12" x14ac:dyDescent="0.3">
      <c r="A192" t="s">
        <v>200</v>
      </c>
      <c r="B192" t="s">
        <v>888</v>
      </c>
      <c r="C192" s="4" t="s">
        <v>1084</v>
      </c>
      <c r="D192" t="s">
        <v>1292</v>
      </c>
      <c r="E192" t="s">
        <v>1294</v>
      </c>
      <c r="F192" t="s">
        <v>1333</v>
      </c>
      <c r="G192">
        <v>771.23</v>
      </c>
      <c r="H192">
        <v>1049.8900000000001</v>
      </c>
      <c r="I192">
        <v>278.66000000000003</v>
      </c>
      <c r="J192">
        <v>813.74</v>
      </c>
      <c r="K192">
        <v>771.23</v>
      </c>
      <c r="L192">
        <v>-42.509999999999991</v>
      </c>
    </row>
    <row r="193" spans="1:12" x14ac:dyDescent="0.3">
      <c r="A193" t="s">
        <v>201</v>
      </c>
      <c r="B193" t="s">
        <v>834</v>
      </c>
      <c r="C193" s="4" t="s">
        <v>1085</v>
      </c>
      <c r="D193" t="s">
        <v>1292</v>
      </c>
      <c r="E193" t="s">
        <v>1293</v>
      </c>
      <c r="F193" t="s">
        <v>1300</v>
      </c>
      <c r="G193">
        <v>1219.4163333333336</v>
      </c>
      <c r="H193">
        <v>131.41999999999999</v>
      </c>
      <c r="I193">
        <v>31.42</v>
      </c>
      <c r="J193">
        <v>111.12</v>
      </c>
      <c r="K193">
        <v>99.999999999999986</v>
      </c>
      <c r="L193">
        <v>1108.2963333333337</v>
      </c>
    </row>
    <row r="194" spans="1:12" x14ac:dyDescent="0.3">
      <c r="A194" t="s">
        <v>202</v>
      </c>
      <c r="B194" t="s">
        <v>821</v>
      </c>
      <c r="C194" s="4" t="s">
        <v>1086</v>
      </c>
      <c r="D194" t="s">
        <v>1291</v>
      </c>
      <c r="E194" t="s">
        <v>1299</v>
      </c>
      <c r="F194" t="s">
        <v>1311</v>
      </c>
      <c r="G194">
        <v>36.67</v>
      </c>
      <c r="H194">
        <v>49.59</v>
      </c>
      <c r="I194">
        <v>-7.44</v>
      </c>
      <c r="J194">
        <v>36.33</v>
      </c>
      <c r="K194">
        <v>57.03</v>
      </c>
      <c r="L194">
        <v>0.34000000000000341</v>
      </c>
    </row>
    <row r="195" spans="1:12" x14ac:dyDescent="0.3">
      <c r="A195" t="s">
        <v>203</v>
      </c>
      <c r="B195" t="s">
        <v>836</v>
      </c>
      <c r="C195" s="4" t="s">
        <v>1087</v>
      </c>
      <c r="D195" t="s">
        <v>1292</v>
      </c>
      <c r="E195" t="s">
        <v>1297</v>
      </c>
      <c r="F195" t="s">
        <v>1331</v>
      </c>
      <c r="G195">
        <v>1219.4163333333336</v>
      </c>
      <c r="H195">
        <v>129.19</v>
      </c>
      <c r="I195">
        <v>29.19</v>
      </c>
      <c r="J195">
        <v>102.34</v>
      </c>
      <c r="K195">
        <v>100</v>
      </c>
      <c r="L195">
        <v>1117.0763333333337</v>
      </c>
    </row>
    <row r="196" spans="1:12" x14ac:dyDescent="0.3">
      <c r="A196" t="s">
        <v>204</v>
      </c>
      <c r="B196" t="s">
        <v>889</v>
      </c>
      <c r="C196" s="4" t="s">
        <v>1088</v>
      </c>
      <c r="D196" t="s">
        <v>1291</v>
      </c>
      <c r="E196" t="s">
        <v>1299</v>
      </c>
      <c r="F196" t="s">
        <v>1312</v>
      </c>
      <c r="G196">
        <v>807.25</v>
      </c>
      <c r="H196">
        <v>1034.79</v>
      </c>
      <c r="I196">
        <v>-155.22</v>
      </c>
      <c r="J196">
        <v>807.23</v>
      </c>
      <c r="K196">
        <v>1190.01</v>
      </c>
      <c r="L196">
        <v>1.999999999998181E-2</v>
      </c>
    </row>
    <row r="197" spans="1:12" x14ac:dyDescent="0.3">
      <c r="A197" t="s">
        <v>205</v>
      </c>
      <c r="B197" t="s">
        <v>837</v>
      </c>
      <c r="C197" s="4" t="s">
        <v>951</v>
      </c>
      <c r="D197" t="s">
        <v>1292</v>
      </c>
      <c r="E197" t="s">
        <v>1298</v>
      </c>
      <c r="F197" t="s">
        <v>1310</v>
      </c>
      <c r="G197">
        <v>1037.43</v>
      </c>
      <c r="H197">
        <v>1205.48</v>
      </c>
      <c r="I197">
        <v>168.05</v>
      </c>
      <c r="J197">
        <v>1000.63</v>
      </c>
      <c r="K197">
        <v>1037.43</v>
      </c>
      <c r="L197">
        <v>36.800000000000068</v>
      </c>
    </row>
    <row r="198" spans="1:12" x14ac:dyDescent="0.3">
      <c r="A198" t="s">
        <v>206</v>
      </c>
      <c r="B198" t="s">
        <v>871</v>
      </c>
      <c r="C198" s="4" t="s">
        <v>1089</v>
      </c>
      <c r="D198" t="s">
        <v>1291</v>
      </c>
      <c r="E198" t="s">
        <v>1293</v>
      </c>
      <c r="F198" t="s">
        <v>1300</v>
      </c>
      <c r="G198">
        <v>208.97</v>
      </c>
      <c r="H198">
        <v>290.14</v>
      </c>
      <c r="I198">
        <v>-43.52</v>
      </c>
      <c r="J198">
        <v>250.43</v>
      </c>
      <c r="K198">
        <v>333.65999999999997</v>
      </c>
      <c r="L198">
        <v>-41.460000000000008</v>
      </c>
    </row>
    <row r="199" spans="1:12" x14ac:dyDescent="0.3">
      <c r="A199" t="s">
        <v>207</v>
      </c>
      <c r="B199" t="s">
        <v>890</v>
      </c>
      <c r="C199" s="4" t="s">
        <v>1090</v>
      </c>
      <c r="D199" t="s">
        <v>1292</v>
      </c>
      <c r="E199" t="s">
        <v>1299</v>
      </c>
      <c r="F199" t="s">
        <v>1311</v>
      </c>
      <c r="G199">
        <v>420.69</v>
      </c>
      <c r="H199">
        <v>568.63</v>
      </c>
      <c r="I199">
        <v>147.94</v>
      </c>
      <c r="J199">
        <v>473.54</v>
      </c>
      <c r="K199">
        <v>420.69</v>
      </c>
      <c r="L199">
        <v>-52.850000000000023</v>
      </c>
    </row>
    <row r="200" spans="1:12" x14ac:dyDescent="0.3">
      <c r="A200" t="s">
        <v>208</v>
      </c>
      <c r="B200" t="s">
        <v>867</v>
      </c>
      <c r="C200" s="4" t="s">
        <v>1091</v>
      </c>
      <c r="D200" t="s">
        <v>1292</v>
      </c>
      <c r="E200" t="s">
        <v>1294</v>
      </c>
      <c r="F200" t="s">
        <v>1314</v>
      </c>
      <c r="G200">
        <v>461.4</v>
      </c>
      <c r="H200">
        <v>556.80999999999995</v>
      </c>
      <c r="I200">
        <v>95.41</v>
      </c>
      <c r="J200">
        <v>446.28</v>
      </c>
      <c r="K200">
        <v>461.4</v>
      </c>
      <c r="L200">
        <v>15.120000000000005</v>
      </c>
    </row>
    <row r="201" spans="1:12" x14ac:dyDescent="0.3">
      <c r="A201" t="s">
        <v>209</v>
      </c>
      <c r="B201" t="s">
        <v>891</v>
      </c>
      <c r="C201" s="4" t="s">
        <v>1092</v>
      </c>
      <c r="D201" t="s">
        <v>1291</v>
      </c>
      <c r="E201" t="s">
        <v>1299</v>
      </c>
      <c r="F201" t="s">
        <v>1312</v>
      </c>
      <c r="G201">
        <v>667.69</v>
      </c>
      <c r="H201">
        <v>805.72</v>
      </c>
      <c r="I201">
        <v>-120.86</v>
      </c>
      <c r="J201">
        <v>655.7</v>
      </c>
      <c r="K201">
        <v>926.58</v>
      </c>
      <c r="L201">
        <v>11.990000000000009</v>
      </c>
    </row>
    <row r="202" spans="1:12" x14ac:dyDescent="0.3">
      <c r="A202" t="s">
        <v>210</v>
      </c>
      <c r="B202" t="s">
        <v>868</v>
      </c>
      <c r="C202" s="4" t="s">
        <v>1093</v>
      </c>
      <c r="D202" t="s">
        <v>1291</v>
      </c>
      <c r="E202" t="s">
        <v>1293</v>
      </c>
      <c r="F202" t="s">
        <v>1300</v>
      </c>
      <c r="G202">
        <v>358.78</v>
      </c>
      <c r="H202">
        <v>464.94</v>
      </c>
      <c r="I202">
        <v>-69.739999999999995</v>
      </c>
      <c r="J202">
        <v>353.28</v>
      </c>
      <c r="K202">
        <v>534.67999999999995</v>
      </c>
      <c r="L202">
        <v>5.5</v>
      </c>
    </row>
    <row r="203" spans="1:12" x14ac:dyDescent="0.3">
      <c r="A203" t="s">
        <v>211</v>
      </c>
      <c r="B203" t="s">
        <v>816</v>
      </c>
      <c r="C203" s="4" t="s">
        <v>1012</v>
      </c>
      <c r="D203" t="s">
        <v>1292</v>
      </c>
      <c r="E203" t="s">
        <v>1294</v>
      </c>
      <c r="F203" t="s">
        <v>1333</v>
      </c>
      <c r="G203">
        <v>80.58</v>
      </c>
      <c r="H203">
        <v>111.45</v>
      </c>
      <c r="I203">
        <v>30.87</v>
      </c>
      <c r="J203">
        <v>91.83</v>
      </c>
      <c r="K203">
        <v>80.58</v>
      </c>
      <c r="L203">
        <v>-11.25</v>
      </c>
    </row>
    <row r="204" spans="1:12" x14ac:dyDescent="0.3">
      <c r="A204" t="s">
        <v>212</v>
      </c>
      <c r="B204" t="s">
        <v>791</v>
      </c>
      <c r="C204" s="4" t="s">
        <v>1094</v>
      </c>
      <c r="D204" t="s">
        <v>1291</v>
      </c>
      <c r="E204" t="s">
        <v>1295</v>
      </c>
      <c r="F204" t="s">
        <v>1304</v>
      </c>
      <c r="G204">
        <v>1149.1400000000001</v>
      </c>
      <c r="H204">
        <v>1451.05</v>
      </c>
      <c r="I204">
        <v>-217.66</v>
      </c>
      <c r="J204">
        <v>1098.27</v>
      </c>
      <c r="K204">
        <v>1668.71</v>
      </c>
      <c r="L204">
        <v>50.870000000000118</v>
      </c>
    </row>
    <row r="205" spans="1:12" x14ac:dyDescent="0.3">
      <c r="A205" t="s">
        <v>213</v>
      </c>
      <c r="B205" t="s">
        <v>864</v>
      </c>
      <c r="C205" s="4" t="s">
        <v>1095</v>
      </c>
      <c r="D205" t="s">
        <v>1292</v>
      </c>
      <c r="E205" t="s">
        <v>1298</v>
      </c>
      <c r="F205" t="s">
        <v>1306</v>
      </c>
      <c r="G205">
        <v>269.2</v>
      </c>
      <c r="H205">
        <v>371.71</v>
      </c>
      <c r="I205">
        <v>102.51</v>
      </c>
      <c r="J205">
        <v>289.04000000000002</v>
      </c>
      <c r="K205">
        <v>269.2</v>
      </c>
      <c r="L205">
        <v>-19.840000000000032</v>
      </c>
    </row>
    <row r="206" spans="1:12" x14ac:dyDescent="0.3">
      <c r="A206" t="s">
        <v>214</v>
      </c>
      <c r="B206" t="s">
        <v>892</v>
      </c>
      <c r="C206" s="4" t="s">
        <v>969</v>
      </c>
      <c r="D206" t="s">
        <v>1291</v>
      </c>
      <c r="E206" t="s">
        <v>1299</v>
      </c>
      <c r="F206" t="s">
        <v>1334</v>
      </c>
      <c r="G206">
        <v>472.98</v>
      </c>
      <c r="H206">
        <v>578.79999999999995</v>
      </c>
      <c r="I206">
        <v>-86.82</v>
      </c>
      <c r="J206">
        <v>433.02</v>
      </c>
      <c r="K206">
        <v>665.61999999999989</v>
      </c>
      <c r="L206">
        <v>39.960000000000036</v>
      </c>
    </row>
    <row r="207" spans="1:12" x14ac:dyDescent="0.3">
      <c r="A207" t="s">
        <v>215</v>
      </c>
      <c r="B207" t="s">
        <v>893</v>
      </c>
      <c r="C207" s="4" t="s">
        <v>1096</v>
      </c>
      <c r="D207" t="s">
        <v>1292</v>
      </c>
      <c r="E207" t="s">
        <v>1294</v>
      </c>
      <c r="F207" t="s">
        <v>1314</v>
      </c>
      <c r="G207">
        <v>669.21</v>
      </c>
      <c r="H207">
        <v>836.9</v>
      </c>
      <c r="I207">
        <v>167.69</v>
      </c>
      <c r="J207">
        <v>612.04</v>
      </c>
      <c r="K207">
        <v>669.21</v>
      </c>
      <c r="L207">
        <v>57.170000000000073</v>
      </c>
    </row>
    <row r="208" spans="1:12" x14ac:dyDescent="0.3">
      <c r="A208" t="s">
        <v>216</v>
      </c>
      <c r="B208" t="s">
        <v>818</v>
      </c>
      <c r="C208" s="4" t="s">
        <v>1097</v>
      </c>
      <c r="D208" t="s">
        <v>1292</v>
      </c>
      <c r="E208" t="s">
        <v>1299</v>
      </c>
      <c r="F208" t="s">
        <v>1334</v>
      </c>
      <c r="G208">
        <v>527.47</v>
      </c>
      <c r="H208">
        <v>724.54</v>
      </c>
      <c r="I208">
        <v>197.07</v>
      </c>
      <c r="J208">
        <v>534.80999999999995</v>
      </c>
      <c r="K208">
        <v>527.47</v>
      </c>
      <c r="L208">
        <v>-7.3399999999999181</v>
      </c>
    </row>
    <row r="209" spans="1:12" x14ac:dyDescent="0.3">
      <c r="A209" t="s">
        <v>217</v>
      </c>
      <c r="B209" t="s">
        <v>894</v>
      </c>
      <c r="C209" s="4" t="s">
        <v>1098</v>
      </c>
      <c r="D209" t="s">
        <v>1292</v>
      </c>
      <c r="E209" t="s">
        <v>1297</v>
      </c>
      <c r="F209" t="s">
        <v>1319</v>
      </c>
      <c r="G209">
        <v>848.52</v>
      </c>
      <c r="H209">
        <v>1127.79</v>
      </c>
      <c r="I209">
        <v>279.27</v>
      </c>
      <c r="J209">
        <v>908.92</v>
      </c>
      <c r="K209">
        <v>848.52</v>
      </c>
      <c r="L209">
        <v>-60.399999999999977</v>
      </c>
    </row>
    <row r="210" spans="1:12" x14ac:dyDescent="0.3">
      <c r="A210" t="s">
        <v>218</v>
      </c>
      <c r="B210" t="s">
        <v>829</v>
      </c>
      <c r="C210" s="4" t="s">
        <v>987</v>
      </c>
      <c r="D210" t="s">
        <v>1292</v>
      </c>
      <c r="E210" t="s">
        <v>1295</v>
      </c>
      <c r="F210" t="s">
        <v>1304</v>
      </c>
      <c r="G210">
        <v>296.99</v>
      </c>
      <c r="H210">
        <v>362.29</v>
      </c>
      <c r="I210">
        <v>65.3</v>
      </c>
      <c r="J210">
        <v>310</v>
      </c>
      <c r="K210">
        <v>296.99</v>
      </c>
      <c r="L210">
        <v>-13.009999999999991</v>
      </c>
    </row>
    <row r="211" spans="1:12" x14ac:dyDescent="0.3">
      <c r="A211" t="s">
        <v>219</v>
      </c>
      <c r="B211" t="s">
        <v>863</v>
      </c>
      <c r="C211" s="4" t="s">
        <v>1099</v>
      </c>
      <c r="D211" t="s">
        <v>1291</v>
      </c>
      <c r="E211" t="s">
        <v>1295</v>
      </c>
      <c r="F211" t="s">
        <v>1329</v>
      </c>
      <c r="G211">
        <v>1058.78</v>
      </c>
      <c r="H211">
        <v>1409.68</v>
      </c>
      <c r="I211">
        <v>-211.45</v>
      </c>
      <c r="J211">
        <v>1146.8399999999999</v>
      </c>
      <c r="K211">
        <v>1621.13</v>
      </c>
      <c r="L211">
        <v>-88.059999999999945</v>
      </c>
    </row>
    <row r="212" spans="1:12" x14ac:dyDescent="0.3">
      <c r="A212" t="s">
        <v>220</v>
      </c>
      <c r="B212" t="s">
        <v>803</v>
      </c>
      <c r="C212" s="4" t="s">
        <v>1100</v>
      </c>
      <c r="D212" t="s">
        <v>1291</v>
      </c>
      <c r="E212" t="s">
        <v>1294</v>
      </c>
      <c r="F212" t="s">
        <v>1333</v>
      </c>
      <c r="G212">
        <v>180.21</v>
      </c>
      <c r="H212">
        <v>209.07</v>
      </c>
      <c r="I212">
        <v>-31.36</v>
      </c>
      <c r="J212">
        <v>207.59</v>
      </c>
      <c r="K212">
        <v>240.43</v>
      </c>
      <c r="L212">
        <v>-27.379999999999995</v>
      </c>
    </row>
    <row r="213" spans="1:12" x14ac:dyDescent="0.3">
      <c r="A213" t="s">
        <v>221</v>
      </c>
      <c r="B213" t="s">
        <v>883</v>
      </c>
      <c r="C213" s="4" t="s">
        <v>1101</v>
      </c>
      <c r="D213" t="s">
        <v>1292</v>
      </c>
      <c r="E213" t="s">
        <v>1294</v>
      </c>
      <c r="F213" t="s">
        <v>1314</v>
      </c>
      <c r="G213">
        <v>1121.73</v>
      </c>
      <c r="H213">
        <v>1362.34</v>
      </c>
      <c r="I213">
        <v>240.61</v>
      </c>
      <c r="J213">
        <v>1228.8399999999999</v>
      </c>
      <c r="K213">
        <v>1121.73</v>
      </c>
      <c r="L213">
        <v>-107.1099999999999</v>
      </c>
    </row>
    <row r="214" spans="1:12" x14ac:dyDescent="0.3">
      <c r="A214" t="s">
        <v>222</v>
      </c>
      <c r="B214" t="s">
        <v>883</v>
      </c>
      <c r="C214" s="4" t="s">
        <v>1102</v>
      </c>
      <c r="D214" t="s">
        <v>1291</v>
      </c>
      <c r="E214" t="s">
        <v>1295</v>
      </c>
      <c r="F214" t="s">
        <v>1313</v>
      </c>
      <c r="G214">
        <v>869.44</v>
      </c>
      <c r="H214">
        <v>1086.06</v>
      </c>
      <c r="I214">
        <v>-162.91</v>
      </c>
      <c r="J214">
        <v>875.15</v>
      </c>
      <c r="K214">
        <v>1248.97</v>
      </c>
      <c r="L214">
        <v>-5.7099999999999227</v>
      </c>
    </row>
    <row r="215" spans="1:12" x14ac:dyDescent="0.3">
      <c r="A215" t="s">
        <v>223</v>
      </c>
      <c r="B215" t="s">
        <v>874</v>
      </c>
      <c r="C215" s="4" t="s">
        <v>978</v>
      </c>
      <c r="D215" t="s">
        <v>1292</v>
      </c>
      <c r="E215" t="s">
        <v>1293</v>
      </c>
      <c r="F215" t="s">
        <v>1320</v>
      </c>
      <c r="G215">
        <v>1114.18</v>
      </c>
      <c r="H215">
        <v>1535.96</v>
      </c>
      <c r="I215">
        <v>421.78</v>
      </c>
      <c r="J215">
        <v>1249.27</v>
      </c>
      <c r="K215">
        <v>1114.18</v>
      </c>
      <c r="L215">
        <v>-135.08999999999992</v>
      </c>
    </row>
    <row r="216" spans="1:12" x14ac:dyDescent="0.3">
      <c r="A216" t="s">
        <v>224</v>
      </c>
      <c r="B216" t="s">
        <v>895</v>
      </c>
      <c r="C216" s="4" t="s">
        <v>1103</v>
      </c>
      <c r="D216" t="s">
        <v>1292</v>
      </c>
      <c r="E216" t="s">
        <v>1298</v>
      </c>
      <c r="F216" t="s">
        <v>1310</v>
      </c>
      <c r="G216">
        <v>215.38</v>
      </c>
      <c r="H216">
        <v>287.06</v>
      </c>
      <c r="I216">
        <v>71.680000000000007</v>
      </c>
      <c r="J216">
        <v>243.79</v>
      </c>
      <c r="K216">
        <v>215.38</v>
      </c>
      <c r="L216">
        <v>-28.409999999999997</v>
      </c>
    </row>
    <row r="217" spans="1:12" x14ac:dyDescent="0.3">
      <c r="A217" t="s">
        <v>225</v>
      </c>
      <c r="B217" t="s">
        <v>896</v>
      </c>
      <c r="C217" s="4" t="s">
        <v>941</v>
      </c>
      <c r="D217" t="s">
        <v>1292</v>
      </c>
      <c r="E217" t="s">
        <v>1299</v>
      </c>
      <c r="F217" t="s">
        <v>1334</v>
      </c>
      <c r="G217">
        <v>698.17</v>
      </c>
      <c r="H217">
        <v>903.58</v>
      </c>
      <c r="I217">
        <v>205.41</v>
      </c>
      <c r="J217">
        <v>806.01</v>
      </c>
      <c r="K217">
        <v>698.17000000000007</v>
      </c>
      <c r="L217">
        <v>-107.84000000000003</v>
      </c>
    </row>
    <row r="218" spans="1:12" x14ac:dyDescent="0.3">
      <c r="A218" t="s">
        <v>226</v>
      </c>
      <c r="B218" t="s">
        <v>835</v>
      </c>
      <c r="C218" s="4" t="s">
        <v>1104</v>
      </c>
      <c r="D218" t="s">
        <v>1291</v>
      </c>
      <c r="E218" t="s">
        <v>1298</v>
      </c>
      <c r="F218" t="s">
        <v>1310</v>
      </c>
      <c r="G218">
        <v>417.51</v>
      </c>
      <c r="H218">
        <v>582.95000000000005</v>
      </c>
      <c r="I218">
        <v>-87.44</v>
      </c>
      <c r="J218">
        <v>419.1</v>
      </c>
      <c r="K218">
        <v>670.3900000000001</v>
      </c>
      <c r="L218">
        <v>-1.5900000000000318</v>
      </c>
    </row>
    <row r="219" spans="1:12" x14ac:dyDescent="0.3">
      <c r="A219" t="s">
        <v>227</v>
      </c>
      <c r="B219" t="s">
        <v>845</v>
      </c>
      <c r="C219" s="4" t="s">
        <v>1105</v>
      </c>
      <c r="D219" t="s">
        <v>1291</v>
      </c>
      <c r="E219" t="s">
        <v>1293</v>
      </c>
      <c r="F219" t="s">
        <v>1320</v>
      </c>
      <c r="G219">
        <v>1111</v>
      </c>
      <c r="H219">
        <v>1430.85</v>
      </c>
      <c r="I219">
        <v>-214.63</v>
      </c>
      <c r="J219">
        <v>1049.57</v>
      </c>
      <c r="K219">
        <v>1645.48</v>
      </c>
      <c r="L219">
        <v>61.430000000000064</v>
      </c>
    </row>
    <row r="220" spans="1:12" x14ac:dyDescent="0.3">
      <c r="A220" t="s">
        <v>228</v>
      </c>
      <c r="B220" t="s">
        <v>897</v>
      </c>
      <c r="C220" s="4" t="s">
        <v>1062</v>
      </c>
      <c r="D220" t="s">
        <v>1292</v>
      </c>
      <c r="E220" t="s">
        <v>1294</v>
      </c>
      <c r="F220" t="s">
        <v>1314</v>
      </c>
      <c r="G220">
        <v>55.96</v>
      </c>
      <c r="H220">
        <v>71.58</v>
      </c>
      <c r="I220">
        <v>15.62</v>
      </c>
      <c r="J220">
        <v>50.49</v>
      </c>
      <c r="K220">
        <v>55.96</v>
      </c>
      <c r="L220">
        <v>5.4699999999999989</v>
      </c>
    </row>
    <row r="221" spans="1:12" x14ac:dyDescent="0.3">
      <c r="A221" t="s">
        <v>229</v>
      </c>
      <c r="B221" t="s">
        <v>854</v>
      </c>
      <c r="C221" s="4" t="s">
        <v>1088</v>
      </c>
      <c r="D221" t="s">
        <v>1292</v>
      </c>
      <c r="E221" t="s">
        <v>1295</v>
      </c>
      <c r="F221" t="s">
        <v>1313</v>
      </c>
      <c r="G221">
        <v>992.37</v>
      </c>
      <c r="H221">
        <v>1183.57</v>
      </c>
      <c r="I221">
        <v>191.2</v>
      </c>
      <c r="J221">
        <v>974.03</v>
      </c>
      <c r="K221">
        <v>992.36999999999989</v>
      </c>
      <c r="L221">
        <v>18.340000000000032</v>
      </c>
    </row>
    <row r="222" spans="1:12" x14ac:dyDescent="0.3">
      <c r="A222" t="s">
        <v>230</v>
      </c>
      <c r="B222" t="s">
        <v>868</v>
      </c>
      <c r="C222" s="4" t="s">
        <v>1106</v>
      </c>
      <c r="D222" t="s">
        <v>1292</v>
      </c>
      <c r="E222" t="s">
        <v>1299</v>
      </c>
      <c r="F222" t="s">
        <v>1334</v>
      </c>
      <c r="G222">
        <v>1070.9100000000001</v>
      </c>
      <c r="H222">
        <v>1477.1</v>
      </c>
      <c r="I222">
        <v>406.19</v>
      </c>
      <c r="J222">
        <v>1279.06</v>
      </c>
      <c r="K222">
        <v>1070.9099999999999</v>
      </c>
      <c r="L222">
        <v>-208.14999999999986</v>
      </c>
    </row>
    <row r="223" spans="1:12" x14ac:dyDescent="0.3">
      <c r="A223" t="s">
        <v>231</v>
      </c>
      <c r="B223" t="s">
        <v>898</v>
      </c>
      <c r="C223" s="4" t="s">
        <v>1107</v>
      </c>
      <c r="D223" t="s">
        <v>1292</v>
      </c>
      <c r="E223" t="s">
        <v>1295</v>
      </c>
      <c r="F223" t="s">
        <v>1304</v>
      </c>
      <c r="G223">
        <v>249.12</v>
      </c>
      <c r="H223">
        <v>332.61</v>
      </c>
      <c r="I223">
        <v>83.49</v>
      </c>
      <c r="J223">
        <v>233.24</v>
      </c>
      <c r="K223">
        <v>249.12</v>
      </c>
      <c r="L223">
        <v>15.879999999999995</v>
      </c>
    </row>
    <row r="224" spans="1:12" x14ac:dyDescent="0.3">
      <c r="A224" t="s">
        <v>232</v>
      </c>
      <c r="B224" t="s">
        <v>872</v>
      </c>
      <c r="C224" s="4" t="s">
        <v>935</v>
      </c>
      <c r="D224" t="s">
        <v>1292</v>
      </c>
      <c r="E224" t="s">
        <v>1295</v>
      </c>
      <c r="F224" t="s">
        <v>1304</v>
      </c>
      <c r="G224">
        <v>1068.57</v>
      </c>
      <c r="H224">
        <v>1446.28</v>
      </c>
      <c r="I224">
        <v>377.71</v>
      </c>
      <c r="J224">
        <v>1242.1500000000001</v>
      </c>
      <c r="K224">
        <v>1068.57</v>
      </c>
      <c r="L224">
        <v>-173.58000000000015</v>
      </c>
    </row>
    <row r="225" spans="1:12" x14ac:dyDescent="0.3">
      <c r="A225" t="s">
        <v>233</v>
      </c>
      <c r="B225" t="s">
        <v>837</v>
      </c>
      <c r="C225" s="4" t="s">
        <v>1075</v>
      </c>
      <c r="D225" t="s">
        <v>1292</v>
      </c>
      <c r="E225" t="s">
        <v>1299</v>
      </c>
      <c r="F225" t="s">
        <v>1334</v>
      </c>
      <c r="G225">
        <v>114.45</v>
      </c>
      <c r="H225">
        <v>137.91999999999999</v>
      </c>
      <c r="I225">
        <v>23.47</v>
      </c>
      <c r="J225">
        <v>118.61</v>
      </c>
      <c r="K225">
        <v>114.44999999999999</v>
      </c>
      <c r="L225">
        <v>-4.1599999999999966</v>
      </c>
    </row>
    <row r="226" spans="1:12" x14ac:dyDescent="0.3">
      <c r="A226" t="s">
        <v>234</v>
      </c>
      <c r="B226" t="s">
        <v>820</v>
      </c>
      <c r="C226" s="4" t="s">
        <v>1066</v>
      </c>
      <c r="D226" t="s">
        <v>1291</v>
      </c>
      <c r="E226" t="s">
        <v>1296</v>
      </c>
      <c r="F226" t="s">
        <v>1332</v>
      </c>
      <c r="G226">
        <v>6122.83</v>
      </c>
      <c r="H226">
        <v>7572.91</v>
      </c>
      <c r="I226">
        <v>-1135.94</v>
      </c>
      <c r="J226">
        <v>5996.92</v>
      </c>
      <c r="K226">
        <v>8708.85</v>
      </c>
      <c r="L226">
        <v>125.90999999999985</v>
      </c>
    </row>
    <row r="227" spans="1:12" x14ac:dyDescent="0.3">
      <c r="A227" t="s">
        <v>235</v>
      </c>
      <c r="B227" t="s">
        <v>845</v>
      </c>
      <c r="C227" s="4" t="s">
        <v>1021</v>
      </c>
      <c r="D227" t="s">
        <v>1292</v>
      </c>
      <c r="E227" t="s">
        <v>1295</v>
      </c>
      <c r="F227" t="s">
        <v>1304</v>
      </c>
      <c r="G227">
        <v>375.39</v>
      </c>
      <c r="H227">
        <v>491.84</v>
      </c>
      <c r="I227">
        <v>116.45</v>
      </c>
      <c r="J227">
        <v>399.4</v>
      </c>
      <c r="K227">
        <v>375.39</v>
      </c>
      <c r="L227">
        <v>-24.009999999999991</v>
      </c>
    </row>
    <row r="228" spans="1:12" x14ac:dyDescent="0.3">
      <c r="A228" t="s">
        <v>236</v>
      </c>
      <c r="B228" t="s">
        <v>898</v>
      </c>
      <c r="C228" s="4" t="s">
        <v>1108</v>
      </c>
      <c r="D228" t="s">
        <v>1291</v>
      </c>
      <c r="E228" t="s">
        <v>1299</v>
      </c>
      <c r="F228" t="s">
        <v>1334</v>
      </c>
      <c r="G228">
        <v>181.43</v>
      </c>
      <c r="H228">
        <v>216.69</v>
      </c>
      <c r="I228">
        <v>-32.5</v>
      </c>
      <c r="J228">
        <v>192.05</v>
      </c>
      <c r="K228">
        <v>249.19</v>
      </c>
      <c r="L228">
        <v>-10.620000000000005</v>
      </c>
    </row>
    <row r="229" spans="1:12" x14ac:dyDescent="0.3">
      <c r="A229" t="s">
        <v>237</v>
      </c>
      <c r="B229" t="s">
        <v>838</v>
      </c>
      <c r="C229" s="4" t="s">
        <v>1010</v>
      </c>
      <c r="D229" t="s">
        <v>1291</v>
      </c>
      <c r="E229" t="s">
        <v>1296</v>
      </c>
      <c r="F229" t="s">
        <v>1330</v>
      </c>
      <c r="G229">
        <v>9110.3700000000008</v>
      </c>
      <c r="H229">
        <v>11408.57</v>
      </c>
      <c r="I229">
        <v>-1711.29</v>
      </c>
      <c r="J229">
        <v>10694.46</v>
      </c>
      <c r="K229">
        <v>13119.86</v>
      </c>
      <c r="L229">
        <v>-1584.0899999999983</v>
      </c>
    </row>
    <row r="230" spans="1:12" x14ac:dyDescent="0.3">
      <c r="A230" t="s">
        <v>238</v>
      </c>
      <c r="B230" t="s">
        <v>835</v>
      </c>
      <c r="C230" s="4" t="s">
        <v>1109</v>
      </c>
      <c r="D230" t="s">
        <v>1291</v>
      </c>
      <c r="E230" t="s">
        <v>1293</v>
      </c>
      <c r="F230" t="s">
        <v>1300</v>
      </c>
      <c r="G230">
        <v>854.74</v>
      </c>
      <c r="H230">
        <v>1163.81</v>
      </c>
      <c r="I230">
        <v>-174.57</v>
      </c>
      <c r="J230">
        <v>904.25</v>
      </c>
      <c r="K230">
        <v>1338.3799999999999</v>
      </c>
      <c r="L230">
        <v>-49.509999999999991</v>
      </c>
    </row>
    <row r="231" spans="1:12" x14ac:dyDescent="0.3">
      <c r="A231" t="s">
        <v>239</v>
      </c>
      <c r="B231" t="s">
        <v>825</v>
      </c>
      <c r="C231" s="4" t="s">
        <v>1110</v>
      </c>
      <c r="D231" t="s">
        <v>1291</v>
      </c>
      <c r="E231" t="s">
        <v>1298</v>
      </c>
      <c r="F231" t="s">
        <v>1310</v>
      </c>
      <c r="G231">
        <v>558.49</v>
      </c>
      <c r="H231">
        <v>656.15</v>
      </c>
      <c r="I231">
        <v>-98.42</v>
      </c>
      <c r="J231">
        <v>614.47</v>
      </c>
      <c r="K231">
        <v>754.56999999999994</v>
      </c>
      <c r="L231">
        <v>-55.980000000000018</v>
      </c>
    </row>
    <row r="232" spans="1:12" x14ac:dyDescent="0.3">
      <c r="A232" t="s">
        <v>240</v>
      </c>
      <c r="B232" t="s">
        <v>877</v>
      </c>
      <c r="C232" s="4" t="s">
        <v>1083</v>
      </c>
      <c r="D232" t="s">
        <v>1292</v>
      </c>
      <c r="E232" t="s">
        <v>1295</v>
      </c>
      <c r="F232" t="s">
        <v>1304</v>
      </c>
      <c r="G232">
        <v>1219.4163333333336</v>
      </c>
      <c r="H232">
        <v>127.42</v>
      </c>
      <c r="I232">
        <v>27.42</v>
      </c>
      <c r="J232">
        <v>117.69</v>
      </c>
      <c r="K232">
        <v>100</v>
      </c>
      <c r="L232">
        <v>1101.7263333333335</v>
      </c>
    </row>
    <row r="233" spans="1:12" x14ac:dyDescent="0.3">
      <c r="A233" t="s">
        <v>241</v>
      </c>
      <c r="B233" t="s">
        <v>814</v>
      </c>
      <c r="C233" s="4" t="s">
        <v>991</v>
      </c>
      <c r="D233" t="s">
        <v>1292</v>
      </c>
      <c r="E233" t="s">
        <v>1298</v>
      </c>
      <c r="F233" t="s">
        <v>1306</v>
      </c>
      <c r="G233">
        <v>689.47</v>
      </c>
      <c r="H233">
        <v>960</v>
      </c>
      <c r="I233">
        <v>270.52999999999997</v>
      </c>
      <c r="J233">
        <v>815.57</v>
      </c>
      <c r="K233">
        <v>689.47</v>
      </c>
      <c r="L233">
        <v>-126.10000000000002</v>
      </c>
    </row>
    <row r="234" spans="1:12" x14ac:dyDescent="0.3">
      <c r="A234" t="s">
        <v>242</v>
      </c>
      <c r="B234" t="s">
        <v>811</v>
      </c>
      <c r="C234" s="4" t="s">
        <v>1111</v>
      </c>
      <c r="D234" t="s">
        <v>1292</v>
      </c>
      <c r="E234" t="s">
        <v>1293</v>
      </c>
      <c r="F234" t="s">
        <v>1300</v>
      </c>
      <c r="G234">
        <v>541.44000000000005</v>
      </c>
      <c r="H234">
        <v>649.70000000000005</v>
      </c>
      <c r="I234">
        <v>108.26</v>
      </c>
      <c r="J234">
        <v>597.30999999999995</v>
      </c>
      <c r="K234">
        <v>541.44000000000005</v>
      </c>
      <c r="L234">
        <v>-55.869999999999891</v>
      </c>
    </row>
    <row r="235" spans="1:12" x14ac:dyDescent="0.3">
      <c r="A235" t="s">
        <v>243</v>
      </c>
      <c r="B235" t="s">
        <v>802</v>
      </c>
      <c r="C235" s="4" t="s">
        <v>1112</v>
      </c>
      <c r="D235" t="s">
        <v>1291</v>
      </c>
      <c r="E235" t="s">
        <v>1295</v>
      </c>
      <c r="F235" t="s">
        <v>1304</v>
      </c>
      <c r="G235">
        <v>483.65</v>
      </c>
      <c r="H235">
        <v>670.32</v>
      </c>
      <c r="I235">
        <v>-100.55</v>
      </c>
      <c r="J235">
        <v>456.89</v>
      </c>
      <c r="K235">
        <v>770.87</v>
      </c>
      <c r="L235">
        <v>26.759999999999991</v>
      </c>
    </row>
    <row r="236" spans="1:12" x14ac:dyDescent="0.3">
      <c r="A236" t="s">
        <v>244</v>
      </c>
      <c r="B236" t="s">
        <v>891</v>
      </c>
      <c r="C236" s="4" t="s">
        <v>974</v>
      </c>
      <c r="D236" t="s">
        <v>1291</v>
      </c>
      <c r="E236" t="s">
        <v>1297</v>
      </c>
      <c r="F236" t="s">
        <v>1309</v>
      </c>
      <c r="G236">
        <v>1219.4163333333336</v>
      </c>
      <c r="H236">
        <v>118.46</v>
      </c>
      <c r="I236">
        <v>-17.77</v>
      </c>
      <c r="J236">
        <v>113.78</v>
      </c>
      <c r="K236">
        <v>136.22999999999999</v>
      </c>
      <c r="L236">
        <v>1105.6363333333336</v>
      </c>
    </row>
    <row r="237" spans="1:12" x14ac:dyDescent="0.3">
      <c r="A237" t="s">
        <v>245</v>
      </c>
      <c r="B237" t="s">
        <v>853</v>
      </c>
      <c r="C237" s="4" t="s">
        <v>950</v>
      </c>
      <c r="D237" t="s">
        <v>1292</v>
      </c>
      <c r="E237" t="s">
        <v>1294</v>
      </c>
      <c r="F237" t="s">
        <v>1333</v>
      </c>
      <c r="G237">
        <v>117.06</v>
      </c>
      <c r="H237">
        <v>138.18</v>
      </c>
      <c r="I237">
        <v>21.12</v>
      </c>
      <c r="J237">
        <v>120.44</v>
      </c>
      <c r="K237">
        <v>117.06</v>
      </c>
      <c r="L237">
        <v>-3.3799999999999955</v>
      </c>
    </row>
    <row r="238" spans="1:12" x14ac:dyDescent="0.3">
      <c r="A238" t="s">
        <v>246</v>
      </c>
      <c r="B238" t="s">
        <v>846</v>
      </c>
      <c r="C238" s="4" t="s">
        <v>972</v>
      </c>
      <c r="D238" t="s">
        <v>1291</v>
      </c>
      <c r="E238" t="s">
        <v>1293</v>
      </c>
      <c r="F238" t="s">
        <v>1318</v>
      </c>
      <c r="G238">
        <v>1188.74</v>
      </c>
      <c r="H238">
        <v>1497.17</v>
      </c>
      <c r="I238">
        <v>-224.58</v>
      </c>
      <c r="J238">
        <v>1331.29</v>
      </c>
      <c r="K238">
        <v>1721.75</v>
      </c>
      <c r="L238">
        <v>-142.54999999999995</v>
      </c>
    </row>
    <row r="239" spans="1:12" x14ac:dyDescent="0.3">
      <c r="A239" t="s">
        <v>247</v>
      </c>
      <c r="B239" t="s">
        <v>790</v>
      </c>
      <c r="C239" s="4" t="s">
        <v>1113</v>
      </c>
      <c r="D239" t="s">
        <v>1292</v>
      </c>
      <c r="E239" t="s">
        <v>1299</v>
      </c>
      <c r="F239" t="s">
        <v>1312</v>
      </c>
      <c r="G239">
        <v>611.23</v>
      </c>
      <c r="H239">
        <v>766.76</v>
      </c>
      <c r="I239">
        <v>155.53</v>
      </c>
      <c r="J239">
        <v>590.92999999999995</v>
      </c>
      <c r="K239">
        <v>611.23</v>
      </c>
      <c r="L239">
        <v>20.300000000000068</v>
      </c>
    </row>
    <row r="240" spans="1:12" x14ac:dyDescent="0.3">
      <c r="A240" t="s">
        <v>248</v>
      </c>
      <c r="B240" t="s">
        <v>899</v>
      </c>
      <c r="C240" s="4" t="s">
        <v>1114</v>
      </c>
      <c r="D240" t="s">
        <v>1291</v>
      </c>
      <c r="E240" t="s">
        <v>1299</v>
      </c>
      <c r="F240" t="s">
        <v>1311</v>
      </c>
      <c r="G240">
        <v>1118.71</v>
      </c>
      <c r="H240">
        <v>1501.04</v>
      </c>
      <c r="I240">
        <v>-225.16</v>
      </c>
      <c r="J240">
        <v>1048.44</v>
      </c>
      <c r="K240">
        <v>1726.2</v>
      </c>
      <c r="L240">
        <v>70.269999999999982</v>
      </c>
    </row>
    <row r="241" spans="1:12" x14ac:dyDescent="0.3">
      <c r="A241" t="s">
        <v>249</v>
      </c>
      <c r="B241" t="s">
        <v>900</v>
      </c>
      <c r="C241" s="4" t="s">
        <v>1074</v>
      </c>
      <c r="D241" t="s">
        <v>1292</v>
      </c>
      <c r="E241" t="s">
        <v>1296</v>
      </c>
      <c r="F241" t="s">
        <v>1308</v>
      </c>
      <c r="G241">
        <v>5914.61</v>
      </c>
      <c r="H241">
        <v>7619.89</v>
      </c>
      <c r="I241">
        <v>1705.28</v>
      </c>
      <c r="J241">
        <v>5941.47</v>
      </c>
      <c r="K241">
        <v>5914.6100000000006</v>
      </c>
      <c r="L241">
        <v>-26.860000000000582</v>
      </c>
    </row>
    <row r="242" spans="1:12" x14ac:dyDescent="0.3">
      <c r="A242" t="s">
        <v>250</v>
      </c>
      <c r="B242" t="s">
        <v>815</v>
      </c>
      <c r="C242" s="4" t="s">
        <v>1115</v>
      </c>
      <c r="D242" t="s">
        <v>1292</v>
      </c>
      <c r="E242" t="s">
        <v>1298</v>
      </c>
      <c r="F242" t="s">
        <v>1306</v>
      </c>
      <c r="G242">
        <v>618.15</v>
      </c>
      <c r="H242">
        <v>803.52</v>
      </c>
      <c r="I242">
        <v>185.37</v>
      </c>
      <c r="J242">
        <v>681.55</v>
      </c>
      <c r="K242">
        <v>618.15</v>
      </c>
      <c r="L242">
        <v>-63.399999999999977</v>
      </c>
    </row>
    <row r="243" spans="1:12" x14ac:dyDescent="0.3">
      <c r="A243" t="s">
        <v>251</v>
      </c>
      <c r="B243" t="s">
        <v>888</v>
      </c>
      <c r="C243" s="4" t="s">
        <v>1058</v>
      </c>
      <c r="D243" t="s">
        <v>1292</v>
      </c>
      <c r="E243" t="s">
        <v>1293</v>
      </c>
      <c r="F243" t="s">
        <v>1318</v>
      </c>
      <c r="G243">
        <v>846.31</v>
      </c>
      <c r="H243">
        <v>1064.5899999999999</v>
      </c>
      <c r="I243">
        <v>218.28</v>
      </c>
      <c r="J243">
        <v>977.8</v>
      </c>
      <c r="K243">
        <v>846.31</v>
      </c>
      <c r="L243">
        <v>-131.49</v>
      </c>
    </row>
    <row r="244" spans="1:12" x14ac:dyDescent="0.3">
      <c r="A244" t="s">
        <v>252</v>
      </c>
      <c r="B244" t="s">
        <v>890</v>
      </c>
      <c r="C244" s="4" t="s">
        <v>1116</v>
      </c>
      <c r="D244" t="s">
        <v>1291</v>
      </c>
      <c r="E244" t="s">
        <v>1294</v>
      </c>
      <c r="F244" t="s">
        <v>1333</v>
      </c>
      <c r="G244">
        <v>1067.6199999999999</v>
      </c>
      <c r="H244">
        <v>1294.5999999999999</v>
      </c>
      <c r="I244">
        <v>-194.19</v>
      </c>
      <c r="J244">
        <v>1022.33</v>
      </c>
      <c r="K244">
        <v>1488.79</v>
      </c>
      <c r="L244">
        <v>45.28999999999985</v>
      </c>
    </row>
    <row r="245" spans="1:12" x14ac:dyDescent="0.3">
      <c r="A245" t="s">
        <v>253</v>
      </c>
      <c r="B245" t="s">
        <v>818</v>
      </c>
      <c r="C245" s="4" t="s">
        <v>972</v>
      </c>
      <c r="D245" t="s">
        <v>1291</v>
      </c>
      <c r="E245" t="s">
        <v>1296</v>
      </c>
      <c r="F245" t="s">
        <v>1308</v>
      </c>
      <c r="G245">
        <v>5534.32</v>
      </c>
      <c r="H245">
        <v>7685.91</v>
      </c>
      <c r="I245">
        <v>-1152.8900000000001</v>
      </c>
      <c r="J245">
        <v>6248.52</v>
      </c>
      <c r="K245">
        <v>8838.7999999999993</v>
      </c>
      <c r="L245">
        <v>-714.20000000000073</v>
      </c>
    </row>
    <row r="246" spans="1:12" x14ac:dyDescent="0.3">
      <c r="A246" t="s">
        <v>254</v>
      </c>
      <c r="B246" t="s">
        <v>860</v>
      </c>
      <c r="C246" s="4" t="s">
        <v>1117</v>
      </c>
      <c r="D246" t="s">
        <v>1291</v>
      </c>
      <c r="E246" t="s">
        <v>1293</v>
      </c>
      <c r="F246" t="s">
        <v>1318</v>
      </c>
      <c r="G246">
        <v>1134.6199999999999</v>
      </c>
      <c r="H246">
        <v>1420.2638235294123</v>
      </c>
      <c r="I246">
        <v>-197.22</v>
      </c>
      <c r="J246">
        <v>1201.2</v>
      </c>
      <c r="K246">
        <v>1617.4838235294123</v>
      </c>
      <c r="L246">
        <v>-66.580000000000155</v>
      </c>
    </row>
    <row r="247" spans="1:12" x14ac:dyDescent="0.3">
      <c r="A247" t="s">
        <v>255</v>
      </c>
      <c r="B247" t="s">
        <v>806</v>
      </c>
      <c r="C247" s="4" t="s">
        <v>1118</v>
      </c>
      <c r="D247" t="s">
        <v>1292</v>
      </c>
      <c r="E247" t="s">
        <v>1294</v>
      </c>
      <c r="F247" t="s">
        <v>1314</v>
      </c>
      <c r="G247">
        <v>762.45</v>
      </c>
      <c r="H247">
        <v>1033.6400000000001</v>
      </c>
      <c r="I247">
        <v>271.19</v>
      </c>
      <c r="J247">
        <v>692.23</v>
      </c>
      <c r="K247">
        <v>762.45</v>
      </c>
      <c r="L247">
        <v>70.220000000000027</v>
      </c>
    </row>
    <row r="248" spans="1:12" x14ac:dyDescent="0.3">
      <c r="A248" t="s">
        <v>256</v>
      </c>
      <c r="B248" t="s">
        <v>870</v>
      </c>
      <c r="C248" s="4" t="s">
        <v>1119</v>
      </c>
      <c r="D248" t="s">
        <v>1291</v>
      </c>
      <c r="E248" t="s">
        <v>1294</v>
      </c>
      <c r="F248" t="s">
        <v>1314</v>
      </c>
      <c r="G248">
        <v>362.16</v>
      </c>
      <c r="H248">
        <v>469.69</v>
      </c>
      <c r="I248">
        <v>-70.45</v>
      </c>
      <c r="J248">
        <v>351.9</v>
      </c>
      <c r="K248">
        <v>540.14</v>
      </c>
      <c r="L248">
        <v>10.260000000000048</v>
      </c>
    </row>
    <row r="249" spans="1:12" x14ac:dyDescent="0.3">
      <c r="A249" t="s">
        <v>257</v>
      </c>
      <c r="B249" t="s">
        <v>897</v>
      </c>
      <c r="C249" s="4" t="s">
        <v>951</v>
      </c>
      <c r="D249" t="s">
        <v>1291</v>
      </c>
      <c r="E249" t="s">
        <v>1298</v>
      </c>
      <c r="F249" t="s">
        <v>1306</v>
      </c>
      <c r="G249">
        <v>184.64</v>
      </c>
      <c r="H249">
        <v>252.81</v>
      </c>
      <c r="I249">
        <v>-37.92</v>
      </c>
      <c r="J249">
        <v>219.02</v>
      </c>
      <c r="K249">
        <v>290.73</v>
      </c>
      <c r="L249">
        <v>-34.380000000000024</v>
      </c>
    </row>
    <row r="250" spans="1:12" x14ac:dyDescent="0.3">
      <c r="A250" t="s">
        <v>258</v>
      </c>
      <c r="B250" t="s">
        <v>858</v>
      </c>
      <c r="C250" s="4" t="s">
        <v>1120</v>
      </c>
      <c r="D250" t="s">
        <v>1292</v>
      </c>
      <c r="E250" t="s">
        <v>1299</v>
      </c>
      <c r="F250" t="s">
        <v>1312</v>
      </c>
      <c r="G250">
        <v>305.86</v>
      </c>
      <c r="H250">
        <v>355.98</v>
      </c>
      <c r="I250">
        <v>50.12</v>
      </c>
      <c r="J250">
        <v>321.52</v>
      </c>
      <c r="K250">
        <v>305.86</v>
      </c>
      <c r="L250">
        <v>-15.659999999999968</v>
      </c>
    </row>
    <row r="251" spans="1:12" x14ac:dyDescent="0.3">
      <c r="A251" t="s">
        <v>259</v>
      </c>
      <c r="B251" t="s">
        <v>901</v>
      </c>
      <c r="C251" s="4" t="s">
        <v>1121</v>
      </c>
      <c r="D251" t="s">
        <v>1292</v>
      </c>
      <c r="E251" t="s">
        <v>1295</v>
      </c>
      <c r="F251" t="s">
        <v>1313</v>
      </c>
      <c r="G251">
        <v>1000.52</v>
      </c>
      <c r="H251">
        <v>1223.2</v>
      </c>
      <c r="I251">
        <v>222.68</v>
      </c>
      <c r="J251">
        <v>1195.92</v>
      </c>
      <c r="K251">
        <v>1000.52</v>
      </c>
      <c r="L251">
        <v>-195.40000000000009</v>
      </c>
    </row>
    <row r="252" spans="1:12" x14ac:dyDescent="0.3">
      <c r="A252" t="s">
        <v>260</v>
      </c>
      <c r="B252" t="s">
        <v>902</v>
      </c>
      <c r="C252" s="4" t="s">
        <v>1099</v>
      </c>
      <c r="D252" t="s">
        <v>1291</v>
      </c>
      <c r="E252" t="s">
        <v>1298</v>
      </c>
      <c r="F252" t="s">
        <v>1310</v>
      </c>
      <c r="G252">
        <v>273.69</v>
      </c>
      <c r="H252">
        <v>318.99</v>
      </c>
      <c r="I252">
        <v>-47.85</v>
      </c>
      <c r="J252">
        <v>308.3</v>
      </c>
      <c r="K252">
        <v>366.84000000000003</v>
      </c>
      <c r="L252">
        <v>-34.610000000000014</v>
      </c>
    </row>
    <row r="253" spans="1:12" x14ac:dyDescent="0.3">
      <c r="A253" t="s">
        <v>261</v>
      </c>
      <c r="B253" t="s">
        <v>882</v>
      </c>
      <c r="C253" s="4" t="s">
        <v>1100</v>
      </c>
      <c r="D253" t="s">
        <v>1292</v>
      </c>
      <c r="E253" t="s">
        <v>1296</v>
      </c>
      <c r="F253" t="s">
        <v>1308</v>
      </c>
      <c r="G253">
        <v>6205.86</v>
      </c>
      <c r="H253">
        <v>7887.63</v>
      </c>
      <c r="I253">
        <v>1681.77</v>
      </c>
      <c r="J253">
        <v>6361.35</v>
      </c>
      <c r="K253">
        <v>6205.8600000000006</v>
      </c>
      <c r="L253">
        <v>-155.49000000000069</v>
      </c>
    </row>
    <row r="254" spans="1:12" x14ac:dyDescent="0.3">
      <c r="A254" t="s">
        <v>262</v>
      </c>
      <c r="B254" t="s">
        <v>810</v>
      </c>
      <c r="C254" s="4" t="s">
        <v>1101</v>
      </c>
      <c r="D254" t="s">
        <v>1292</v>
      </c>
      <c r="E254" t="s">
        <v>1293</v>
      </c>
      <c r="F254" t="s">
        <v>1300</v>
      </c>
      <c r="G254">
        <v>158.31</v>
      </c>
      <c r="H254">
        <v>191.19</v>
      </c>
      <c r="I254">
        <v>32.880000000000003</v>
      </c>
      <c r="J254">
        <v>189.74</v>
      </c>
      <c r="K254">
        <v>158.31</v>
      </c>
      <c r="L254">
        <v>-31.430000000000007</v>
      </c>
    </row>
    <row r="255" spans="1:12" x14ac:dyDescent="0.3">
      <c r="A255" t="s">
        <v>263</v>
      </c>
      <c r="B255" t="s">
        <v>896</v>
      </c>
      <c r="C255" s="4" t="s">
        <v>948</v>
      </c>
      <c r="D255" t="s">
        <v>1292</v>
      </c>
      <c r="E255" t="s">
        <v>1295</v>
      </c>
      <c r="F255" t="s">
        <v>1304</v>
      </c>
      <c r="G255">
        <v>50.67</v>
      </c>
      <c r="H255">
        <v>58.31</v>
      </c>
      <c r="I255">
        <v>7.64</v>
      </c>
      <c r="J255">
        <v>56.93</v>
      </c>
      <c r="K255">
        <v>50.67</v>
      </c>
      <c r="L255">
        <v>-6.259999999999998</v>
      </c>
    </row>
    <row r="256" spans="1:12" x14ac:dyDescent="0.3">
      <c r="A256" t="s">
        <v>264</v>
      </c>
      <c r="B256" t="s">
        <v>903</v>
      </c>
      <c r="C256" s="4" t="s">
        <v>951</v>
      </c>
      <c r="D256" t="s">
        <v>1291</v>
      </c>
      <c r="E256" t="s">
        <v>1298</v>
      </c>
      <c r="F256" t="s">
        <v>1310</v>
      </c>
      <c r="G256">
        <v>617.29999999999995</v>
      </c>
      <c r="H256">
        <v>728.41</v>
      </c>
      <c r="I256">
        <v>-109.26</v>
      </c>
      <c r="J256">
        <v>630.44000000000005</v>
      </c>
      <c r="K256">
        <v>837.67</v>
      </c>
      <c r="L256">
        <v>-13.1400000000001</v>
      </c>
    </row>
    <row r="257" spans="1:12" x14ac:dyDescent="0.3">
      <c r="A257" t="s">
        <v>265</v>
      </c>
      <c r="B257" t="s">
        <v>875</v>
      </c>
      <c r="C257" s="4" t="s">
        <v>1122</v>
      </c>
      <c r="D257" t="s">
        <v>1292</v>
      </c>
      <c r="E257" t="s">
        <v>1296</v>
      </c>
      <c r="F257" t="s">
        <v>1308</v>
      </c>
      <c r="G257">
        <v>7853.62</v>
      </c>
      <c r="H257">
        <v>10498.53</v>
      </c>
      <c r="I257">
        <v>2644.91</v>
      </c>
      <c r="J257">
        <v>7593.03</v>
      </c>
      <c r="K257">
        <v>7853.6200000000008</v>
      </c>
      <c r="L257">
        <v>260.59000000000015</v>
      </c>
    </row>
    <row r="258" spans="1:12" x14ac:dyDescent="0.3">
      <c r="A258" t="s">
        <v>266</v>
      </c>
      <c r="B258" t="s">
        <v>859</v>
      </c>
      <c r="C258" s="4" t="s">
        <v>1123</v>
      </c>
      <c r="D258" t="s">
        <v>1291</v>
      </c>
      <c r="E258" t="s">
        <v>1295</v>
      </c>
      <c r="F258" t="s">
        <v>1304</v>
      </c>
      <c r="G258">
        <v>1092.52</v>
      </c>
      <c r="H258">
        <v>1504.52</v>
      </c>
      <c r="I258">
        <v>-225.68</v>
      </c>
      <c r="J258">
        <v>1058.3699999999999</v>
      </c>
      <c r="K258">
        <v>1730.2</v>
      </c>
      <c r="L258">
        <v>34.150000000000091</v>
      </c>
    </row>
    <row r="259" spans="1:12" x14ac:dyDescent="0.3">
      <c r="A259" t="s">
        <v>267</v>
      </c>
      <c r="B259" t="s">
        <v>851</v>
      </c>
      <c r="C259" s="4" t="s">
        <v>1124</v>
      </c>
      <c r="D259" t="s">
        <v>1291</v>
      </c>
      <c r="E259" t="s">
        <v>1297</v>
      </c>
      <c r="F259" t="s">
        <v>1319</v>
      </c>
      <c r="G259">
        <v>94.47</v>
      </c>
      <c r="H259">
        <v>109.42</v>
      </c>
      <c r="I259">
        <v>-16.41</v>
      </c>
      <c r="J259">
        <v>105.78</v>
      </c>
      <c r="K259">
        <v>125.83</v>
      </c>
      <c r="L259">
        <v>-11.310000000000002</v>
      </c>
    </row>
    <row r="260" spans="1:12" x14ac:dyDescent="0.3">
      <c r="A260" t="s">
        <v>268</v>
      </c>
      <c r="B260" t="s">
        <v>875</v>
      </c>
      <c r="C260" s="4" t="s">
        <v>1106</v>
      </c>
      <c r="D260" t="s">
        <v>1292</v>
      </c>
      <c r="E260" t="s">
        <v>1295</v>
      </c>
      <c r="F260" t="s">
        <v>1329</v>
      </c>
      <c r="G260">
        <v>137.28</v>
      </c>
      <c r="H260">
        <v>164.55</v>
      </c>
      <c r="I260">
        <v>27.27</v>
      </c>
      <c r="J260">
        <v>161.36000000000001</v>
      </c>
      <c r="K260">
        <v>137.28</v>
      </c>
      <c r="L260">
        <v>-24.080000000000013</v>
      </c>
    </row>
    <row r="261" spans="1:12" x14ac:dyDescent="0.3">
      <c r="A261" t="s">
        <v>269</v>
      </c>
      <c r="B261" t="s">
        <v>904</v>
      </c>
      <c r="C261" s="4" t="s">
        <v>1125</v>
      </c>
      <c r="D261" t="s">
        <v>1292</v>
      </c>
      <c r="E261" t="s">
        <v>1294</v>
      </c>
      <c r="F261" t="s">
        <v>1301</v>
      </c>
      <c r="G261">
        <v>1193.6500000000001</v>
      </c>
      <c r="H261">
        <v>1665.68</v>
      </c>
      <c r="I261">
        <v>472.03</v>
      </c>
      <c r="J261">
        <v>1082.2</v>
      </c>
      <c r="K261">
        <v>1193.6500000000001</v>
      </c>
      <c r="L261">
        <v>111.45000000000005</v>
      </c>
    </row>
    <row r="262" spans="1:12" x14ac:dyDescent="0.3">
      <c r="A262" t="s">
        <v>270</v>
      </c>
      <c r="B262" t="s">
        <v>896</v>
      </c>
      <c r="C262" s="4" t="s">
        <v>1101</v>
      </c>
      <c r="D262" t="s">
        <v>1291</v>
      </c>
      <c r="E262" t="s">
        <v>1297</v>
      </c>
      <c r="F262" t="s">
        <v>1309</v>
      </c>
      <c r="G262">
        <v>549.61</v>
      </c>
      <c r="H262">
        <v>749.31</v>
      </c>
      <c r="I262">
        <v>-112.4</v>
      </c>
      <c r="J262">
        <v>613.6</v>
      </c>
      <c r="K262">
        <v>861.70999999999992</v>
      </c>
      <c r="L262">
        <v>-63.990000000000009</v>
      </c>
    </row>
    <row r="263" spans="1:12" x14ac:dyDescent="0.3">
      <c r="A263" t="s">
        <v>271</v>
      </c>
      <c r="B263" t="s">
        <v>862</v>
      </c>
      <c r="C263" s="4" t="s">
        <v>1126</v>
      </c>
      <c r="D263" t="s">
        <v>1292</v>
      </c>
      <c r="E263" t="s">
        <v>1293</v>
      </c>
      <c r="F263" t="s">
        <v>1300</v>
      </c>
      <c r="G263">
        <v>564.47</v>
      </c>
      <c r="H263">
        <v>760.65</v>
      </c>
      <c r="I263">
        <v>196.18</v>
      </c>
      <c r="J263">
        <v>622.88</v>
      </c>
      <c r="K263">
        <v>564.47</v>
      </c>
      <c r="L263">
        <v>-58.409999999999968</v>
      </c>
    </row>
    <row r="264" spans="1:12" x14ac:dyDescent="0.3">
      <c r="A264" t="s">
        <v>272</v>
      </c>
      <c r="B264" t="s">
        <v>800</v>
      </c>
      <c r="C264" s="4" t="s">
        <v>1057</v>
      </c>
      <c r="D264" t="s">
        <v>1291</v>
      </c>
      <c r="E264" t="s">
        <v>1296</v>
      </c>
      <c r="F264" t="s">
        <v>1330</v>
      </c>
      <c r="G264">
        <v>4675.33</v>
      </c>
      <c r="H264">
        <v>5687.23</v>
      </c>
      <c r="I264">
        <v>-853.08</v>
      </c>
      <c r="J264">
        <v>4597.4399999999996</v>
      </c>
      <c r="K264">
        <v>6540.3099999999995</v>
      </c>
      <c r="L264">
        <v>77.890000000000327</v>
      </c>
    </row>
    <row r="265" spans="1:12" x14ac:dyDescent="0.3">
      <c r="A265" t="s">
        <v>273</v>
      </c>
      <c r="B265" t="s">
        <v>905</v>
      </c>
      <c r="C265" s="4" t="s">
        <v>1127</v>
      </c>
      <c r="D265" t="s">
        <v>1291</v>
      </c>
      <c r="E265" t="s">
        <v>1293</v>
      </c>
      <c r="F265" t="s">
        <v>1300</v>
      </c>
      <c r="G265">
        <v>1049.49</v>
      </c>
      <c r="H265">
        <v>1228.57</v>
      </c>
      <c r="I265">
        <v>-184.29</v>
      </c>
      <c r="J265">
        <v>1145.69</v>
      </c>
      <c r="K265">
        <v>1412.86</v>
      </c>
      <c r="L265">
        <v>-96.200000000000045</v>
      </c>
    </row>
    <row r="266" spans="1:12" x14ac:dyDescent="0.3">
      <c r="A266" t="s">
        <v>274</v>
      </c>
      <c r="B266" t="s">
        <v>881</v>
      </c>
      <c r="C266" s="4" t="s">
        <v>1128</v>
      </c>
      <c r="D266" t="s">
        <v>1291</v>
      </c>
      <c r="E266" t="s">
        <v>1295</v>
      </c>
      <c r="F266" t="s">
        <v>1304</v>
      </c>
      <c r="G266">
        <v>619.13</v>
      </c>
      <c r="H266">
        <v>758.19</v>
      </c>
      <c r="I266">
        <v>-113.73</v>
      </c>
      <c r="J266">
        <v>671.45</v>
      </c>
      <c r="K266">
        <v>871.92000000000007</v>
      </c>
      <c r="L266">
        <v>-52.32000000000005</v>
      </c>
    </row>
    <row r="267" spans="1:12" x14ac:dyDescent="0.3">
      <c r="A267" t="s">
        <v>275</v>
      </c>
      <c r="B267" t="s">
        <v>878</v>
      </c>
      <c r="C267" s="4" t="s">
        <v>1129</v>
      </c>
      <c r="D267" t="s">
        <v>1291</v>
      </c>
      <c r="E267" t="s">
        <v>1298</v>
      </c>
      <c r="F267" t="s">
        <v>1317</v>
      </c>
      <c r="G267">
        <v>129.68</v>
      </c>
      <c r="H267">
        <v>178.25</v>
      </c>
      <c r="I267">
        <v>-26.74</v>
      </c>
      <c r="J267">
        <v>152.87</v>
      </c>
      <c r="K267">
        <v>204.99</v>
      </c>
      <c r="L267">
        <v>-23.189999999999998</v>
      </c>
    </row>
    <row r="268" spans="1:12" x14ac:dyDescent="0.3">
      <c r="A268" t="s">
        <v>276</v>
      </c>
      <c r="B268" t="s">
        <v>879</v>
      </c>
      <c r="C268" s="4" t="s">
        <v>1130</v>
      </c>
      <c r="D268" t="s">
        <v>1292</v>
      </c>
      <c r="E268" t="s">
        <v>1294</v>
      </c>
      <c r="F268" t="s">
        <v>1314</v>
      </c>
      <c r="G268">
        <v>1182.81</v>
      </c>
      <c r="H268">
        <v>1609.15</v>
      </c>
      <c r="I268">
        <v>426.34</v>
      </c>
      <c r="J268">
        <v>1178.2</v>
      </c>
      <c r="K268">
        <v>1182.8100000000002</v>
      </c>
      <c r="L268">
        <v>4.6099999999999</v>
      </c>
    </row>
    <row r="269" spans="1:12" x14ac:dyDescent="0.3">
      <c r="A269" t="s">
        <v>277</v>
      </c>
      <c r="B269" t="s">
        <v>876</v>
      </c>
      <c r="C269" s="4" t="s">
        <v>1131</v>
      </c>
      <c r="D269" t="s">
        <v>1291</v>
      </c>
      <c r="E269" t="s">
        <v>1297</v>
      </c>
      <c r="F269" t="s">
        <v>1331</v>
      </c>
      <c r="G269">
        <v>405.38</v>
      </c>
      <c r="H269">
        <v>505.65</v>
      </c>
      <c r="I269">
        <v>-75.849999999999994</v>
      </c>
      <c r="J269">
        <v>384.44</v>
      </c>
      <c r="K269">
        <v>581.5</v>
      </c>
      <c r="L269">
        <v>20.939999999999998</v>
      </c>
    </row>
    <row r="270" spans="1:12" x14ac:dyDescent="0.3">
      <c r="A270" t="s">
        <v>278</v>
      </c>
      <c r="B270" t="s">
        <v>869</v>
      </c>
      <c r="C270" s="4" t="s">
        <v>939</v>
      </c>
      <c r="D270" t="s">
        <v>1292</v>
      </c>
      <c r="E270" t="s">
        <v>1296</v>
      </c>
      <c r="F270" t="s">
        <v>1332</v>
      </c>
      <c r="G270">
        <v>9294.39</v>
      </c>
      <c r="H270">
        <v>12393.49</v>
      </c>
      <c r="I270">
        <v>3099.1</v>
      </c>
      <c r="J270">
        <v>9088.9699999999993</v>
      </c>
      <c r="K270">
        <v>9294.39</v>
      </c>
      <c r="L270">
        <v>205.42000000000007</v>
      </c>
    </row>
    <row r="271" spans="1:12" x14ac:dyDescent="0.3">
      <c r="A271" t="s">
        <v>279</v>
      </c>
      <c r="B271" t="s">
        <v>886</v>
      </c>
      <c r="C271" s="4" t="s">
        <v>1132</v>
      </c>
      <c r="D271" t="s">
        <v>1291</v>
      </c>
      <c r="E271" t="s">
        <v>1293</v>
      </c>
      <c r="F271" t="s">
        <v>1300</v>
      </c>
      <c r="G271">
        <v>125.16</v>
      </c>
      <c r="H271">
        <v>146.58000000000001</v>
      </c>
      <c r="I271">
        <v>-21.99</v>
      </c>
      <c r="J271">
        <v>131.78</v>
      </c>
      <c r="K271">
        <v>168.57000000000002</v>
      </c>
      <c r="L271">
        <v>-6.6200000000000045</v>
      </c>
    </row>
    <row r="272" spans="1:12" x14ac:dyDescent="0.3">
      <c r="A272" t="s">
        <v>280</v>
      </c>
      <c r="B272" t="s">
        <v>874</v>
      </c>
      <c r="C272" s="4" t="s">
        <v>1133</v>
      </c>
      <c r="D272" t="s">
        <v>1292</v>
      </c>
      <c r="E272" t="s">
        <v>1295</v>
      </c>
      <c r="F272" t="s">
        <v>1329</v>
      </c>
      <c r="G272">
        <v>124.12</v>
      </c>
      <c r="H272">
        <v>167.68</v>
      </c>
      <c r="I272">
        <v>43.56</v>
      </c>
      <c r="J272">
        <v>117.46</v>
      </c>
      <c r="K272">
        <v>124.12</v>
      </c>
      <c r="L272">
        <v>6.6600000000000108</v>
      </c>
    </row>
    <row r="273" spans="1:12" x14ac:dyDescent="0.3">
      <c r="A273" t="s">
        <v>281</v>
      </c>
      <c r="B273" t="s">
        <v>853</v>
      </c>
      <c r="C273" s="4" t="s">
        <v>951</v>
      </c>
      <c r="D273" t="s">
        <v>1292</v>
      </c>
      <c r="E273" t="s">
        <v>1295</v>
      </c>
      <c r="F273" t="s">
        <v>1304</v>
      </c>
      <c r="G273">
        <v>255.56</v>
      </c>
      <c r="H273">
        <v>305.26</v>
      </c>
      <c r="I273">
        <v>49.7</v>
      </c>
      <c r="J273">
        <v>231.4</v>
      </c>
      <c r="K273">
        <v>255.56</v>
      </c>
      <c r="L273">
        <v>24.159999999999997</v>
      </c>
    </row>
    <row r="274" spans="1:12" x14ac:dyDescent="0.3">
      <c r="A274" t="s">
        <v>282</v>
      </c>
      <c r="B274" t="s">
        <v>798</v>
      </c>
      <c r="C274" s="4" t="s">
        <v>1134</v>
      </c>
      <c r="D274" t="s">
        <v>1291</v>
      </c>
      <c r="E274" t="s">
        <v>1295</v>
      </c>
      <c r="F274" t="s">
        <v>1329</v>
      </c>
      <c r="G274">
        <v>995.1</v>
      </c>
      <c r="H274">
        <v>1368.95</v>
      </c>
      <c r="I274">
        <v>-205.34</v>
      </c>
      <c r="J274">
        <v>1121.6199999999999</v>
      </c>
      <c r="K274">
        <v>1574.29</v>
      </c>
      <c r="L274">
        <v>-126.51999999999987</v>
      </c>
    </row>
    <row r="275" spans="1:12" x14ac:dyDescent="0.3">
      <c r="A275" t="s">
        <v>283</v>
      </c>
      <c r="B275" t="s">
        <v>906</v>
      </c>
      <c r="C275" s="4" t="s">
        <v>1094</v>
      </c>
      <c r="D275" t="s">
        <v>1292</v>
      </c>
      <c r="E275" t="s">
        <v>1297</v>
      </c>
      <c r="F275" t="s">
        <v>1309</v>
      </c>
      <c r="G275">
        <v>670.74</v>
      </c>
      <c r="H275">
        <v>792.08</v>
      </c>
      <c r="I275">
        <v>121.34</v>
      </c>
      <c r="J275">
        <v>732.84</v>
      </c>
      <c r="K275">
        <v>670.74</v>
      </c>
      <c r="L275">
        <v>-62.100000000000023</v>
      </c>
    </row>
    <row r="276" spans="1:12" x14ac:dyDescent="0.3">
      <c r="A276" t="s">
        <v>284</v>
      </c>
      <c r="B276" t="s">
        <v>865</v>
      </c>
      <c r="C276" s="4" t="s">
        <v>1110</v>
      </c>
      <c r="D276" t="s">
        <v>1291</v>
      </c>
      <c r="E276" t="s">
        <v>1293</v>
      </c>
      <c r="F276" t="s">
        <v>1320</v>
      </c>
      <c r="G276">
        <v>1156.98</v>
      </c>
      <c r="H276">
        <v>1527.46</v>
      </c>
      <c r="I276">
        <v>-229.12</v>
      </c>
      <c r="J276">
        <v>1078.23</v>
      </c>
      <c r="K276">
        <v>1756.58</v>
      </c>
      <c r="L276">
        <v>78.75</v>
      </c>
    </row>
    <row r="277" spans="1:12" x14ac:dyDescent="0.3">
      <c r="A277" t="s">
        <v>285</v>
      </c>
      <c r="B277" t="s">
        <v>835</v>
      </c>
      <c r="C277" s="4" t="s">
        <v>951</v>
      </c>
      <c r="D277" t="s">
        <v>1292</v>
      </c>
      <c r="E277" t="s">
        <v>1299</v>
      </c>
      <c r="F277" t="s">
        <v>1312</v>
      </c>
      <c r="G277">
        <v>522.29</v>
      </c>
      <c r="H277">
        <v>690.65</v>
      </c>
      <c r="I277">
        <v>168.36</v>
      </c>
      <c r="J277">
        <v>546.75</v>
      </c>
      <c r="K277">
        <v>522.29</v>
      </c>
      <c r="L277">
        <v>-24.460000000000036</v>
      </c>
    </row>
    <row r="278" spans="1:12" x14ac:dyDescent="0.3">
      <c r="A278" t="s">
        <v>286</v>
      </c>
      <c r="B278" t="s">
        <v>893</v>
      </c>
      <c r="C278" s="4" t="s">
        <v>1135</v>
      </c>
      <c r="D278" t="s">
        <v>1292</v>
      </c>
      <c r="E278" t="s">
        <v>1295</v>
      </c>
      <c r="F278" t="s">
        <v>1329</v>
      </c>
      <c r="G278">
        <v>303.45</v>
      </c>
      <c r="H278">
        <v>366.17</v>
      </c>
      <c r="I278">
        <v>62.72</v>
      </c>
      <c r="J278">
        <v>305.60000000000002</v>
      </c>
      <c r="K278">
        <v>303.45000000000005</v>
      </c>
      <c r="L278">
        <v>-2.1500000000000341</v>
      </c>
    </row>
    <row r="279" spans="1:12" x14ac:dyDescent="0.3">
      <c r="A279" t="s">
        <v>287</v>
      </c>
      <c r="B279" t="s">
        <v>824</v>
      </c>
      <c r="C279" s="4" t="s">
        <v>1062</v>
      </c>
      <c r="D279" t="s">
        <v>1292</v>
      </c>
      <c r="E279" t="s">
        <v>1293</v>
      </c>
      <c r="F279" t="s">
        <v>1300</v>
      </c>
      <c r="G279">
        <v>1022.11</v>
      </c>
      <c r="H279">
        <v>1409.71</v>
      </c>
      <c r="I279">
        <v>387.6</v>
      </c>
      <c r="J279">
        <v>990.35</v>
      </c>
      <c r="K279">
        <v>1022.11</v>
      </c>
      <c r="L279">
        <v>31.759999999999991</v>
      </c>
    </row>
    <row r="280" spans="1:12" x14ac:dyDescent="0.3">
      <c r="A280" t="s">
        <v>288</v>
      </c>
      <c r="B280" t="s">
        <v>873</v>
      </c>
      <c r="C280" s="4" t="s">
        <v>1136</v>
      </c>
      <c r="D280" t="s">
        <v>1291</v>
      </c>
      <c r="E280" t="s">
        <v>1295</v>
      </c>
      <c r="F280" t="s">
        <v>1313</v>
      </c>
      <c r="G280">
        <v>789.61</v>
      </c>
      <c r="H280">
        <v>1047.6300000000001</v>
      </c>
      <c r="I280">
        <v>-157.13999999999999</v>
      </c>
      <c r="J280">
        <v>719.26</v>
      </c>
      <c r="K280">
        <v>1204.77</v>
      </c>
      <c r="L280">
        <v>70.350000000000023</v>
      </c>
    </row>
    <row r="281" spans="1:12" x14ac:dyDescent="0.3">
      <c r="A281" t="s">
        <v>289</v>
      </c>
      <c r="B281" t="s">
        <v>821</v>
      </c>
      <c r="C281" s="4" t="s">
        <v>1030</v>
      </c>
      <c r="D281" t="s">
        <v>1292</v>
      </c>
      <c r="E281" t="s">
        <v>1298</v>
      </c>
      <c r="F281" t="s">
        <v>1306</v>
      </c>
      <c r="G281">
        <v>127.85</v>
      </c>
      <c r="H281">
        <v>151.94999999999999</v>
      </c>
      <c r="I281">
        <v>24.1</v>
      </c>
      <c r="J281">
        <v>116.74</v>
      </c>
      <c r="K281">
        <v>127.85</v>
      </c>
      <c r="L281">
        <v>11.11</v>
      </c>
    </row>
    <row r="282" spans="1:12" x14ac:dyDescent="0.3">
      <c r="A282" t="s">
        <v>290</v>
      </c>
      <c r="B282" t="s">
        <v>819</v>
      </c>
      <c r="C282" s="4" t="s">
        <v>1010</v>
      </c>
      <c r="D282" t="s">
        <v>1291</v>
      </c>
      <c r="E282" t="s">
        <v>1298</v>
      </c>
      <c r="F282" t="s">
        <v>1317</v>
      </c>
      <c r="G282">
        <v>796.55</v>
      </c>
      <c r="H282">
        <v>960.01</v>
      </c>
      <c r="I282">
        <v>-144</v>
      </c>
      <c r="J282">
        <v>793.71</v>
      </c>
      <c r="K282">
        <v>1104.01</v>
      </c>
      <c r="L282">
        <v>2.8399999999999181</v>
      </c>
    </row>
    <row r="283" spans="1:12" x14ac:dyDescent="0.3">
      <c r="A283" t="s">
        <v>291</v>
      </c>
      <c r="B283" t="s">
        <v>899</v>
      </c>
      <c r="C283" s="4" t="s">
        <v>1089</v>
      </c>
      <c r="D283" t="s">
        <v>1291</v>
      </c>
      <c r="E283" t="s">
        <v>1293</v>
      </c>
      <c r="F283" t="s">
        <v>1318</v>
      </c>
      <c r="G283">
        <v>866.2</v>
      </c>
      <c r="H283">
        <v>1186.08</v>
      </c>
      <c r="I283">
        <v>-177.91</v>
      </c>
      <c r="J283">
        <v>1021.44</v>
      </c>
      <c r="K283">
        <v>1363.99</v>
      </c>
      <c r="L283">
        <v>-155.24</v>
      </c>
    </row>
    <row r="284" spans="1:12" x14ac:dyDescent="0.3">
      <c r="A284" t="s">
        <v>292</v>
      </c>
      <c r="B284" t="s">
        <v>907</v>
      </c>
      <c r="C284" s="4" t="s">
        <v>1137</v>
      </c>
      <c r="D284" t="s">
        <v>1292</v>
      </c>
      <c r="E284" t="s">
        <v>1299</v>
      </c>
      <c r="F284" t="s">
        <v>1311</v>
      </c>
      <c r="G284">
        <v>165.38</v>
      </c>
      <c r="H284">
        <v>224.63</v>
      </c>
      <c r="I284">
        <v>59.25</v>
      </c>
      <c r="J284">
        <v>159.75</v>
      </c>
      <c r="K284">
        <v>165.38</v>
      </c>
      <c r="L284">
        <v>5.6299999999999955</v>
      </c>
    </row>
    <row r="285" spans="1:12" x14ac:dyDescent="0.3">
      <c r="A285" t="s">
        <v>293</v>
      </c>
      <c r="B285" t="s">
        <v>848</v>
      </c>
      <c r="C285" s="4" t="s">
        <v>1067</v>
      </c>
      <c r="D285" t="s">
        <v>1292</v>
      </c>
      <c r="E285" t="s">
        <v>1299</v>
      </c>
      <c r="F285" t="s">
        <v>1334</v>
      </c>
      <c r="G285">
        <v>854.39</v>
      </c>
      <c r="H285">
        <v>1143.6300000000001</v>
      </c>
      <c r="I285">
        <v>289.24</v>
      </c>
      <c r="J285">
        <v>955.53</v>
      </c>
      <c r="K285">
        <v>854.3900000000001</v>
      </c>
      <c r="L285">
        <v>-101.13999999999999</v>
      </c>
    </row>
    <row r="286" spans="1:12" x14ac:dyDescent="0.3">
      <c r="A286" t="s">
        <v>294</v>
      </c>
      <c r="B286" t="s">
        <v>896</v>
      </c>
      <c r="C286" s="4" t="s">
        <v>1138</v>
      </c>
      <c r="D286" t="s">
        <v>1292</v>
      </c>
      <c r="E286" t="s">
        <v>1297</v>
      </c>
      <c r="F286" t="s">
        <v>1331</v>
      </c>
      <c r="G286">
        <v>986.51</v>
      </c>
      <c r="H286">
        <v>1180.9000000000001</v>
      </c>
      <c r="I286">
        <v>194.39</v>
      </c>
      <c r="J286">
        <v>1009.69</v>
      </c>
      <c r="K286">
        <v>986.5100000000001</v>
      </c>
      <c r="L286">
        <v>-23.180000000000064</v>
      </c>
    </row>
    <row r="287" spans="1:12" x14ac:dyDescent="0.3">
      <c r="A287" t="s">
        <v>295</v>
      </c>
      <c r="B287" t="s">
        <v>908</v>
      </c>
      <c r="C287" s="4" t="s">
        <v>1139</v>
      </c>
      <c r="D287" t="s">
        <v>1291</v>
      </c>
      <c r="E287" t="s">
        <v>1293</v>
      </c>
      <c r="F287" t="s">
        <v>1320</v>
      </c>
      <c r="G287">
        <v>124.56</v>
      </c>
      <c r="H287">
        <v>149.04</v>
      </c>
      <c r="I287">
        <v>-22.36</v>
      </c>
      <c r="J287">
        <v>141.44999999999999</v>
      </c>
      <c r="K287">
        <v>171.39999999999998</v>
      </c>
      <c r="L287">
        <v>-16.889999999999986</v>
      </c>
    </row>
    <row r="288" spans="1:12" x14ac:dyDescent="0.3">
      <c r="A288" t="s">
        <v>296</v>
      </c>
      <c r="B288" t="s">
        <v>858</v>
      </c>
      <c r="C288" s="4" t="s">
        <v>1140</v>
      </c>
      <c r="D288" t="s">
        <v>1291</v>
      </c>
      <c r="E288" t="s">
        <v>1295</v>
      </c>
      <c r="F288" t="s">
        <v>1313</v>
      </c>
      <c r="G288">
        <v>961.06</v>
      </c>
      <c r="H288">
        <v>1195.58</v>
      </c>
      <c r="I288">
        <v>-179.34</v>
      </c>
      <c r="J288">
        <v>1022.17</v>
      </c>
      <c r="K288">
        <v>1374.9199999999998</v>
      </c>
      <c r="L288">
        <v>-61.110000000000014</v>
      </c>
    </row>
    <row r="289" spans="1:12" x14ac:dyDescent="0.3">
      <c r="A289" t="s">
        <v>297</v>
      </c>
      <c r="B289" t="s">
        <v>868</v>
      </c>
      <c r="C289" s="4" t="s">
        <v>1139</v>
      </c>
      <c r="D289" t="s">
        <v>1291</v>
      </c>
      <c r="E289" t="s">
        <v>1295</v>
      </c>
      <c r="F289" t="s">
        <v>1313</v>
      </c>
      <c r="G289">
        <v>142.87</v>
      </c>
      <c r="H289">
        <v>174.59</v>
      </c>
      <c r="I289">
        <v>-26.19</v>
      </c>
      <c r="J289">
        <v>154.19</v>
      </c>
      <c r="K289">
        <v>200.78</v>
      </c>
      <c r="L289">
        <v>-11.319999999999993</v>
      </c>
    </row>
    <row r="290" spans="1:12" x14ac:dyDescent="0.3">
      <c r="A290" t="s">
        <v>298</v>
      </c>
      <c r="B290" t="s">
        <v>841</v>
      </c>
      <c r="C290" s="4" t="s">
        <v>1056</v>
      </c>
      <c r="D290" t="s">
        <v>1292</v>
      </c>
      <c r="E290" t="s">
        <v>1297</v>
      </c>
      <c r="F290" t="s">
        <v>1331</v>
      </c>
      <c r="G290">
        <v>1095.71</v>
      </c>
      <c r="H290">
        <v>1261.1400000000001</v>
      </c>
      <c r="I290">
        <v>165.43</v>
      </c>
      <c r="J290">
        <v>1016.07</v>
      </c>
      <c r="K290">
        <v>1095.71</v>
      </c>
      <c r="L290">
        <v>79.639999999999986</v>
      </c>
    </row>
    <row r="291" spans="1:12" x14ac:dyDescent="0.3">
      <c r="A291" t="s">
        <v>299</v>
      </c>
      <c r="B291" t="s">
        <v>792</v>
      </c>
      <c r="C291" s="4" t="s">
        <v>1141</v>
      </c>
      <c r="D291" t="s">
        <v>1292</v>
      </c>
      <c r="E291" t="s">
        <v>1297</v>
      </c>
      <c r="F291" t="s">
        <v>1331</v>
      </c>
      <c r="G291">
        <v>337.28</v>
      </c>
      <c r="H291">
        <v>438.35</v>
      </c>
      <c r="I291">
        <v>101.07</v>
      </c>
      <c r="J291">
        <v>373.38</v>
      </c>
      <c r="K291">
        <v>337.28000000000003</v>
      </c>
      <c r="L291">
        <v>-36.100000000000023</v>
      </c>
    </row>
    <row r="292" spans="1:12" x14ac:dyDescent="0.3">
      <c r="A292" t="s">
        <v>300</v>
      </c>
      <c r="B292" t="s">
        <v>814</v>
      </c>
      <c r="C292" s="4" t="s">
        <v>1142</v>
      </c>
      <c r="D292" t="s">
        <v>1291</v>
      </c>
      <c r="E292" t="s">
        <v>1298</v>
      </c>
      <c r="F292" t="s">
        <v>1306</v>
      </c>
      <c r="G292">
        <v>1005.15</v>
      </c>
      <c r="H292">
        <v>1373.37</v>
      </c>
      <c r="I292">
        <v>-206.01</v>
      </c>
      <c r="J292">
        <v>967.54</v>
      </c>
      <c r="K292">
        <v>1579.3799999999999</v>
      </c>
      <c r="L292">
        <v>37.610000000000014</v>
      </c>
    </row>
    <row r="293" spans="1:12" x14ac:dyDescent="0.3">
      <c r="A293" t="s">
        <v>301</v>
      </c>
      <c r="B293" t="s">
        <v>883</v>
      </c>
      <c r="C293" s="4" t="s">
        <v>1143</v>
      </c>
      <c r="D293" t="s">
        <v>1292</v>
      </c>
      <c r="E293" t="s">
        <v>1298</v>
      </c>
      <c r="F293" t="s">
        <v>1310</v>
      </c>
      <c r="G293">
        <v>751.87</v>
      </c>
      <c r="H293">
        <v>889.38</v>
      </c>
      <c r="I293">
        <v>137.51</v>
      </c>
      <c r="J293">
        <v>692.59</v>
      </c>
      <c r="K293">
        <v>751.87</v>
      </c>
      <c r="L293">
        <v>59.279999999999973</v>
      </c>
    </row>
    <row r="294" spans="1:12" x14ac:dyDescent="0.3">
      <c r="A294" t="s">
        <v>302</v>
      </c>
      <c r="B294" t="s">
        <v>899</v>
      </c>
      <c r="C294" s="4" t="s">
        <v>1104</v>
      </c>
      <c r="D294" t="s">
        <v>1292</v>
      </c>
      <c r="E294" t="s">
        <v>1297</v>
      </c>
      <c r="F294" t="s">
        <v>1309</v>
      </c>
      <c r="G294">
        <v>659.69</v>
      </c>
      <c r="H294">
        <v>857.61</v>
      </c>
      <c r="I294">
        <v>197.92</v>
      </c>
      <c r="J294">
        <v>681.72</v>
      </c>
      <c r="K294">
        <v>659.69</v>
      </c>
      <c r="L294">
        <v>-22.029999999999973</v>
      </c>
    </row>
    <row r="295" spans="1:12" x14ac:dyDescent="0.3">
      <c r="A295" t="s">
        <v>303</v>
      </c>
      <c r="B295" t="s">
        <v>902</v>
      </c>
      <c r="C295" s="4" t="s">
        <v>1011</v>
      </c>
      <c r="D295" t="s">
        <v>1291</v>
      </c>
      <c r="E295" t="s">
        <v>1293</v>
      </c>
      <c r="F295" t="s">
        <v>1300</v>
      </c>
      <c r="G295">
        <v>345.63</v>
      </c>
      <c r="H295">
        <v>421.47</v>
      </c>
      <c r="I295">
        <v>-44.182985074626863</v>
      </c>
      <c r="J295">
        <v>391.48</v>
      </c>
      <c r="K295">
        <v>465.65298507462688</v>
      </c>
      <c r="L295">
        <v>-45.850000000000023</v>
      </c>
    </row>
    <row r="296" spans="1:12" x14ac:dyDescent="0.3">
      <c r="A296" t="s">
        <v>304</v>
      </c>
      <c r="B296" t="s">
        <v>875</v>
      </c>
      <c r="C296" s="4" t="s">
        <v>1030</v>
      </c>
      <c r="D296" t="s">
        <v>1292</v>
      </c>
      <c r="E296" t="s">
        <v>1297</v>
      </c>
      <c r="F296" t="s">
        <v>1309</v>
      </c>
      <c r="G296">
        <v>68.13</v>
      </c>
      <c r="H296">
        <v>84.94</v>
      </c>
      <c r="I296">
        <v>16.809999999999999</v>
      </c>
      <c r="J296">
        <v>66.38</v>
      </c>
      <c r="K296">
        <v>68.13</v>
      </c>
      <c r="L296">
        <v>1.75</v>
      </c>
    </row>
    <row r="297" spans="1:12" x14ac:dyDescent="0.3">
      <c r="A297" t="s">
        <v>305</v>
      </c>
      <c r="B297" t="s">
        <v>793</v>
      </c>
      <c r="C297" s="4" t="s">
        <v>1144</v>
      </c>
      <c r="D297" t="s">
        <v>1291</v>
      </c>
      <c r="E297" t="s">
        <v>1293</v>
      </c>
      <c r="F297" t="s">
        <v>1320</v>
      </c>
      <c r="G297">
        <v>456.74</v>
      </c>
      <c r="H297">
        <v>559.14</v>
      </c>
      <c r="I297">
        <v>-83.87</v>
      </c>
      <c r="J297">
        <v>519.02</v>
      </c>
      <c r="K297">
        <v>643.01</v>
      </c>
      <c r="L297">
        <v>-62.279999999999973</v>
      </c>
    </row>
    <row r="298" spans="1:12" x14ac:dyDescent="0.3">
      <c r="A298" t="s">
        <v>306</v>
      </c>
      <c r="B298" t="s">
        <v>786</v>
      </c>
      <c r="C298" s="4" t="s">
        <v>1010</v>
      </c>
      <c r="D298" t="s">
        <v>1292</v>
      </c>
      <c r="E298" t="s">
        <v>1297</v>
      </c>
      <c r="F298" t="s">
        <v>1309</v>
      </c>
      <c r="G298">
        <v>260.41000000000003</v>
      </c>
      <c r="H298">
        <v>360.78</v>
      </c>
      <c r="I298">
        <v>100.37</v>
      </c>
      <c r="J298">
        <v>305.57</v>
      </c>
      <c r="K298">
        <v>260.40999999999997</v>
      </c>
      <c r="L298">
        <v>-45.159999999999968</v>
      </c>
    </row>
    <row r="299" spans="1:12" x14ac:dyDescent="0.3">
      <c r="A299" t="s">
        <v>307</v>
      </c>
      <c r="B299" t="s">
        <v>899</v>
      </c>
      <c r="C299" s="4" t="s">
        <v>1145</v>
      </c>
      <c r="D299" t="s">
        <v>1291</v>
      </c>
      <c r="E299" t="s">
        <v>1299</v>
      </c>
      <c r="F299" t="s">
        <v>1311</v>
      </c>
      <c r="G299">
        <v>609.28</v>
      </c>
      <c r="H299">
        <v>701.24</v>
      </c>
      <c r="I299">
        <v>-105.19</v>
      </c>
      <c r="J299">
        <v>575.63</v>
      </c>
      <c r="K299">
        <v>806.43000000000006</v>
      </c>
      <c r="L299">
        <v>33.649999999999977</v>
      </c>
    </row>
    <row r="300" spans="1:12" x14ac:dyDescent="0.3">
      <c r="A300" t="s">
        <v>308</v>
      </c>
      <c r="B300" t="s">
        <v>849</v>
      </c>
      <c r="C300" s="4" t="s">
        <v>1146</v>
      </c>
      <c r="D300" t="s">
        <v>1291</v>
      </c>
      <c r="E300" t="s">
        <v>1294</v>
      </c>
      <c r="F300" t="s">
        <v>1301</v>
      </c>
      <c r="G300">
        <v>920.85</v>
      </c>
      <c r="H300">
        <v>1065.73</v>
      </c>
      <c r="I300">
        <v>-159.86000000000001</v>
      </c>
      <c r="J300">
        <v>829.31</v>
      </c>
      <c r="K300">
        <v>1225.5900000000001</v>
      </c>
      <c r="L300">
        <v>91.540000000000077</v>
      </c>
    </row>
    <row r="301" spans="1:12" x14ac:dyDescent="0.3">
      <c r="A301" t="s">
        <v>309</v>
      </c>
      <c r="B301" t="s">
        <v>909</v>
      </c>
      <c r="C301" s="4" t="s">
        <v>1110</v>
      </c>
      <c r="D301" t="s">
        <v>1291</v>
      </c>
      <c r="E301" t="s">
        <v>1299</v>
      </c>
      <c r="F301" t="s">
        <v>1311</v>
      </c>
      <c r="G301">
        <v>547.02</v>
      </c>
      <c r="H301">
        <v>630.91999999999996</v>
      </c>
      <c r="I301">
        <v>-94.64</v>
      </c>
      <c r="J301">
        <v>543.26</v>
      </c>
      <c r="K301">
        <v>725.56</v>
      </c>
      <c r="L301">
        <v>3.7599999999999909</v>
      </c>
    </row>
    <row r="302" spans="1:12" x14ac:dyDescent="0.3">
      <c r="A302" t="s">
        <v>310</v>
      </c>
      <c r="B302" t="s">
        <v>804</v>
      </c>
      <c r="C302" s="4" t="s">
        <v>1147</v>
      </c>
      <c r="D302" t="s">
        <v>1292</v>
      </c>
      <c r="E302" t="s">
        <v>1299</v>
      </c>
      <c r="F302" t="s">
        <v>1334</v>
      </c>
      <c r="G302">
        <v>486.05</v>
      </c>
      <c r="H302">
        <v>596.86</v>
      </c>
      <c r="I302">
        <v>110.81</v>
      </c>
      <c r="J302">
        <v>493.23</v>
      </c>
      <c r="K302">
        <v>486.05</v>
      </c>
      <c r="L302">
        <v>-7.1800000000000068</v>
      </c>
    </row>
    <row r="303" spans="1:12" x14ac:dyDescent="0.3">
      <c r="A303" t="s">
        <v>311</v>
      </c>
      <c r="B303" t="s">
        <v>877</v>
      </c>
      <c r="C303" s="4" t="s">
        <v>1148</v>
      </c>
      <c r="D303" t="s">
        <v>1291</v>
      </c>
      <c r="E303" t="s">
        <v>1294</v>
      </c>
      <c r="F303" t="s">
        <v>1333</v>
      </c>
      <c r="G303">
        <v>1121.49</v>
      </c>
      <c r="H303">
        <v>1378.14</v>
      </c>
      <c r="I303">
        <v>-206.72</v>
      </c>
      <c r="J303">
        <v>1183.08</v>
      </c>
      <c r="K303">
        <v>1584.8600000000001</v>
      </c>
      <c r="L303">
        <v>-61.589999999999918</v>
      </c>
    </row>
    <row r="304" spans="1:12" x14ac:dyDescent="0.3">
      <c r="A304" t="s">
        <v>312</v>
      </c>
      <c r="B304" t="s">
        <v>788</v>
      </c>
      <c r="C304" s="4" t="s">
        <v>1149</v>
      </c>
      <c r="D304" t="s">
        <v>1291</v>
      </c>
      <c r="E304" t="s">
        <v>1295</v>
      </c>
      <c r="F304" t="s">
        <v>1304</v>
      </c>
      <c r="G304">
        <v>244.66</v>
      </c>
      <c r="H304">
        <v>310.49</v>
      </c>
      <c r="I304">
        <v>-46.57</v>
      </c>
      <c r="J304">
        <v>240.06</v>
      </c>
      <c r="K304">
        <v>357.06</v>
      </c>
      <c r="L304">
        <v>4.5999999999999943</v>
      </c>
    </row>
    <row r="305" spans="1:12" x14ac:dyDescent="0.3">
      <c r="A305" t="s">
        <v>313</v>
      </c>
      <c r="B305" t="s">
        <v>806</v>
      </c>
      <c r="C305" s="4" t="s">
        <v>1144</v>
      </c>
      <c r="D305" t="s">
        <v>1292</v>
      </c>
      <c r="E305" t="s">
        <v>1293</v>
      </c>
      <c r="F305" t="s">
        <v>1300</v>
      </c>
      <c r="G305">
        <v>1087.9100000000001</v>
      </c>
      <c r="H305">
        <v>1360.05</v>
      </c>
      <c r="I305">
        <v>272.14</v>
      </c>
      <c r="J305">
        <v>1224.3599999999999</v>
      </c>
      <c r="K305">
        <v>1087.9099999999999</v>
      </c>
      <c r="L305">
        <v>-136.44999999999982</v>
      </c>
    </row>
    <row r="306" spans="1:12" x14ac:dyDescent="0.3">
      <c r="A306" t="s">
        <v>314</v>
      </c>
      <c r="B306" t="s">
        <v>832</v>
      </c>
      <c r="C306" s="4" t="s">
        <v>1109</v>
      </c>
      <c r="D306" t="s">
        <v>1291</v>
      </c>
      <c r="E306" t="s">
        <v>1293</v>
      </c>
      <c r="F306" t="s">
        <v>1320</v>
      </c>
      <c r="G306">
        <v>42.56</v>
      </c>
      <c r="H306">
        <v>53.87</v>
      </c>
      <c r="I306">
        <v>-8.08</v>
      </c>
      <c r="J306">
        <v>42.33</v>
      </c>
      <c r="K306">
        <v>61.949999999999996</v>
      </c>
      <c r="L306">
        <v>0.23000000000000398</v>
      </c>
    </row>
    <row r="307" spans="1:12" x14ac:dyDescent="0.3">
      <c r="A307" t="s">
        <v>315</v>
      </c>
      <c r="B307" t="s">
        <v>879</v>
      </c>
      <c r="C307" s="4" t="s">
        <v>992</v>
      </c>
      <c r="D307" t="s">
        <v>1292</v>
      </c>
      <c r="E307" t="s">
        <v>1296</v>
      </c>
      <c r="F307" t="s">
        <v>1308</v>
      </c>
      <c r="G307">
        <v>7348.47</v>
      </c>
      <c r="H307">
        <v>9029.4599999999991</v>
      </c>
      <c r="I307">
        <v>1680.99</v>
      </c>
      <c r="J307">
        <v>7365.87</v>
      </c>
      <c r="K307">
        <v>7348.4699999999993</v>
      </c>
      <c r="L307">
        <v>-17.399999999999636</v>
      </c>
    </row>
    <row r="308" spans="1:12" x14ac:dyDescent="0.3">
      <c r="A308" t="s">
        <v>316</v>
      </c>
      <c r="B308" t="s">
        <v>809</v>
      </c>
      <c r="C308" s="4" t="s">
        <v>1062</v>
      </c>
      <c r="D308" t="s">
        <v>1292</v>
      </c>
      <c r="E308" t="s">
        <v>1294</v>
      </c>
      <c r="F308" t="s">
        <v>1301</v>
      </c>
      <c r="G308">
        <v>898.36</v>
      </c>
      <c r="H308">
        <v>1176.05</v>
      </c>
      <c r="I308">
        <v>277.69</v>
      </c>
      <c r="J308">
        <v>854.33</v>
      </c>
      <c r="K308">
        <v>898.3599999999999</v>
      </c>
      <c r="L308">
        <v>44.029999999999973</v>
      </c>
    </row>
    <row r="309" spans="1:12" x14ac:dyDescent="0.3">
      <c r="A309" t="s">
        <v>317</v>
      </c>
      <c r="B309" t="s">
        <v>817</v>
      </c>
      <c r="C309" s="4" t="s">
        <v>1070</v>
      </c>
      <c r="D309" t="s">
        <v>1292</v>
      </c>
      <c r="E309" t="s">
        <v>1296</v>
      </c>
      <c r="F309" t="s">
        <v>1308</v>
      </c>
      <c r="G309">
        <v>5445.25</v>
      </c>
      <c r="H309">
        <v>6550.97</v>
      </c>
      <c r="I309">
        <v>1105.72</v>
      </c>
      <c r="J309">
        <v>6196.76</v>
      </c>
      <c r="K309">
        <v>5445.25</v>
      </c>
      <c r="L309">
        <v>-751.51000000000022</v>
      </c>
    </row>
    <row r="310" spans="1:12" x14ac:dyDescent="0.3">
      <c r="A310" t="s">
        <v>318</v>
      </c>
      <c r="B310" t="s">
        <v>810</v>
      </c>
      <c r="C310" s="4" t="s">
        <v>1106</v>
      </c>
      <c r="D310" t="s">
        <v>1291</v>
      </c>
      <c r="E310" t="s">
        <v>1298</v>
      </c>
      <c r="F310" t="s">
        <v>1317</v>
      </c>
      <c r="G310">
        <v>456.03</v>
      </c>
      <c r="H310">
        <v>579.96</v>
      </c>
      <c r="I310">
        <v>-86.99</v>
      </c>
      <c r="J310">
        <v>502.9</v>
      </c>
      <c r="K310">
        <v>666.95</v>
      </c>
      <c r="L310">
        <v>-46.870000000000005</v>
      </c>
    </row>
    <row r="311" spans="1:12" x14ac:dyDescent="0.3">
      <c r="A311" t="s">
        <v>319</v>
      </c>
      <c r="B311" t="s">
        <v>857</v>
      </c>
      <c r="C311" s="4" t="s">
        <v>1099</v>
      </c>
      <c r="D311" t="s">
        <v>1292</v>
      </c>
      <c r="E311" t="s">
        <v>1297</v>
      </c>
      <c r="F311" t="s">
        <v>1309</v>
      </c>
      <c r="G311">
        <v>409</v>
      </c>
      <c r="H311">
        <v>553.52</v>
      </c>
      <c r="I311">
        <v>144.52000000000001</v>
      </c>
      <c r="J311">
        <v>424.86</v>
      </c>
      <c r="K311">
        <v>409</v>
      </c>
      <c r="L311">
        <v>-15.860000000000014</v>
      </c>
    </row>
    <row r="312" spans="1:12" x14ac:dyDescent="0.3">
      <c r="A312" t="s">
        <v>320</v>
      </c>
      <c r="B312" t="s">
        <v>852</v>
      </c>
      <c r="C312" s="4" t="s">
        <v>951</v>
      </c>
      <c r="D312" t="s">
        <v>1291</v>
      </c>
      <c r="E312" t="s">
        <v>1298</v>
      </c>
      <c r="F312" t="s">
        <v>1310</v>
      </c>
      <c r="G312">
        <v>550.08000000000004</v>
      </c>
      <c r="H312">
        <v>660.37</v>
      </c>
      <c r="I312">
        <v>-99.06</v>
      </c>
      <c r="J312">
        <v>613.41999999999996</v>
      </c>
      <c r="K312">
        <v>759.43000000000006</v>
      </c>
      <c r="L312">
        <v>-63.339999999999918</v>
      </c>
    </row>
    <row r="313" spans="1:12" x14ac:dyDescent="0.3">
      <c r="A313" t="s">
        <v>321</v>
      </c>
      <c r="B313" t="s">
        <v>795</v>
      </c>
      <c r="C313" s="4" t="s">
        <v>1150</v>
      </c>
      <c r="D313" t="s">
        <v>1291</v>
      </c>
      <c r="E313" t="s">
        <v>1297</v>
      </c>
      <c r="F313" t="s">
        <v>1309</v>
      </c>
      <c r="G313">
        <v>393.07</v>
      </c>
      <c r="H313">
        <v>537.48</v>
      </c>
      <c r="I313">
        <v>-80.62</v>
      </c>
      <c r="J313">
        <v>397.73</v>
      </c>
      <c r="K313">
        <v>618.1</v>
      </c>
      <c r="L313">
        <v>-4.660000000000025</v>
      </c>
    </row>
    <row r="314" spans="1:12" x14ac:dyDescent="0.3">
      <c r="A314" t="s">
        <v>322</v>
      </c>
      <c r="B314" t="s">
        <v>900</v>
      </c>
      <c r="C314" s="4" t="s">
        <v>1151</v>
      </c>
      <c r="D314" t="s">
        <v>1291</v>
      </c>
      <c r="E314" t="s">
        <v>1296</v>
      </c>
      <c r="F314" t="s">
        <v>1308</v>
      </c>
      <c r="G314">
        <v>9137.4699999999993</v>
      </c>
      <c r="H314">
        <v>12370.75</v>
      </c>
      <c r="I314">
        <v>-1855.61</v>
      </c>
      <c r="J314">
        <v>10306.299999999999</v>
      </c>
      <c r="K314">
        <v>14226.36</v>
      </c>
      <c r="L314">
        <v>-1168.83</v>
      </c>
    </row>
    <row r="315" spans="1:12" x14ac:dyDescent="0.3">
      <c r="A315" t="s">
        <v>323</v>
      </c>
      <c r="B315" t="s">
        <v>910</v>
      </c>
      <c r="C315" s="4" t="s">
        <v>935</v>
      </c>
      <c r="D315" t="s">
        <v>1292</v>
      </c>
      <c r="E315" t="s">
        <v>1297</v>
      </c>
      <c r="F315" t="s">
        <v>1309</v>
      </c>
      <c r="G315">
        <v>394.47</v>
      </c>
      <c r="H315">
        <v>466.96</v>
      </c>
      <c r="I315">
        <v>72.489999999999995</v>
      </c>
      <c r="J315">
        <v>470.97</v>
      </c>
      <c r="K315">
        <v>394.46999999999997</v>
      </c>
      <c r="L315">
        <v>-76.5</v>
      </c>
    </row>
    <row r="316" spans="1:12" x14ac:dyDescent="0.3">
      <c r="A316" t="s">
        <v>324</v>
      </c>
      <c r="B316" t="s">
        <v>866</v>
      </c>
      <c r="C316" s="4" t="s">
        <v>1055</v>
      </c>
      <c r="D316" t="s">
        <v>1292</v>
      </c>
      <c r="E316" t="s">
        <v>1293</v>
      </c>
      <c r="F316" t="s">
        <v>1320</v>
      </c>
      <c r="G316">
        <v>906.71</v>
      </c>
      <c r="H316">
        <v>1130.77</v>
      </c>
      <c r="I316">
        <v>224.06</v>
      </c>
      <c r="J316">
        <v>1046.45</v>
      </c>
      <c r="K316">
        <v>906.71</v>
      </c>
      <c r="L316">
        <v>-139.74</v>
      </c>
    </row>
    <row r="317" spans="1:12" x14ac:dyDescent="0.3">
      <c r="A317" t="s">
        <v>325</v>
      </c>
      <c r="B317" t="s">
        <v>884</v>
      </c>
      <c r="C317" s="4" t="s">
        <v>1083</v>
      </c>
      <c r="D317" t="s">
        <v>1291</v>
      </c>
      <c r="E317" t="s">
        <v>1295</v>
      </c>
      <c r="F317" t="s">
        <v>1313</v>
      </c>
      <c r="G317">
        <v>753.54</v>
      </c>
      <c r="H317">
        <v>1020.49</v>
      </c>
      <c r="I317">
        <v>-153.07</v>
      </c>
      <c r="J317">
        <v>684.36</v>
      </c>
      <c r="K317">
        <v>1173.56</v>
      </c>
      <c r="L317">
        <v>69.17999999999995</v>
      </c>
    </row>
    <row r="318" spans="1:12" x14ac:dyDescent="0.3">
      <c r="A318" t="s">
        <v>326</v>
      </c>
      <c r="B318" t="s">
        <v>887</v>
      </c>
      <c r="C318" s="4" t="s">
        <v>1152</v>
      </c>
      <c r="D318" t="s">
        <v>1292</v>
      </c>
      <c r="E318" t="s">
        <v>1299</v>
      </c>
      <c r="F318" t="s">
        <v>1312</v>
      </c>
      <c r="G318">
        <v>598.87</v>
      </c>
      <c r="H318">
        <v>751.1</v>
      </c>
      <c r="I318">
        <v>152.22999999999999</v>
      </c>
      <c r="J318">
        <v>541.47</v>
      </c>
      <c r="K318">
        <v>598.87</v>
      </c>
      <c r="L318">
        <v>57.399999999999977</v>
      </c>
    </row>
    <row r="319" spans="1:12" x14ac:dyDescent="0.3">
      <c r="A319" t="s">
        <v>327</v>
      </c>
      <c r="B319" t="s">
        <v>905</v>
      </c>
      <c r="C319" s="4" t="s">
        <v>1153</v>
      </c>
      <c r="D319" t="s">
        <v>1291</v>
      </c>
      <c r="E319" t="s">
        <v>1295</v>
      </c>
      <c r="F319" t="s">
        <v>1313</v>
      </c>
      <c r="G319">
        <v>719.98</v>
      </c>
      <c r="H319">
        <v>888.83</v>
      </c>
      <c r="I319">
        <v>-133.32</v>
      </c>
      <c r="J319">
        <v>774.08</v>
      </c>
      <c r="K319">
        <v>1022.1500000000001</v>
      </c>
      <c r="L319">
        <v>-54.100000000000023</v>
      </c>
    </row>
    <row r="320" spans="1:12" x14ac:dyDescent="0.3">
      <c r="A320" t="s">
        <v>328</v>
      </c>
      <c r="B320" t="s">
        <v>910</v>
      </c>
      <c r="C320" s="4" t="s">
        <v>1017</v>
      </c>
      <c r="D320" t="s">
        <v>1292</v>
      </c>
      <c r="E320" t="s">
        <v>1295</v>
      </c>
      <c r="F320" t="s">
        <v>1313</v>
      </c>
      <c r="G320">
        <v>834.11</v>
      </c>
      <c r="H320">
        <v>1022.15</v>
      </c>
      <c r="I320">
        <v>188.04</v>
      </c>
      <c r="J320">
        <v>764.32</v>
      </c>
      <c r="K320">
        <v>834.11</v>
      </c>
      <c r="L320">
        <v>69.789999999999964</v>
      </c>
    </row>
    <row r="321" spans="1:12" x14ac:dyDescent="0.3">
      <c r="A321" t="s">
        <v>329</v>
      </c>
      <c r="B321" t="s">
        <v>882</v>
      </c>
      <c r="C321" s="4" t="s">
        <v>1154</v>
      </c>
      <c r="D321" t="s">
        <v>1291</v>
      </c>
      <c r="E321" t="s">
        <v>1296</v>
      </c>
      <c r="F321" t="s">
        <v>1330</v>
      </c>
      <c r="G321">
        <v>7296.32</v>
      </c>
      <c r="H321">
        <v>8457.56</v>
      </c>
      <c r="I321">
        <v>-1268.6300000000001</v>
      </c>
      <c r="J321">
        <v>6664.36</v>
      </c>
      <c r="K321">
        <v>9726.1899999999987</v>
      </c>
      <c r="L321">
        <v>631.96</v>
      </c>
    </row>
    <row r="322" spans="1:12" x14ac:dyDescent="0.3">
      <c r="A322" t="s">
        <v>330</v>
      </c>
      <c r="B322" t="s">
        <v>883</v>
      </c>
      <c r="C322" s="4" t="s">
        <v>951</v>
      </c>
      <c r="D322" t="s">
        <v>1292</v>
      </c>
      <c r="E322" t="s">
        <v>1296</v>
      </c>
      <c r="F322" t="s">
        <v>1332</v>
      </c>
      <c r="G322">
        <v>9215.35</v>
      </c>
      <c r="H322">
        <v>12416.47</v>
      </c>
      <c r="I322">
        <v>3201.12</v>
      </c>
      <c r="J322">
        <v>10062.51</v>
      </c>
      <c r="K322">
        <v>9215.3499999999985</v>
      </c>
      <c r="L322">
        <v>-847.15999999999985</v>
      </c>
    </row>
    <row r="323" spans="1:12" x14ac:dyDescent="0.3">
      <c r="A323" t="s">
        <v>331</v>
      </c>
      <c r="B323" t="s">
        <v>870</v>
      </c>
      <c r="C323" s="4" t="s">
        <v>979</v>
      </c>
      <c r="D323" t="s">
        <v>1291</v>
      </c>
      <c r="E323" t="s">
        <v>1294</v>
      </c>
      <c r="F323" t="s">
        <v>1333</v>
      </c>
      <c r="G323">
        <v>190.79</v>
      </c>
      <c r="H323">
        <v>232.68</v>
      </c>
      <c r="I323">
        <v>-34.9</v>
      </c>
      <c r="J323">
        <v>195.29</v>
      </c>
      <c r="K323">
        <v>267.58</v>
      </c>
      <c r="L323">
        <v>-4.5</v>
      </c>
    </row>
    <row r="324" spans="1:12" x14ac:dyDescent="0.3">
      <c r="A324" t="s">
        <v>332</v>
      </c>
      <c r="B324" t="s">
        <v>911</v>
      </c>
      <c r="C324" s="4" t="s">
        <v>1084</v>
      </c>
      <c r="D324" t="s">
        <v>1291</v>
      </c>
      <c r="E324" t="s">
        <v>1295</v>
      </c>
      <c r="F324" t="s">
        <v>1304</v>
      </c>
      <c r="G324">
        <v>187.39</v>
      </c>
      <c r="H324">
        <v>249.11</v>
      </c>
      <c r="I324">
        <v>-37.369999999999997</v>
      </c>
      <c r="J324">
        <v>197.95</v>
      </c>
      <c r="K324">
        <v>286.48</v>
      </c>
      <c r="L324">
        <v>-10.560000000000002</v>
      </c>
    </row>
    <row r="325" spans="1:12" x14ac:dyDescent="0.3">
      <c r="A325" t="s">
        <v>333</v>
      </c>
      <c r="B325" t="s">
        <v>879</v>
      </c>
      <c r="C325" s="4" t="s">
        <v>1070</v>
      </c>
      <c r="D325" t="s">
        <v>1291</v>
      </c>
      <c r="E325" t="s">
        <v>1294</v>
      </c>
      <c r="F325" t="s">
        <v>1301</v>
      </c>
      <c r="G325">
        <v>1053.8</v>
      </c>
      <c r="H325">
        <v>1288.05</v>
      </c>
      <c r="I325">
        <v>-193.21</v>
      </c>
      <c r="J325">
        <v>1233.8900000000001</v>
      </c>
      <c r="K325">
        <v>1481.26</v>
      </c>
      <c r="L325">
        <v>-180.09000000000015</v>
      </c>
    </row>
    <row r="326" spans="1:12" x14ac:dyDescent="0.3">
      <c r="A326" t="s">
        <v>334</v>
      </c>
      <c r="B326" t="s">
        <v>873</v>
      </c>
      <c r="C326" s="4" t="s">
        <v>1155</v>
      </c>
      <c r="D326" t="s">
        <v>1291</v>
      </c>
      <c r="E326" t="s">
        <v>1297</v>
      </c>
      <c r="F326" t="s">
        <v>1309</v>
      </c>
      <c r="G326">
        <v>790.59</v>
      </c>
      <c r="H326">
        <v>924.67</v>
      </c>
      <c r="I326">
        <v>-138.69999999999999</v>
      </c>
      <c r="J326">
        <v>796.92</v>
      </c>
      <c r="K326">
        <v>1063.3699999999999</v>
      </c>
      <c r="L326">
        <v>-6.3299999999999272</v>
      </c>
    </row>
    <row r="327" spans="1:12" x14ac:dyDescent="0.3">
      <c r="A327" t="s">
        <v>335</v>
      </c>
      <c r="B327" t="s">
        <v>905</v>
      </c>
      <c r="C327" s="4" t="s">
        <v>1062</v>
      </c>
      <c r="D327" t="s">
        <v>1292</v>
      </c>
      <c r="E327" t="s">
        <v>1294</v>
      </c>
      <c r="F327" t="s">
        <v>1314</v>
      </c>
      <c r="G327">
        <v>288.57</v>
      </c>
      <c r="H327">
        <v>400.31</v>
      </c>
      <c r="I327">
        <v>111.74</v>
      </c>
      <c r="J327">
        <v>320.02</v>
      </c>
      <c r="K327">
        <v>288.57</v>
      </c>
      <c r="L327">
        <v>-31.449999999999989</v>
      </c>
    </row>
    <row r="328" spans="1:12" x14ac:dyDescent="0.3">
      <c r="A328" t="s">
        <v>336</v>
      </c>
      <c r="B328" t="s">
        <v>801</v>
      </c>
      <c r="C328" s="4" t="s">
        <v>1021</v>
      </c>
      <c r="D328" t="s">
        <v>1292</v>
      </c>
      <c r="E328" t="s">
        <v>1299</v>
      </c>
      <c r="F328" t="s">
        <v>1311</v>
      </c>
      <c r="G328">
        <v>126.75</v>
      </c>
      <c r="H328">
        <v>158.85</v>
      </c>
      <c r="I328">
        <v>32.1</v>
      </c>
      <c r="J328">
        <v>144.80000000000001</v>
      </c>
      <c r="K328">
        <v>126.75</v>
      </c>
      <c r="L328">
        <v>-18.050000000000011</v>
      </c>
    </row>
    <row r="329" spans="1:12" x14ac:dyDescent="0.3">
      <c r="A329" t="s">
        <v>337</v>
      </c>
      <c r="B329" t="s">
        <v>808</v>
      </c>
      <c r="C329" s="4" t="s">
        <v>1104</v>
      </c>
      <c r="D329" t="s">
        <v>1291</v>
      </c>
      <c r="E329" t="s">
        <v>1296</v>
      </c>
      <c r="F329" t="s">
        <v>1332</v>
      </c>
      <c r="G329">
        <v>5127.05</v>
      </c>
      <c r="H329">
        <v>6752.05</v>
      </c>
      <c r="I329">
        <v>-1012.81</v>
      </c>
      <c r="J329">
        <v>5714.81</v>
      </c>
      <c r="K329">
        <v>7764.8600000000006</v>
      </c>
      <c r="L329">
        <v>-587.76000000000022</v>
      </c>
    </row>
    <row r="330" spans="1:12" x14ac:dyDescent="0.3">
      <c r="A330" t="s">
        <v>338</v>
      </c>
      <c r="B330" t="s">
        <v>910</v>
      </c>
      <c r="C330" s="4" t="s">
        <v>1068</v>
      </c>
      <c r="D330" t="s">
        <v>1292</v>
      </c>
      <c r="E330" t="s">
        <v>1298</v>
      </c>
      <c r="F330" t="s">
        <v>1310</v>
      </c>
      <c r="G330">
        <v>1173.9000000000001</v>
      </c>
      <c r="H330">
        <v>1431.78</v>
      </c>
      <c r="I330">
        <v>257.88</v>
      </c>
      <c r="J330">
        <v>1130.6500000000001</v>
      </c>
      <c r="K330">
        <v>1173.9000000000001</v>
      </c>
      <c r="L330">
        <v>43.25</v>
      </c>
    </row>
    <row r="331" spans="1:12" x14ac:dyDescent="0.3">
      <c r="A331" t="s">
        <v>339</v>
      </c>
      <c r="B331" t="s">
        <v>894</v>
      </c>
      <c r="C331" s="4" t="s">
        <v>964</v>
      </c>
      <c r="D331" t="s">
        <v>1291</v>
      </c>
      <c r="E331" t="s">
        <v>1297</v>
      </c>
      <c r="F331" t="s">
        <v>1319</v>
      </c>
      <c r="G331">
        <v>153.31</v>
      </c>
      <c r="H331">
        <v>182.5</v>
      </c>
      <c r="I331">
        <v>-27.38</v>
      </c>
      <c r="J331">
        <v>175.52</v>
      </c>
      <c r="K331">
        <v>209.88</v>
      </c>
      <c r="L331">
        <v>-22.210000000000008</v>
      </c>
    </row>
    <row r="332" spans="1:12" x14ac:dyDescent="0.3">
      <c r="A332" t="s">
        <v>340</v>
      </c>
      <c r="B332" t="s">
        <v>868</v>
      </c>
      <c r="C332" s="4" t="s">
        <v>1083</v>
      </c>
      <c r="D332" t="s">
        <v>1292</v>
      </c>
      <c r="E332" t="s">
        <v>1296</v>
      </c>
      <c r="F332" t="s">
        <v>1332</v>
      </c>
      <c r="G332">
        <v>4691.96</v>
      </c>
      <c r="H332">
        <v>5971.35</v>
      </c>
      <c r="I332">
        <v>1279.3900000000001</v>
      </c>
      <c r="J332">
        <v>5356.43</v>
      </c>
      <c r="K332">
        <v>4691.96</v>
      </c>
      <c r="L332">
        <v>-664.47000000000025</v>
      </c>
    </row>
    <row r="333" spans="1:12" x14ac:dyDescent="0.3">
      <c r="A333" t="s">
        <v>341</v>
      </c>
      <c r="B333" t="s">
        <v>899</v>
      </c>
      <c r="C333" s="4" t="s">
        <v>1156</v>
      </c>
      <c r="D333" t="s">
        <v>1291</v>
      </c>
      <c r="E333" t="s">
        <v>1297</v>
      </c>
      <c r="F333" t="s">
        <v>1309</v>
      </c>
      <c r="G333">
        <v>1038.03</v>
      </c>
      <c r="H333">
        <v>1225.1199999999999</v>
      </c>
      <c r="I333">
        <v>-183.77</v>
      </c>
      <c r="J333">
        <v>987.09</v>
      </c>
      <c r="K333">
        <v>1408.8899999999999</v>
      </c>
      <c r="L333">
        <v>50.939999999999941</v>
      </c>
    </row>
    <row r="334" spans="1:12" x14ac:dyDescent="0.3">
      <c r="A334" t="s">
        <v>342</v>
      </c>
      <c r="B334" t="s">
        <v>864</v>
      </c>
      <c r="C334" s="4" t="s">
        <v>1011</v>
      </c>
      <c r="D334" t="s">
        <v>1292</v>
      </c>
      <c r="E334" t="s">
        <v>1297</v>
      </c>
      <c r="F334" t="s">
        <v>1309</v>
      </c>
      <c r="G334">
        <v>616.42999999999995</v>
      </c>
      <c r="H334">
        <v>761.56</v>
      </c>
      <c r="I334">
        <v>145.13</v>
      </c>
      <c r="J334">
        <v>586.98</v>
      </c>
      <c r="K334">
        <v>616.42999999999995</v>
      </c>
      <c r="L334">
        <v>29.449999999999932</v>
      </c>
    </row>
    <row r="335" spans="1:12" x14ac:dyDescent="0.3">
      <c r="A335" t="s">
        <v>343</v>
      </c>
      <c r="B335" t="s">
        <v>912</v>
      </c>
      <c r="C335" s="4" t="s">
        <v>1113</v>
      </c>
      <c r="D335" t="s">
        <v>1291</v>
      </c>
      <c r="E335" t="s">
        <v>1294</v>
      </c>
      <c r="F335" t="s">
        <v>1314</v>
      </c>
      <c r="G335">
        <v>743.45</v>
      </c>
      <c r="H335">
        <v>957.3</v>
      </c>
      <c r="I335">
        <v>-143.59</v>
      </c>
      <c r="J335">
        <v>843.11</v>
      </c>
      <c r="K335">
        <v>1100.8899999999999</v>
      </c>
      <c r="L335">
        <v>-99.659999999999968</v>
      </c>
    </row>
    <row r="336" spans="1:12" x14ac:dyDescent="0.3">
      <c r="A336" t="s">
        <v>344</v>
      </c>
      <c r="B336" t="s">
        <v>803</v>
      </c>
      <c r="C336" s="4" t="s">
        <v>1060</v>
      </c>
      <c r="D336" t="s">
        <v>1291</v>
      </c>
      <c r="E336" t="s">
        <v>1298</v>
      </c>
      <c r="F336" t="s">
        <v>1317</v>
      </c>
      <c r="G336">
        <v>166.11</v>
      </c>
      <c r="H336">
        <v>216.04</v>
      </c>
      <c r="I336">
        <v>-32.409999999999997</v>
      </c>
      <c r="J336">
        <v>188.93</v>
      </c>
      <c r="K336">
        <v>248.45</v>
      </c>
      <c r="L336">
        <v>-22.819999999999993</v>
      </c>
    </row>
    <row r="337" spans="1:12" x14ac:dyDescent="0.3">
      <c r="A337" t="s">
        <v>345</v>
      </c>
      <c r="B337" t="s">
        <v>834</v>
      </c>
      <c r="C337" s="4" t="s">
        <v>1135</v>
      </c>
      <c r="D337" t="s">
        <v>1291</v>
      </c>
      <c r="E337" t="s">
        <v>1299</v>
      </c>
      <c r="F337" t="s">
        <v>1312</v>
      </c>
      <c r="G337">
        <v>1059.99</v>
      </c>
      <c r="H337">
        <v>1314.23</v>
      </c>
      <c r="I337">
        <v>-197.13</v>
      </c>
      <c r="J337">
        <v>1217.1099999999999</v>
      </c>
      <c r="K337">
        <v>1511.3600000000001</v>
      </c>
      <c r="L337">
        <v>-157.11999999999989</v>
      </c>
    </row>
    <row r="338" spans="1:12" x14ac:dyDescent="0.3">
      <c r="A338" t="s">
        <v>346</v>
      </c>
      <c r="B338" t="s">
        <v>839</v>
      </c>
      <c r="C338" s="4" t="s">
        <v>1157</v>
      </c>
      <c r="D338" t="s">
        <v>1291</v>
      </c>
      <c r="E338" t="s">
        <v>1295</v>
      </c>
      <c r="F338" t="s">
        <v>1313</v>
      </c>
      <c r="G338">
        <v>1219.4163333333336</v>
      </c>
      <c r="H338">
        <v>119.33</v>
      </c>
      <c r="I338">
        <v>-17.899999999999999</v>
      </c>
      <c r="J338">
        <v>119.13</v>
      </c>
      <c r="K338">
        <v>137.22999999999999</v>
      </c>
      <c r="L338">
        <v>1100.2863333333335</v>
      </c>
    </row>
    <row r="339" spans="1:12" x14ac:dyDescent="0.3">
      <c r="A339" t="s">
        <v>347</v>
      </c>
      <c r="B339" t="s">
        <v>864</v>
      </c>
      <c r="C339" s="4" t="s">
        <v>939</v>
      </c>
      <c r="D339" t="s">
        <v>1292</v>
      </c>
      <c r="E339" t="s">
        <v>1297</v>
      </c>
      <c r="F339" t="s">
        <v>1319</v>
      </c>
      <c r="G339">
        <v>189.22</v>
      </c>
      <c r="H339">
        <v>226.78</v>
      </c>
      <c r="I339">
        <v>37.56</v>
      </c>
      <c r="J339">
        <v>200.28</v>
      </c>
      <c r="K339">
        <v>189.22</v>
      </c>
      <c r="L339">
        <v>-11.060000000000002</v>
      </c>
    </row>
    <row r="340" spans="1:12" x14ac:dyDescent="0.3">
      <c r="A340" t="s">
        <v>348</v>
      </c>
      <c r="B340" t="s">
        <v>821</v>
      </c>
      <c r="C340" s="4" t="s">
        <v>1019</v>
      </c>
      <c r="D340" t="s">
        <v>1291</v>
      </c>
      <c r="E340" t="s">
        <v>1293</v>
      </c>
      <c r="F340" t="s">
        <v>1318</v>
      </c>
      <c r="G340">
        <v>543.02</v>
      </c>
      <c r="H340">
        <v>638.65</v>
      </c>
      <c r="I340">
        <v>-95.8</v>
      </c>
      <c r="J340">
        <v>622.76</v>
      </c>
      <c r="K340">
        <v>734.44999999999993</v>
      </c>
      <c r="L340">
        <v>-79.740000000000009</v>
      </c>
    </row>
    <row r="341" spans="1:12" x14ac:dyDescent="0.3">
      <c r="A341" t="s">
        <v>349</v>
      </c>
      <c r="B341" t="s">
        <v>803</v>
      </c>
      <c r="C341" s="4" t="s">
        <v>1158</v>
      </c>
      <c r="D341" t="s">
        <v>1291</v>
      </c>
      <c r="E341" t="s">
        <v>1299</v>
      </c>
      <c r="F341" t="s">
        <v>1312</v>
      </c>
      <c r="G341">
        <v>279.48</v>
      </c>
      <c r="H341">
        <v>384.73</v>
      </c>
      <c r="I341">
        <v>-57.71</v>
      </c>
      <c r="J341">
        <v>325.18</v>
      </c>
      <c r="K341">
        <v>442.44</v>
      </c>
      <c r="L341">
        <v>-45.699999999999989</v>
      </c>
    </row>
    <row r="342" spans="1:12" x14ac:dyDescent="0.3">
      <c r="A342" t="s">
        <v>350</v>
      </c>
      <c r="B342" t="s">
        <v>913</v>
      </c>
      <c r="C342" s="4" t="s">
        <v>1159</v>
      </c>
      <c r="D342" t="s">
        <v>1291</v>
      </c>
      <c r="E342" t="s">
        <v>1296</v>
      </c>
      <c r="F342" t="s">
        <v>1308</v>
      </c>
      <c r="G342">
        <v>7450.72</v>
      </c>
      <c r="H342">
        <v>9216.08</v>
      </c>
      <c r="I342">
        <v>-1382.41</v>
      </c>
      <c r="J342">
        <v>6813.5</v>
      </c>
      <c r="K342">
        <v>10598.49</v>
      </c>
      <c r="L342">
        <v>637.22000000000025</v>
      </c>
    </row>
    <row r="343" spans="1:12" x14ac:dyDescent="0.3">
      <c r="A343" t="s">
        <v>351</v>
      </c>
      <c r="B343" t="s">
        <v>870</v>
      </c>
      <c r="C343" s="4" t="s">
        <v>1088</v>
      </c>
      <c r="D343" t="s">
        <v>1292</v>
      </c>
      <c r="E343" t="s">
        <v>1297</v>
      </c>
      <c r="F343" t="s">
        <v>1309</v>
      </c>
      <c r="G343">
        <v>786.87</v>
      </c>
      <c r="H343">
        <v>1089.78</v>
      </c>
      <c r="I343">
        <v>302.91000000000003</v>
      </c>
      <c r="J343">
        <v>862.53</v>
      </c>
      <c r="K343">
        <v>786.86999999999989</v>
      </c>
      <c r="L343">
        <v>-75.659999999999968</v>
      </c>
    </row>
    <row r="344" spans="1:12" x14ac:dyDescent="0.3">
      <c r="A344" t="s">
        <v>352</v>
      </c>
      <c r="B344" t="s">
        <v>785</v>
      </c>
      <c r="C344" s="4" t="s">
        <v>1087</v>
      </c>
      <c r="D344" t="s">
        <v>1291</v>
      </c>
      <c r="E344" t="s">
        <v>1296</v>
      </c>
      <c r="F344" t="s">
        <v>1332</v>
      </c>
      <c r="G344">
        <v>8212.48</v>
      </c>
      <c r="H344">
        <v>10287.52</v>
      </c>
      <c r="I344">
        <v>-1543.13</v>
      </c>
      <c r="J344">
        <v>9316.0300000000007</v>
      </c>
      <c r="K344">
        <v>11830.650000000001</v>
      </c>
      <c r="L344">
        <v>-1103.5500000000011</v>
      </c>
    </row>
    <row r="345" spans="1:12" x14ac:dyDescent="0.3">
      <c r="A345" t="s">
        <v>353</v>
      </c>
      <c r="B345" t="s">
        <v>914</v>
      </c>
      <c r="C345" s="4" t="s">
        <v>1160</v>
      </c>
      <c r="D345" t="s">
        <v>1291</v>
      </c>
      <c r="E345" t="s">
        <v>1295</v>
      </c>
      <c r="F345" t="s">
        <v>1304</v>
      </c>
      <c r="G345">
        <v>851.86</v>
      </c>
      <c r="H345">
        <v>1026.92</v>
      </c>
      <c r="I345">
        <v>-154.04</v>
      </c>
      <c r="J345">
        <v>894.05</v>
      </c>
      <c r="K345">
        <v>1180.96</v>
      </c>
      <c r="L345">
        <v>-42.189999999999941</v>
      </c>
    </row>
    <row r="346" spans="1:12" x14ac:dyDescent="0.3">
      <c r="A346" t="s">
        <v>354</v>
      </c>
      <c r="B346" t="s">
        <v>823</v>
      </c>
      <c r="C346" s="4" t="s">
        <v>1131</v>
      </c>
      <c r="D346" t="s">
        <v>1291</v>
      </c>
      <c r="E346" t="s">
        <v>1294</v>
      </c>
      <c r="F346" t="s">
        <v>1333</v>
      </c>
      <c r="G346">
        <v>25.09</v>
      </c>
      <c r="H346">
        <v>34.99</v>
      </c>
      <c r="I346">
        <v>-5.25</v>
      </c>
      <c r="J346">
        <v>29.51</v>
      </c>
      <c r="K346">
        <v>40.24</v>
      </c>
      <c r="L346">
        <v>-4.4200000000000017</v>
      </c>
    </row>
    <row r="347" spans="1:12" x14ac:dyDescent="0.3">
      <c r="A347" t="s">
        <v>355</v>
      </c>
      <c r="B347" t="s">
        <v>890</v>
      </c>
      <c r="C347" s="4" t="s">
        <v>1083</v>
      </c>
      <c r="D347" t="s">
        <v>1291</v>
      </c>
      <c r="E347" t="s">
        <v>1299</v>
      </c>
      <c r="F347" t="s">
        <v>1312</v>
      </c>
      <c r="G347">
        <v>1073.3699999999999</v>
      </c>
      <c r="H347">
        <v>1374.9</v>
      </c>
      <c r="I347">
        <v>-206.24</v>
      </c>
      <c r="J347">
        <v>1181.08</v>
      </c>
      <c r="K347">
        <v>1581.14</v>
      </c>
      <c r="L347">
        <v>-107.71000000000004</v>
      </c>
    </row>
    <row r="348" spans="1:12" x14ac:dyDescent="0.3">
      <c r="A348" t="s">
        <v>356</v>
      </c>
      <c r="B348" t="s">
        <v>865</v>
      </c>
      <c r="C348" s="4" t="s">
        <v>1040</v>
      </c>
      <c r="D348" t="s">
        <v>1292</v>
      </c>
      <c r="E348" t="s">
        <v>1299</v>
      </c>
      <c r="F348" t="s">
        <v>1311</v>
      </c>
      <c r="G348">
        <v>446.77</v>
      </c>
      <c r="H348">
        <v>598.79999999999995</v>
      </c>
      <c r="I348">
        <v>152.03</v>
      </c>
      <c r="J348">
        <v>428.34</v>
      </c>
      <c r="K348">
        <v>446.77</v>
      </c>
      <c r="L348">
        <v>18.430000000000007</v>
      </c>
    </row>
    <row r="349" spans="1:12" x14ac:dyDescent="0.3">
      <c r="A349" t="s">
        <v>357</v>
      </c>
      <c r="B349" t="s">
        <v>816</v>
      </c>
      <c r="C349" s="4" t="s">
        <v>1161</v>
      </c>
      <c r="D349" t="s">
        <v>1291</v>
      </c>
      <c r="E349" t="s">
        <v>1296</v>
      </c>
      <c r="F349" t="s">
        <v>1330</v>
      </c>
      <c r="G349">
        <v>8880.89</v>
      </c>
      <c r="H349">
        <v>10466.36</v>
      </c>
      <c r="I349">
        <v>-1569.95</v>
      </c>
      <c r="J349">
        <v>9071.0300000000007</v>
      </c>
      <c r="K349">
        <v>12036.310000000001</v>
      </c>
      <c r="L349">
        <v>-190.14000000000124</v>
      </c>
    </row>
    <row r="350" spans="1:12" x14ac:dyDescent="0.3">
      <c r="A350" t="s">
        <v>358</v>
      </c>
      <c r="B350" t="s">
        <v>828</v>
      </c>
      <c r="C350" s="4" t="s">
        <v>1002</v>
      </c>
      <c r="D350" t="s">
        <v>1291</v>
      </c>
      <c r="E350" t="s">
        <v>1297</v>
      </c>
      <c r="F350" t="s">
        <v>1309</v>
      </c>
      <c r="G350">
        <v>571.14</v>
      </c>
      <c r="H350">
        <v>666.5</v>
      </c>
      <c r="I350">
        <v>-99.97</v>
      </c>
      <c r="J350">
        <v>610.47</v>
      </c>
      <c r="K350">
        <v>766.47</v>
      </c>
      <c r="L350">
        <v>-39.330000000000041</v>
      </c>
    </row>
    <row r="351" spans="1:12" x14ac:dyDescent="0.3">
      <c r="A351" t="s">
        <v>359</v>
      </c>
      <c r="B351" t="s">
        <v>860</v>
      </c>
      <c r="C351" s="4" t="s">
        <v>971</v>
      </c>
      <c r="D351" t="s">
        <v>1291</v>
      </c>
      <c r="E351" t="s">
        <v>1297</v>
      </c>
      <c r="F351" t="s">
        <v>1319</v>
      </c>
      <c r="G351">
        <v>671.95</v>
      </c>
      <c r="H351">
        <v>903.89</v>
      </c>
      <c r="I351">
        <v>-135.58000000000001</v>
      </c>
      <c r="J351">
        <v>620.92999999999995</v>
      </c>
      <c r="K351">
        <v>1039.47</v>
      </c>
      <c r="L351">
        <v>51.020000000000095</v>
      </c>
    </row>
    <row r="352" spans="1:12" x14ac:dyDescent="0.3">
      <c r="A352" t="s">
        <v>360</v>
      </c>
      <c r="B352" t="s">
        <v>860</v>
      </c>
      <c r="C352" s="4" t="s">
        <v>1162</v>
      </c>
      <c r="D352" t="s">
        <v>1292</v>
      </c>
      <c r="E352" t="s">
        <v>1294</v>
      </c>
      <c r="F352" t="s">
        <v>1333</v>
      </c>
      <c r="G352">
        <v>588.24</v>
      </c>
      <c r="H352">
        <v>717.13</v>
      </c>
      <c r="I352">
        <v>128.88999999999999</v>
      </c>
      <c r="J352">
        <v>573.21</v>
      </c>
      <c r="K352">
        <v>588.24</v>
      </c>
      <c r="L352">
        <v>15.029999999999973</v>
      </c>
    </row>
    <row r="353" spans="1:12" x14ac:dyDescent="0.3">
      <c r="A353" t="s">
        <v>361</v>
      </c>
      <c r="B353" t="s">
        <v>848</v>
      </c>
      <c r="C353" s="4" t="s">
        <v>1163</v>
      </c>
      <c r="D353" t="s">
        <v>1291</v>
      </c>
      <c r="E353" t="s">
        <v>1297</v>
      </c>
      <c r="F353" t="s">
        <v>1331</v>
      </c>
      <c r="G353">
        <v>787.16</v>
      </c>
      <c r="H353">
        <v>1069.97</v>
      </c>
      <c r="I353">
        <v>-160.5</v>
      </c>
      <c r="J353">
        <v>879.09</v>
      </c>
      <c r="K353">
        <v>1230.47</v>
      </c>
      <c r="L353">
        <v>-91.930000000000064</v>
      </c>
    </row>
    <row r="354" spans="1:12" x14ac:dyDescent="0.3">
      <c r="A354" t="s">
        <v>362</v>
      </c>
      <c r="B354" t="s">
        <v>897</v>
      </c>
      <c r="C354" s="4" t="s">
        <v>1008</v>
      </c>
      <c r="D354" t="s">
        <v>1292</v>
      </c>
      <c r="E354" t="s">
        <v>1296</v>
      </c>
      <c r="F354" t="s">
        <v>1308</v>
      </c>
      <c r="G354">
        <v>7466.6</v>
      </c>
      <c r="H354">
        <v>9445.7999999999993</v>
      </c>
      <c r="I354">
        <v>1979.2</v>
      </c>
      <c r="J354">
        <v>7306</v>
      </c>
      <c r="K354">
        <v>7466.5999999999995</v>
      </c>
      <c r="L354">
        <v>160.60000000000036</v>
      </c>
    </row>
    <row r="355" spans="1:12" x14ac:dyDescent="0.3">
      <c r="A355" t="s">
        <v>363</v>
      </c>
      <c r="B355" t="s">
        <v>833</v>
      </c>
      <c r="C355" s="4" t="s">
        <v>1025</v>
      </c>
      <c r="D355" t="s">
        <v>1292</v>
      </c>
      <c r="E355" t="s">
        <v>1295</v>
      </c>
      <c r="F355" t="s">
        <v>1329</v>
      </c>
      <c r="G355">
        <v>695.37</v>
      </c>
      <c r="H355">
        <v>972.59</v>
      </c>
      <c r="I355">
        <v>277.22000000000003</v>
      </c>
      <c r="J355">
        <v>663.8</v>
      </c>
      <c r="K355">
        <v>695.37</v>
      </c>
      <c r="L355">
        <v>31.57000000000005</v>
      </c>
    </row>
    <row r="356" spans="1:12" x14ac:dyDescent="0.3">
      <c r="A356" t="s">
        <v>364</v>
      </c>
      <c r="B356" t="s">
        <v>915</v>
      </c>
      <c r="C356" s="4" t="s">
        <v>1124</v>
      </c>
      <c r="D356" t="s">
        <v>1292</v>
      </c>
      <c r="E356" t="s">
        <v>1299</v>
      </c>
      <c r="F356" t="s">
        <v>1311</v>
      </c>
      <c r="G356">
        <v>951.33</v>
      </c>
      <c r="H356">
        <v>1259.47</v>
      </c>
      <c r="I356">
        <v>308.14</v>
      </c>
      <c r="J356">
        <v>875.48</v>
      </c>
      <c r="K356">
        <v>951.33</v>
      </c>
      <c r="L356">
        <v>75.850000000000023</v>
      </c>
    </row>
    <row r="357" spans="1:12" x14ac:dyDescent="0.3">
      <c r="A357" t="s">
        <v>365</v>
      </c>
      <c r="B357" t="s">
        <v>905</v>
      </c>
      <c r="C357" s="4" t="s">
        <v>1113</v>
      </c>
      <c r="D357" t="s">
        <v>1292</v>
      </c>
      <c r="E357" t="s">
        <v>1295</v>
      </c>
      <c r="F357" t="s">
        <v>1329</v>
      </c>
      <c r="G357">
        <v>442.66</v>
      </c>
      <c r="H357">
        <v>543.13</v>
      </c>
      <c r="I357">
        <v>100.47</v>
      </c>
      <c r="J357">
        <v>497.11</v>
      </c>
      <c r="K357">
        <v>442.65999999999997</v>
      </c>
      <c r="L357">
        <v>-54.449999999999989</v>
      </c>
    </row>
    <row r="358" spans="1:12" x14ac:dyDescent="0.3">
      <c r="A358" t="s">
        <v>366</v>
      </c>
      <c r="B358" t="s">
        <v>916</v>
      </c>
      <c r="C358" s="4" t="s">
        <v>1164</v>
      </c>
      <c r="D358" t="s">
        <v>1291</v>
      </c>
      <c r="E358" t="s">
        <v>1296</v>
      </c>
      <c r="F358" t="s">
        <v>1330</v>
      </c>
      <c r="G358">
        <v>9280.85</v>
      </c>
      <c r="H358">
        <v>12991.95</v>
      </c>
      <c r="I358">
        <v>-44.182985074626863</v>
      </c>
      <c r="J358">
        <v>9970.32</v>
      </c>
      <c r="K358">
        <v>13036.132985074628</v>
      </c>
      <c r="L358">
        <v>-689.46999999999935</v>
      </c>
    </row>
    <row r="359" spans="1:12" x14ac:dyDescent="0.3">
      <c r="A359" t="s">
        <v>367</v>
      </c>
      <c r="B359" t="s">
        <v>811</v>
      </c>
      <c r="C359" s="4" t="s">
        <v>980</v>
      </c>
      <c r="D359" t="s">
        <v>1292</v>
      </c>
      <c r="E359" t="s">
        <v>1293</v>
      </c>
      <c r="F359" t="s">
        <v>1300</v>
      </c>
      <c r="G359">
        <v>1007.52</v>
      </c>
      <c r="H359">
        <v>1311.72</v>
      </c>
      <c r="I359">
        <v>304.2</v>
      </c>
      <c r="J359">
        <v>980.25</v>
      </c>
      <c r="K359">
        <v>1007.52</v>
      </c>
      <c r="L359">
        <v>27.269999999999982</v>
      </c>
    </row>
    <row r="360" spans="1:12" x14ac:dyDescent="0.3">
      <c r="A360" t="s">
        <v>368</v>
      </c>
      <c r="B360" t="s">
        <v>898</v>
      </c>
      <c r="C360" s="4" t="s">
        <v>1078</v>
      </c>
      <c r="D360" t="s">
        <v>1292</v>
      </c>
      <c r="E360" t="s">
        <v>1298</v>
      </c>
      <c r="F360" t="s">
        <v>1306</v>
      </c>
      <c r="G360">
        <v>554.46</v>
      </c>
      <c r="H360">
        <v>671.47</v>
      </c>
      <c r="I360">
        <v>117.01</v>
      </c>
      <c r="J360">
        <v>563.32000000000005</v>
      </c>
      <c r="K360">
        <v>554.46</v>
      </c>
      <c r="L360">
        <v>-8.8600000000000136</v>
      </c>
    </row>
    <row r="361" spans="1:12" x14ac:dyDescent="0.3">
      <c r="A361" t="s">
        <v>369</v>
      </c>
      <c r="B361" t="s">
        <v>841</v>
      </c>
      <c r="C361" s="4" t="s">
        <v>1141</v>
      </c>
      <c r="D361" t="s">
        <v>1291</v>
      </c>
      <c r="E361" t="s">
        <v>1293</v>
      </c>
      <c r="F361" t="s">
        <v>1320</v>
      </c>
      <c r="G361">
        <v>660.32</v>
      </c>
      <c r="H361">
        <v>821.85</v>
      </c>
      <c r="I361">
        <v>-123.28</v>
      </c>
      <c r="J361">
        <v>631.41</v>
      </c>
      <c r="K361">
        <v>945.13</v>
      </c>
      <c r="L361">
        <v>28.910000000000082</v>
      </c>
    </row>
    <row r="362" spans="1:12" x14ac:dyDescent="0.3">
      <c r="A362" t="s">
        <v>370</v>
      </c>
      <c r="B362" t="s">
        <v>866</v>
      </c>
      <c r="C362" s="4" t="s">
        <v>1165</v>
      </c>
      <c r="D362" t="s">
        <v>1292</v>
      </c>
      <c r="E362" t="s">
        <v>1299</v>
      </c>
      <c r="F362" t="s">
        <v>1311</v>
      </c>
      <c r="G362">
        <v>1169.19</v>
      </c>
      <c r="H362">
        <v>1475.76</v>
      </c>
      <c r="I362">
        <v>-44.182985074626863</v>
      </c>
      <c r="J362">
        <v>1379.91</v>
      </c>
      <c r="K362">
        <v>1519.9429850746269</v>
      </c>
      <c r="L362">
        <v>-210.72000000000003</v>
      </c>
    </row>
    <row r="363" spans="1:12" x14ac:dyDescent="0.3">
      <c r="A363" t="s">
        <v>371</v>
      </c>
      <c r="B363" t="s">
        <v>818</v>
      </c>
      <c r="C363" s="4" t="s">
        <v>1166</v>
      </c>
      <c r="D363" t="s">
        <v>1292</v>
      </c>
      <c r="E363" t="s">
        <v>1297</v>
      </c>
      <c r="F363" t="s">
        <v>1319</v>
      </c>
      <c r="G363">
        <v>401.96</v>
      </c>
      <c r="H363">
        <v>497.8</v>
      </c>
      <c r="I363">
        <v>95.84</v>
      </c>
      <c r="J363">
        <v>444.56</v>
      </c>
      <c r="K363">
        <v>401.96000000000004</v>
      </c>
      <c r="L363">
        <v>-42.600000000000023</v>
      </c>
    </row>
    <row r="364" spans="1:12" x14ac:dyDescent="0.3">
      <c r="A364" t="s">
        <v>372</v>
      </c>
      <c r="B364" t="s">
        <v>858</v>
      </c>
      <c r="C364" s="4" t="s">
        <v>974</v>
      </c>
      <c r="D364" t="s">
        <v>1292</v>
      </c>
      <c r="E364" t="s">
        <v>1295</v>
      </c>
      <c r="F364" t="s">
        <v>1313</v>
      </c>
      <c r="G364">
        <v>301.88</v>
      </c>
      <c r="H364">
        <v>354.1</v>
      </c>
      <c r="I364">
        <v>52.22</v>
      </c>
      <c r="J364">
        <v>320.36</v>
      </c>
      <c r="K364">
        <v>301.88</v>
      </c>
      <c r="L364">
        <v>-18.480000000000018</v>
      </c>
    </row>
    <row r="365" spans="1:12" x14ac:dyDescent="0.3">
      <c r="A365" t="s">
        <v>373</v>
      </c>
      <c r="B365" t="s">
        <v>836</v>
      </c>
      <c r="C365" s="4" t="s">
        <v>1167</v>
      </c>
      <c r="D365" t="s">
        <v>1292</v>
      </c>
      <c r="E365" t="s">
        <v>1298</v>
      </c>
      <c r="F365" t="s">
        <v>1317</v>
      </c>
      <c r="G365">
        <v>551.38</v>
      </c>
      <c r="H365">
        <v>660.01</v>
      </c>
      <c r="I365">
        <v>108.63</v>
      </c>
      <c r="J365">
        <v>507.89</v>
      </c>
      <c r="K365">
        <v>551.38</v>
      </c>
      <c r="L365">
        <v>43.490000000000009</v>
      </c>
    </row>
    <row r="366" spans="1:12" x14ac:dyDescent="0.3">
      <c r="A366" t="s">
        <v>374</v>
      </c>
      <c r="B366" t="s">
        <v>907</v>
      </c>
      <c r="C366" s="4" t="s">
        <v>1168</v>
      </c>
      <c r="D366" t="s">
        <v>1291</v>
      </c>
      <c r="E366" t="s">
        <v>1295</v>
      </c>
      <c r="F366" t="s">
        <v>1313</v>
      </c>
      <c r="G366">
        <v>277.44</v>
      </c>
      <c r="H366">
        <v>320.83999999999997</v>
      </c>
      <c r="I366">
        <v>-48.13</v>
      </c>
      <c r="J366">
        <v>270.36</v>
      </c>
      <c r="K366">
        <v>368.96999999999997</v>
      </c>
      <c r="L366">
        <v>7.0799999999999841</v>
      </c>
    </row>
    <row r="367" spans="1:12" x14ac:dyDescent="0.3">
      <c r="A367" t="s">
        <v>375</v>
      </c>
      <c r="B367" t="s">
        <v>885</v>
      </c>
      <c r="C367" s="4" t="s">
        <v>1169</v>
      </c>
      <c r="D367" t="s">
        <v>1292</v>
      </c>
      <c r="E367" t="s">
        <v>1295</v>
      </c>
      <c r="F367" t="s">
        <v>1304</v>
      </c>
      <c r="G367">
        <v>1150.68</v>
      </c>
      <c r="H367">
        <v>1551.28</v>
      </c>
      <c r="I367">
        <v>400.6</v>
      </c>
      <c r="J367">
        <v>1159.8399999999999</v>
      </c>
      <c r="K367">
        <v>1150.6799999999998</v>
      </c>
      <c r="L367">
        <v>-9.1599999999998545</v>
      </c>
    </row>
    <row r="368" spans="1:12" x14ac:dyDescent="0.3">
      <c r="A368" t="s">
        <v>376</v>
      </c>
      <c r="B368" t="s">
        <v>804</v>
      </c>
      <c r="C368" s="4" t="s">
        <v>1170</v>
      </c>
      <c r="D368" t="s">
        <v>1291</v>
      </c>
      <c r="E368" t="s">
        <v>1297</v>
      </c>
      <c r="F368" t="s">
        <v>1319</v>
      </c>
      <c r="G368">
        <v>913.11</v>
      </c>
      <c r="H368">
        <v>1254.9000000000001</v>
      </c>
      <c r="I368">
        <v>-188.24</v>
      </c>
      <c r="J368">
        <v>1051.28</v>
      </c>
      <c r="K368">
        <v>1443.14</v>
      </c>
      <c r="L368">
        <v>-138.16999999999996</v>
      </c>
    </row>
    <row r="369" spans="1:12" x14ac:dyDescent="0.3">
      <c r="A369" t="s">
        <v>377</v>
      </c>
      <c r="B369" t="s">
        <v>842</v>
      </c>
      <c r="C369" s="4" t="s">
        <v>1091</v>
      </c>
      <c r="D369" t="s">
        <v>1292</v>
      </c>
      <c r="E369" t="s">
        <v>1295</v>
      </c>
      <c r="F369" t="s">
        <v>1329</v>
      </c>
      <c r="G369">
        <v>576</v>
      </c>
      <c r="H369">
        <v>803.72</v>
      </c>
      <c r="I369">
        <v>227.72</v>
      </c>
      <c r="J369">
        <v>657.07</v>
      </c>
      <c r="K369">
        <v>576</v>
      </c>
      <c r="L369">
        <v>-81.07000000000005</v>
      </c>
    </row>
    <row r="370" spans="1:12" x14ac:dyDescent="0.3">
      <c r="A370" t="s">
        <v>378</v>
      </c>
      <c r="B370" t="s">
        <v>794</v>
      </c>
      <c r="C370" s="4" t="s">
        <v>1171</v>
      </c>
      <c r="D370" t="s">
        <v>1291</v>
      </c>
      <c r="E370" t="s">
        <v>1298</v>
      </c>
      <c r="F370" t="s">
        <v>1310</v>
      </c>
      <c r="G370">
        <v>311.87</v>
      </c>
      <c r="H370">
        <v>413.93</v>
      </c>
      <c r="I370">
        <v>-62.09</v>
      </c>
      <c r="J370">
        <v>320.54000000000002</v>
      </c>
      <c r="K370">
        <v>476.02</v>
      </c>
      <c r="L370">
        <v>-8.6700000000000159</v>
      </c>
    </row>
    <row r="371" spans="1:12" x14ac:dyDescent="0.3">
      <c r="A371" t="s">
        <v>379</v>
      </c>
      <c r="B371" t="s">
        <v>878</v>
      </c>
      <c r="C371" s="4" t="s">
        <v>1040</v>
      </c>
      <c r="D371" t="s">
        <v>1291</v>
      </c>
      <c r="E371" t="s">
        <v>1294</v>
      </c>
      <c r="F371" t="s">
        <v>1314</v>
      </c>
      <c r="G371">
        <v>340.14</v>
      </c>
      <c r="H371">
        <v>397.81</v>
      </c>
      <c r="I371">
        <v>-59.67</v>
      </c>
      <c r="J371">
        <v>386.45</v>
      </c>
      <c r="K371">
        <v>457.48</v>
      </c>
      <c r="L371">
        <v>-46.31</v>
      </c>
    </row>
    <row r="372" spans="1:12" x14ac:dyDescent="0.3">
      <c r="A372" t="s">
        <v>380</v>
      </c>
      <c r="B372" t="s">
        <v>799</v>
      </c>
      <c r="C372" s="4" t="s">
        <v>1076</v>
      </c>
      <c r="D372" t="s">
        <v>1291</v>
      </c>
      <c r="E372" t="s">
        <v>1298</v>
      </c>
      <c r="F372" t="s">
        <v>1317</v>
      </c>
      <c r="G372">
        <v>880.9</v>
      </c>
      <c r="H372">
        <v>1056.6300000000001</v>
      </c>
      <c r="I372">
        <v>-158.49</v>
      </c>
      <c r="J372">
        <v>835.51</v>
      </c>
      <c r="K372">
        <v>1215.1200000000001</v>
      </c>
      <c r="L372">
        <v>45.389999999999986</v>
      </c>
    </row>
    <row r="373" spans="1:12" x14ac:dyDescent="0.3">
      <c r="A373" t="s">
        <v>381</v>
      </c>
      <c r="B373" t="s">
        <v>819</v>
      </c>
      <c r="C373" s="4" t="s">
        <v>1172</v>
      </c>
      <c r="D373" t="s">
        <v>1291</v>
      </c>
      <c r="E373" t="s">
        <v>1296</v>
      </c>
      <c r="F373" t="s">
        <v>1330</v>
      </c>
      <c r="G373">
        <v>7025.07</v>
      </c>
      <c r="H373">
        <v>9578.01</v>
      </c>
      <c r="I373">
        <v>-1436.7</v>
      </c>
      <c r="J373">
        <v>6459.5</v>
      </c>
      <c r="K373">
        <v>11014.710000000001</v>
      </c>
      <c r="L373">
        <v>565.56999999999971</v>
      </c>
    </row>
    <row r="374" spans="1:12" x14ac:dyDescent="0.3">
      <c r="A374" t="s">
        <v>382</v>
      </c>
      <c r="B374" t="s">
        <v>845</v>
      </c>
      <c r="C374" s="4" t="s">
        <v>993</v>
      </c>
      <c r="D374" t="s">
        <v>1291</v>
      </c>
      <c r="E374" t="s">
        <v>1298</v>
      </c>
      <c r="F374" t="s">
        <v>1310</v>
      </c>
      <c r="G374">
        <v>1138.68</v>
      </c>
      <c r="H374">
        <v>1394.12</v>
      </c>
      <c r="I374">
        <v>-209.12</v>
      </c>
      <c r="J374">
        <v>1049.5999999999999</v>
      </c>
      <c r="K374">
        <v>1603.2399999999998</v>
      </c>
      <c r="L374">
        <v>89.080000000000155</v>
      </c>
    </row>
    <row r="375" spans="1:12" x14ac:dyDescent="0.3">
      <c r="A375" t="s">
        <v>383</v>
      </c>
      <c r="B375" t="s">
        <v>899</v>
      </c>
      <c r="C375" s="4" t="s">
        <v>984</v>
      </c>
      <c r="D375" t="s">
        <v>1292</v>
      </c>
      <c r="E375" t="s">
        <v>1293</v>
      </c>
      <c r="F375" t="s">
        <v>1320</v>
      </c>
      <c r="G375">
        <v>584.80999999999995</v>
      </c>
      <c r="H375">
        <v>797.23</v>
      </c>
      <c r="I375">
        <v>212.42</v>
      </c>
      <c r="J375">
        <v>567.29999999999995</v>
      </c>
      <c r="K375">
        <v>584.81000000000006</v>
      </c>
      <c r="L375">
        <v>17.509999999999991</v>
      </c>
    </row>
    <row r="376" spans="1:12" x14ac:dyDescent="0.3">
      <c r="A376" t="s">
        <v>384</v>
      </c>
      <c r="B376" t="s">
        <v>838</v>
      </c>
      <c r="C376" s="4" t="s">
        <v>1087</v>
      </c>
      <c r="D376" t="s">
        <v>1292</v>
      </c>
      <c r="E376" t="s">
        <v>1293</v>
      </c>
      <c r="F376" t="s">
        <v>1300</v>
      </c>
      <c r="G376">
        <v>55.08</v>
      </c>
      <c r="H376">
        <v>63.83</v>
      </c>
      <c r="I376">
        <v>8.75</v>
      </c>
      <c r="J376">
        <v>57.91</v>
      </c>
      <c r="K376">
        <v>55.08</v>
      </c>
      <c r="L376">
        <v>-2.8299999999999983</v>
      </c>
    </row>
    <row r="377" spans="1:12" x14ac:dyDescent="0.3">
      <c r="A377" t="s">
        <v>385</v>
      </c>
      <c r="B377" t="s">
        <v>912</v>
      </c>
      <c r="C377" s="4" t="s">
        <v>946</v>
      </c>
      <c r="D377" t="s">
        <v>1291</v>
      </c>
      <c r="E377" t="s">
        <v>1294</v>
      </c>
      <c r="F377" t="s">
        <v>1314</v>
      </c>
      <c r="G377">
        <v>799.44</v>
      </c>
      <c r="H377">
        <v>936.52</v>
      </c>
      <c r="I377">
        <v>-140.47999999999999</v>
      </c>
      <c r="J377">
        <v>815.53</v>
      </c>
      <c r="K377">
        <v>1077</v>
      </c>
      <c r="L377">
        <v>-16.089999999999918</v>
      </c>
    </row>
    <row r="378" spans="1:12" x14ac:dyDescent="0.3">
      <c r="A378" t="s">
        <v>386</v>
      </c>
      <c r="B378" t="s">
        <v>835</v>
      </c>
      <c r="C378" s="4" t="s">
        <v>940</v>
      </c>
      <c r="D378" t="s">
        <v>1291</v>
      </c>
      <c r="E378" t="s">
        <v>1297</v>
      </c>
      <c r="F378" t="s">
        <v>1331</v>
      </c>
      <c r="G378">
        <v>588.87</v>
      </c>
      <c r="H378">
        <v>744.31</v>
      </c>
      <c r="I378">
        <v>-111.65</v>
      </c>
      <c r="J378">
        <v>540.51</v>
      </c>
      <c r="K378">
        <v>855.95999999999992</v>
      </c>
      <c r="L378">
        <v>48.360000000000014</v>
      </c>
    </row>
    <row r="379" spans="1:12" x14ac:dyDescent="0.3">
      <c r="A379" t="s">
        <v>387</v>
      </c>
      <c r="B379" t="s">
        <v>917</v>
      </c>
      <c r="C379" s="4" t="s">
        <v>958</v>
      </c>
      <c r="D379" t="s">
        <v>1291</v>
      </c>
      <c r="E379" t="s">
        <v>1294</v>
      </c>
      <c r="F379" t="s">
        <v>1333</v>
      </c>
      <c r="G379">
        <v>742.62</v>
      </c>
      <c r="H379">
        <v>1025.78</v>
      </c>
      <c r="I379">
        <v>-153.87</v>
      </c>
      <c r="J379">
        <v>870.75</v>
      </c>
      <c r="K379">
        <v>1179.6500000000001</v>
      </c>
      <c r="L379">
        <v>-128.13</v>
      </c>
    </row>
    <row r="380" spans="1:12" x14ac:dyDescent="0.3">
      <c r="A380" t="s">
        <v>388</v>
      </c>
      <c r="B380" t="s">
        <v>848</v>
      </c>
      <c r="C380" s="4" t="s">
        <v>936</v>
      </c>
      <c r="D380" t="s">
        <v>1291</v>
      </c>
      <c r="E380" t="s">
        <v>1299</v>
      </c>
      <c r="F380" t="s">
        <v>1311</v>
      </c>
      <c r="G380">
        <v>1219.4163333333336</v>
      </c>
      <c r="H380">
        <v>139.13999999999999</v>
      </c>
      <c r="I380">
        <v>-20.87</v>
      </c>
      <c r="J380">
        <v>104.39</v>
      </c>
      <c r="K380">
        <v>160.01</v>
      </c>
      <c r="L380">
        <v>1115.0263333333335</v>
      </c>
    </row>
    <row r="381" spans="1:12" x14ac:dyDescent="0.3">
      <c r="A381" t="s">
        <v>389</v>
      </c>
      <c r="B381" t="s">
        <v>801</v>
      </c>
      <c r="C381" s="4" t="s">
        <v>1173</v>
      </c>
      <c r="D381" t="s">
        <v>1292</v>
      </c>
      <c r="E381" t="s">
        <v>1298</v>
      </c>
      <c r="F381" t="s">
        <v>1310</v>
      </c>
      <c r="G381">
        <v>1074.2</v>
      </c>
      <c r="H381">
        <v>1308.1300000000001</v>
      </c>
      <c r="I381">
        <v>233.93</v>
      </c>
      <c r="J381">
        <v>1060.24</v>
      </c>
      <c r="K381">
        <v>1074.2</v>
      </c>
      <c r="L381">
        <v>13.960000000000036</v>
      </c>
    </row>
    <row r="382" spans="1:12" x14ac:dyDescent="0.3">
      <c r="A382" t="s">
        <v>390</v>
      </c>
      <c r="B382" t="s">
        <v>893</v>
      </c>
      <c r="C382" s="4" t="s">
        <v>1174</v>
      </c>
      <c r="D382" t="s">
        <v>1291</v>
      </c>
      <c r="E382" t="s">
        <v>1293</v>
      </c>
      <c r="F382" t="s">
        <v>1318</v>
      </c>
      <c r="G382">
        <v>388.61</v>
      </c>
      <c r="H382">
        <v>485.3</v>
      </c>
      <c r="I382">
        <v>-72.8</v>
      </c>
      <c r="J382">
        <v>357.62</v>
      </c>
      <c r="K382">
        <v>558.1</v>
      </c>
      <c r="L382">
        <v>30.990000000000009</v>
      </c>
    </row>
    <row r="383" spans="1:12" x14ac:dyDescent="0.3">
      <c r="A383" t="s">
        <v>391</v>
      </c>
      <c r="B383" t="s">
        <v>869</v>
      </c>
      <c r="C383" s="4" t="s">
        <v>951</v>
      </c>
      <c r="D383" t="s">
        <v>1291</v>
      </c>
      <c r="E383" t="s">
        <v>1295</v>
      </c>
      <c r="F383" t="s">
        <v>1304</v>
      </c>
      <c r="G383">
        <v>429.71</v>
      </c>
      <c r="H383">
        <v>518.83000000000004</v>
      </c>
      <c r="I383">
        <v>-77.819999999999993</v>
      </c>
      <c r="J383">
        <v>500.5</v>
      </c>
      <c r="K383">
        <v>596.65000000000009</v>
      </c>
      <c r="L383">
        <v>-70.79000000000002</v>
      </c>
    </row>
    <row r="384" spans="1:12" x14ac:dyDescent="0.3">
      <c r="A384" t="s">
        <v>392</v>
      </c>
      <c r="B384" t="s">
        <v>877</v>
      </c>
      <c r="C384" s="4" t="s">
        <v>1175</v>
      </c>
      <c r="D384" t="s">
        <v>1292</v>
      </c>
      <c r="E384" t="s">
        <v>1299</v>
      </c>
      <c r="F384" t="s">
        <v>1334</v>
      </c>
      <c r="G384">
        <v>995.44</v>
      </c>
      <c r="H384">
        <v>1391.58</v>
      </c>
      <c r="I384">
        <v>396.14</v>
      </c>
      <c r="J384">
        <v>918.06</v>
      </c>
      <c r="K384">
        <v>995.43999999999994</v>
      </c>
      <c r="L384">
        <v>77.380000000000109</v>
      </c>
    </row>
    <row r="385" spans="1:12" x14ac:dyDescent="0.3">
      <c r="A385" t="s">
        <v>393</v>
      </c>
      <c r="B385" t="s">
        <v>856</v>
      </c>
      <c r="C385" s="4" t="s">
        <v>1031</v>
      </c>
      <c r="D385" t="s">
        <v>1292</v>
      </c>
      <c r="E385" t="s">
        <v>1298</v>
      </c>
      <c r="F385" t="s">
        <v>1317</v>
      </c>
      <c r="G385">
        <v>1040.8900000000001</v>
      </c>
      <c r="H385">
        <v>1300.9100000000001</v>
      </c>
      <c r="I385">
        <v>260.02</v>
      </c>
      <c r="J385">
        <v>1068.6199999999999</v>
      </c>
      <c r="K385">
        <v>1040.8900000000001</v>
      </c>
      <c r="L385">
        <v>-27.729999999999791</v>
      </c>
    </row>
    <row r="386" spans="1:12" x14ac:dyDescent="0.3">
      <c r="A386" t="s">
        <v>394</v>
      </c>
      <c r="B386" t="s">
        <v>918</v>
      </c>
      <c r="C386" s="4" t="s">
        <v>1176</v>
      </c>
      <c r="D386" t="s">
        <v>1291</v>
      </c>
      <c r="E386" t="s">
        <v>1296</v>
      </c>
      <c r="F386" t="s">
        <v>1330</v>
      </c>
      <c r="G386">
        <v>6237.65</v>
      </c>
      <c r="H386">
        <v>8490.7800000000007</v>
      </c>
      <c r="I386">
        <v>-1273.6199999999999</v>
      </c>
      <c r="J386">
        <v>6572.72</v>
      </c>
      <c r="K386">
        <v>9764.4000000000015</v>
      </c>
      <c r="L386">
        <v>-335.07000000000062</v>
      </c>
    </row>
    <row r="387" spans="1:12" x14ac:dyDescent="0.3">
      <c r="A387" t="s">
        <v>395</v>
      </c>
      <c r="B387" t="s">
        <v>897</v>
      </c>
      <c r="C387" s="4" t="s">
        <v>1021</v>
      </c>
      <c r="D387" t="s">
        <v>1292</v>
      </c>
      <c r="E387" t="s">
        <v>1298</v>
      </c>
      <c r="F387" t="s">
        <v>1317</v>
      </c>
      <c r="G387">
        <v>1015.46</v>
      </c>
      <c r="H387">
        <v>1337.11</v>
      </c>
      <c r="I387">
        <v>321.64999999999998</v>
      </c>
      <c r="J387">
        <v>1216.2</v>
      </c>
      <c r="K387">
        <v>1015.4599999999999</v>
      </c>
      <c r="L387">
        <v>-200.74</v>
      </c>
    </row>
    <row r="388" spans="1:12" x14ac:dyDescent="0.3">
      <c r="A388" t="s">
        <v>396</v>
      </c>
      <c r="B388" t="s">
        <v>853</v>
      </c>
      <c r="C388" s="4" t="s">
        <v>1177</v>
      </c>
      <c r="D388" t="s">
        <v>1292</v>
      </c>
      <c r="E388" t="s">
        <v>1293</v>
      </c>
      <c r="F388" t="s">
        <v>1318</v>
      </c>
      <c r="G388">
        <v>630.45000000000005</v>
      </c>
      <c r="H388">
        <v>847.12</v>
      </c>
      <c r="I388">
        <v>216.67</v>
      </c>
      <c r="J388">
        <v>657.2</v>
      </c>
      <c r="K388">
        <v>630.45000000000005</v>
      </c>
      <c r="L388">
        <v>-26.75</v>
      </c>
    </row>
    <row r="389" spans="1:12" x14ac:dyDescent="0.3">
      <c r="A389" t="s">
        <v>397</v>
      </c>
      <c r="B389" t="s">
        <v>794</v>
      </c>
      <c r="C389" s="4" t="s">
        <v>977</v>
      </c>
      <c r="D389" t="s">
        <v>1291</v>
      </c>
      <c r="E389" t="s">
        <v>1298</v>
      </c>
      <c r="F389" t="s">
        <v>1306</v>
      </c>
      <c r="G389">
        <v>653.17999999999995</v>
      </c>
      <c r="H389">
        <v>845.36</v>
      </c>
      <c r="I389">
        <v>-126.8</v>
      </c>
      <c r="J389">
        <v>617.84</v>
      </c>
      <c r="K389">
        <v>972.16</v>
      </c>
      <c r="L389">
        <v>35.339999999999918</v>
      </c>
    </row>
    <row r="390" spans="1:12" x14ac:dyDescent="0.3">
      <c r="A390" t="s">
        <v>398</v>
      </c>
      <c r="B390" t="s">
        <v>870</v>
      </c>
      <c r="C390" s="4" t="s">
        <v>1178</v>
      </c>
      <c r="D390" t="s">
        <v>1291</v>
      </c>
      <c r="E390" t="s">
        <v>1297</v>
      </c>
      <c r="F390" t="s">
        <v>1331</v>
      </c>
      <c r="G390">
        <v>1037.98</v>
      </c>
      <c r="H390">
        <v>1254.07</v>
      </c>
      <c r="I390">
        <v>-188.11</v>
      </c>
      <c r="J390">
        <v>1229.78</v>
      </c>
      <c r="K390">
        <v>1442.1799999999998</v>
      </c>
      <c r="L390">
        <v>-191.79999999999995</v>
      </c>
    </row>
    <row r="391" spans="1:12" x14ac:dyDescent="0.3">
      <c r="A391" t="s">
        <v>399</v>
      </c>
      <c r="B391" t="s">
        <v>846</v>
      </c>
      <c r="C391" s="4" t="s">
        <v>1086</v>
      </c>
      <c r="D391" t="s">
        <v>1292</v>
      </c>
      <c r="E391" t="s">
        <v>1294</v>
      </c>
      <c r="F391" t="s">
        <v>1333</v>
      </c>
      <c r="G391">
        <v>785.95</v>
      </c>
      <c r="H391">
        <v>1083.56</v>
      </c>
      <c r="I391">
        <v>297.61</v>
      </c>
      <c r="J391">
        <v>940.44</v>
      </c>
      <c r="K391">
        <v>785.94999999999993</v>
      </c>
      <c r="L391">
        <v>-154.49</v>
      </c>
    </row>
    <row r="392" spans="1:12" x14ac:dyDescent="0.3">
      <c r="A392" t="s">
        <v>400</v>
      </c>
      <c r="B392" t="s">
        <v>899</v>
      </c>
      <c r="C392" s="4" t="s">
        <v>1179</v>
      </c>
      <c r="D392" t="s">
        <v>1291</v>
      </c>
      <c r="E392" t="s">
        <v>1297</v>
      </c>
      <c r="F392" t="s">
        <v>1331</v>
      </c>
      <c r="G392">
        <v>939.75</v>
      </c>
      <c r="H392">
        <v>1274.74</v>
      </c>
      <c r="I392">
        <v>-191.21</v>
      </c>
      <c r="J392">
        <v>866.34</v>
      </c>
      <c r="K392">
        <v>1465.95</v>
      </c>
      <c r="L392">
        <v>73.409999999999968</v>
      </c>
    </row>
    <row r="393" spans="1:12" x14ac:dyDescent="0.3">
      <c r="A393" t="s">
        <v>401</v>
      </c>
      <c r="B393" t="s">
        <v>806</v>
      </c>
      <c r="C393" s="4" t="s">
        <v>1180</v>
      </c>
      <c r="D393" t="s">
        <v>1292</v>
      </c>
      <c r="E393" t="s">
        <v>1299</v>
      </c>
      <c r="F393" t="s">
        <v>1311</v>
      </c>
      <c r="G393">
        <v>114.9</v>
      </c>
      <c r="H393">
        <v>147</v>
      </c>
      <c r="I393">
        <v>32.1</v>
      </c>
      <c r="J393">
        <v>131.01</v>
      </c>
      <c r="K393">
        <v>114.9</v>
      </c>
      <c r="L393">
        <v>-16.109999999999985</v>
      </c>
    </row>
    <row r="394" spans="1:12" x14ac:dyDescent="0.3">
      <c r="A394" t="s">
        <v>402</v>
      </c>
      <c r="B394" t="s">
        <v>823</v>
      </c>
      <c r="C394" s="4" t="s">
        <v>1088</v>
      </c>
      <c r="D394" t="s">
        <v>1291</v>
      </c>
      <c r="E394" t="s">
        <v>1298</v>
      </c>
      <c r="F394" t="s">
        <v>1306</v>
      </c>
      <c r="G394">
        <v>37.51</v>
      </c>
      <c r="H394">
        <v>47.94</v>
      </c>
      <c r="I394">
        <v>-7.19</v>
      </c>
      <c r="J394">
        <v>38.36</v>
      </c>
      <c r="K394">
        <v>55.129999999999995</v>
      </c>
      <c r="L394">
        <v>-0.85000000000000142</v>
      </c>
    </row>
    <row r="395" spans="1:12" x14ac:dyDescent="0.3">
      <c r="A395" t="s">
        <v>403</v>
      </c>
      <c r="B395" t="s">
        <v>882</v>
      </c>
      <c r="C395" s="4" t="s">
        <v>1181</v>
      </c>
      <c r="D395" t="s">
        <v>1291</v>
      </c>
      <c r="E395" t="s">
        <v>1293</v>
      </c>
      <c r="F395" t="s">
        <v>1318</v>
      </c>
      <c r="G395">
        <v>1010.91</v>
      </c>
      <c r="H395">
        <v>1165.0899999999999</v>
      </c>
      <c r="I395">
        <v>-174.76</v>
      </c>
      <c r="J395">
        <v>1068.46</v>
      </c>
      <c r="K395">
        <v>1339.85</v>
      </c>
      <c r="L395">
        <v>-57.550000000000068</v>
      </c>
    </row>
    <row r="396" spans="1:12" x14ac:dyDescent="0.3">
      <c r="A396" t="s">
        <v>404</v>
      </c>
      <c r="B396" t="s">
        <v>910</v>
      </c>
      <c r="C396" s="4" t="s">
        <v>1049</v>
      </c>
      <c r="D396" t="s">
        <v>1292</v>
      </c>
      <c r="E396" t="s">
        <v>1296</v>
      </c>
      <c r="F396" t="s">
        <v>1332</v>
      </c>
      <c r="G396">
        <v>8331.17</v>
      </c>
      <c r="H396">
        <v>10020.31</v>
      </c>
      <c r="I396">
        <v>1689.14</v>
      </c>
      <c r="J396">
        <v>9545.23</v>
      </c>
      <c r="K396">
        <v>8331.17</v>
      </c>
      <c r="L396">
        <v>-1214.0599999999995</v>
      </c>
    </row>
    <row r="397" spans="1:12" x14ac:dyDescent="0.3">
      <c r="A397" t="s">
        <v>405</v>
      </c>
      <c r="B397" t="s">
        <v>914</v>
      </c>
      <c r="C397" s="4" t="s">
        <v>1031</v>
      </c>
      <c r="D397" t="s">
        <v>1291</v>
      </c>
      <c r="E397" t="s">
        <v>1299</v>
      </c>
      <c r="F397" t="s">
        <v>1334</v>
      </c>
      <c r="G397">
        <v>365.85</v>
      </c>
      <c r="H397">
        <v>479.33</v>
      </c>
      <c r="I397">
        <v>-71.900000000000006</v>
      </c>
      <c r="J397">
        <v>422.48</v>
      </c>
      <c r="K397">
        <v>551.23</v>
      </c>
      <c r="L397">
        <v>-56.629999999999995</v>
      </c>
    </row>
    <row r="398" spans="1:12" x14ac:dyDescent="0.3">
      <c r="A398" t="s">
        <v>406</v>
      </c>
      <c r="B398" t="s">
        <v>859</v>
      </c>
      <c r="C398" s="4" t="s">
        <v>1182</v>
      </c>
      <c r="D398" t="s">
        <v>1291</v>
      </c>
      <c r="E398" t="s">
        <v>1299</v>
      </c>
      <c r="F398" t="s">
        <v>1334</v>
      </c>
      <c r="G398">
        <v>360.57</v>
      </c>
      <c r="H398">
        <v>490.59</v>
      </c>
      <c r="I398">
        <v>-73.59</v>
      </c>
      <c r="J398">
        <v>355.15</v>
      </c>
      <c r="K398">
        <v>564.17999999999995</v>
      </c>
      <c r="L398">
        <v>5.4200000000000159</v>
      </c>
    </row>
    <row r="399" spans="1:12" x14ac:dyDescent="0.3">
      <c r="A399" t="s">
        <v>407</v>
      </c>
      <c r="B399" t="s">
        <v>792</v>
      </c>
      <c r="C399" s="4" t="s">
        <v>1013</v>
      </c>
      <c r="D399" t="s">
        <v>1292</v>
      </c>
      <c r="E399" t="s">
        <v>1298</v>
      </c>
      <c r="F399" t="s">
        <v>1306</v>
      </c>
      <c r="G399">
        <v>393.3</v>
      </c>
      <c r="H399">
        <v>501.37</v>
      </c>
      <c r="I399">
        <v>108.07</v>
      </c>
      <c r="J399">
        <v>383.64</v>
      </c>
      <c r="K399">
        <v>393.3</v>
      </c>
      <c r="L399">
        <v>9.660000000000025</v>
      </c>
    </row>
    <row r="400" spans="1:12" x14ac:dyDescent="0.3">
      <c r="A400" t="s">
        <v>408</v>
      </c>
      <c r="B400" t="s">
        <v>845</v>
      </c>
      <c r="C400" s="4" t="s">
        <v>948</v>
      </c>
      <c r="D400" t="s">
        <v>1292</v>
      </c>
      <c r="E400" t="s">
        <v>1298</v>
      </c>
      <c r="F400" t="s">
        <v>1317</v>
      </c>
      <c r="G400">
        <v>297.81</v>
      </c>
      <c r="H400">
        <v>408.01</v>
      </c>
      <c r="I400">
        <v>110.2</v>
      </c>
      <c r="J400">
        <v>277.77</v>
      </c>
      <c r="K400">
        <v>297.81</v>
      </c>
      <c r="L400">
        <v>20.04000000000002</v>
      </c>
    </row>
    <row r="401" spans="1:12" x14ac:dyDescent="0.3">
      <c r="A401" t="s">
        <v>409</v>
      </c>
      <c r="B401" t="s">
        <v>919</v>
      </c>
      <c r="C401" s="4" t="s">
        <v>1183</v>
      </c>
      <c r="D401" t="s">
        <v>1291</v>
      </c>
      <c r="E401" t="s">
        <v>1296</v>
      </c>
      <c r="F401" t="s">
        <v>1332</v>
      </c>
      <c r="G401">
        <v>8045.37</v>
      </c>
      <c r="H401">
        <v>10044.049999999999</v>
      </c>
      <c r="I401">
        <v>-1506.61</v>
      </c>
      <c r="J401">
        <v>8551.82</v>
      </c>
      <c r="K401">
        <v>11550.66</v>
      </c>
      <c r="L401">
        <v>-506.44999999999982</v>
      </c>
    </row>
    <row r="402" spans="1:12" x14ac:dyDescent="0.3">
      <c r="A402" t="s">
        <v>410</v>
      </c>
      <c r="B402" t="s">
        <v>862</v>
      </c>
      <c r="C402" s="4" t="s">
        <v>1184</v>
      </c>
      <c r="D402" t="s">
        <v>1292</v>
      </c>
      <c r="E402" t="s">
        <v>1299</v>
      </c>
      <c r="F402" t="s">
        <v>1311</v>
      </c>
      <c r="G402">
        <v>1182.68</v>
      </c>
      <c r="H402">
        <v>1530.59</v>
      </c>
      <c r="I402">
        <v>-44.182985074626863</v>
      </c>
      <c r="J402">
        <v>1208.1199999999999</v>
      </c>
      <c r="K402">
        <v>1574.7729850746268</v>
      </c>
      <c r="L402">
        <v>-25.439999999999827</v>
      </c>
    </row>
    <row r="403" spans="1:12" x14ac:dyDescent="0.3">
      <c r="A403" t="s">
        <v>411</v>
      </c>
      <c r="B403" t="s">
        <v>898</v>
      </c>
      <c r="C403" s="4" t="s">
        <v>1185</v>
      </c>
      <c r="D403" t="s">
        <v>1292</v>
      </c>
      <c r="E403" t="s">
        <v>1293</v>
      </c>
      <c r="F403" t="s">
        <v>1318</v>
      </c>
      <c r="G403">
        <v>874.93</v>
      </c>
      <c r="H403">
        <v>1122.9000000000001</v>
      </c>
      <c r="I403">
        <v>247.97</v>
      </c>
      <c r="J403">
        <v>921.95</v>
      </c>
      <c r="K403">
        <v>874.93000000000006</v>
      </c>
      <c r="L403">
        <v>-47.020000000000095</v>
      </c>
    </row>
    <row r="404" spans="1:12" x14ac:dyDescent="0.3">
      <c r="A404" t="s">
        <v>412</v>
      </c>
      <c r="B404" t="s">
        <v>801</v>
      </c>
      <c r="C404" s="4" t="s">
        <v>1018</v>
      </c>
      <c r="D404" t="s">
        <v>1291</v>
      </c>
      <c r="E404" t="s">
        <v>1296</v>
      </c>
      <c r="F404" t="s">
        <v>1330</v>
      </c>
      <c r="G404">
        <v>9195.5499999999993</v>
      </c>
      <c r="H404">
        <v>11401.85</v>
      </c>
      <c r="I404">
        <v>-1710.28</v>
      </c>
      <c r="J404">
        <v>8844.3700000000008</v>
      </c>
      <c r="K404">
        <v>13112.130000000001</v>
      </c>
      <c r="L404">
        <v>351.17999999999847</v>
      </c>
    </row>
    <row r="405" spans="1:12" x14ac:dyDescent="0.3">
      <c r="A405" t="s">
        <v>413</v>
      </c>
      <c r="B405" t="s">
        <v>797</v>
      </c>
      <c r="C405" s="4" t="s">
        <v>983</v>
      </c>
      <c r="D405" t="s">
        <v>1292</v>
      </c>
      <c r="E405" t="s">
        <v>1298</v>
      </c>
      <c r="F405" t="s">
        <v>1306</v>
      </c>
      <c r="G405">
        <v>713.36</v>
      </c>
      <c r="H405">
        <v>887.41</v>
      </c>
      <c r="I405">
        <v>174.05</v>
      </c>
      <c r="J405">
        <v>817.28</v>
      </c>
      <c r="K405">
        <v>713.3599999999999</v>
      </c>
      <c r="L405">
        <v>-103.91999999999996</v>
      </c>
    </row>
    <row r="406" spans="1:12" x14ac:dyDescent="0.3">
      <c r="A406" t="s">
        <v>414</v>
      </c>
      <c r="B406" t="s">
        <v>792</v>
      </c>
      <c r="C406" s="4" t="s">
        <v>937</v>
      </c>
      <c r="D406" t="s">
        <v>1291</v>
      </c>
      <c r="E406" t="s">
        <v>1299</v>
      </c>
      <c r="F406" t="s">
        <v>1334</v>
      </c>
      <c r="G406">
        <v>948.53</v>
      </c>
      <c r="H406">
        <v>1242.44</v>
      </c>
      <c r="I406">
        <v>-186.37</v>
      </c>
      <c r="J406">
        <v>946</v>
      </c>
      <c r="K406">
        <v>1428.81</v>
      </c>
      <c r="L406">
        <v>2.5299999999999727</v>
      </c>
    </row>
    <row r="407" spans="1:12" x14ac:dyDescent="0.3">
      <c r="A407" t="s">
        <v>415</v>
      </c>
      <c r="B407" t="s">
        <v>790</v>
      </c>
      <c r="C407" s="4" t="s">
        <v>1186</v>
      </c>
      <c r="D407" t="s">
        <v>1291</v>
      </c>
      <c r="E407" t="s">
        <v>1295</v>
      </c>
      <c r="F407" t="s">
        <v>1313</v>
      </c>
      <c r="G407">
        <v>1004.01</v>
      </c>
      <c r="H407">
        <v>1342.67</v>
      </c>
      <c r="I407">
        <v>-201.4</v>
      </c>
      <c r="J407">
        <v>1107.1099999999999</v>
      </c>
      <c r="K407">
        <v>1544.0700000000002</v>
      </c>
      <c r="L407">
        <v>-103.09999999999991</v>
      </c>
    </row>
    <row r="408" spans="1:12" x14ac:dyDescent="0.3">
      <c r="A408" t="s">
        <v>416</v>
      </c>
      <c r="B408" t="s">
        <v>852</v>
      </c>
      <c r="C408" s="4" t="s">
        <v>951</v>
      </c>
      <c r="D408" t="s">
        <v>1292</v>
      </c>
      <c r="E408" t="s">
        <v>1294</v>
      </c>
      <c r="F408" t="s">
        <v>1333</v>
      </c>
      <c r="G408">
        <v>835.57</v>
      </c>
      <c r="H408">
        <v>1420.2638235294123</v>
      </c>
      <c r="I408">
        <v>233.27</v>
      </c>
      <c r="J408">
        <v>978.25</v>
      </c>
      <c r="K408">
        <v>1186.9938235294123</v>
      </c>
      <c r="L408">
        <v>-142.67999999999995</v>
      </c>
    </row>
    <row r="409" spans="1:12" x14ac:dyDescent="0.3">
      <c r="A409" t="s">
        <v>417</v>
      </c>
      <c r="B409" t="s">
        <v>863</v>
      </c>
      <c r="C409" s="4" t="s">
        <v>1173</v>
      </c>
      <c r="D409" t="s">
        <v>1291</v>
      </c>
      <c r="E409" t="s">
        <v>1296</v>
      </c>
      <c r="F409" t="s">
        <v>1308</v>
      </c>
      <c r="G409">
        <v>4521.3100000000004</v>
      </c>
      <c r="H409">
        <v>6209.83</v>
      </c>
      <c r="I409">
        <v>-931.47</v>
      </c>
      <c r="J409">
        <v>4182.49</v>
      </c>
      <c r="K409">
        <v>7141.3</v>
      </c>
      <c r="L409">
        <v>338.82000000000062</v>
      </c>
    </row>
    <row r="410" spans="1:12" x14ac:dyDescent="0.3">
      <c r="A410" t="s">
        <v>418</v>
      </c>
      <c r="B410" t="s">
        <v>806</v>
      </c>
      <c r="C410" s="4" t="s">
        <v>1151</v>
      </c>
      <c r="D410" t="s">
        <v>1291</v>
      </c>
      <c r="E410" t="s">
        <v>1296</v>
      </c>
      <c r="F410" t="s">
        <v>1330</v>
      </c>
      <c r="G410">
        <v>9011.26</v>
      </c>
      <c r="H410">
        <v>11794.27</v>
      </c>
      <c r="I410">
        <v>-1769.14</v>
      </c>
      <c r="J410">
        <v>9786.07</v>
      </c>
      <c r="K410">
        <v>13563.41</v>
      </c>
      <c r="L410">
        <v>-774.80999999999949</v>
      </c>
    </row>
    <row r="411" spans="1:12" x14ac:dyDescent="0.3">
      <c r="A411" t="s">
        <v>419</v>
      </c>
      <c r="B411" t="s">
        <v>910</v>
      </c>
      <c r="C411" s="4" t="s">
        <v>957</v>
      </c>
      <c r="D411" t="s">
        <v>1291</v>
      </c>
      <c r="E411" t="s">
        <v>1298</v>
      </c>
      <c r="F411" t="s">
        <v>1310</v>
      </c>
      <c r="G411">
        <v>1180.3900000000001</v>
      </c>
      <c r="H411">
        <v>1447.82</v>
      </c>
      <c r="I411">
        <v>-217.17</v>
      </c>
      <c r="J411">
        <v>1257.24</v>
      </c>
      <c r="K411">
        <v>1664.99</v>
      </c>
      <c r="L411">
        <v>-76.849999999999909</v>
      </c>
    </row>
    <row r="412" spans="1:12" x14ac:dyDescent="0.3">
      <c r="A412" t="s">
        <v>420</v>
      </c>
      <c r="B412" t="s">
        <v>797</v>
      </c>
      <c r="C412" s="4" t="s">
        <v>1187</v>
      </c>
      <c r="D412" t="s">
        <v>1291</v>
      </c>
      <c r="E412" t="s">
        <v>1294</v>
      </c>
      <c r="F412" t="s">
        <v>1314</v>
      </c>
      <c r="G412">
        <v>838.51</v>
      </c>
      <c r="H412">
        <v>1120.8399999999999</v>
      </c>
      <c r="I412">
        <v>-168.13</v>
      </c>
      <c r="J412">
        <v>943.58</v>
      </c>
      <c r="K412">
        <v>1288.9699999999998</v>
      </c>
      <c r="L412">
        <v>-105.07000000000005</v>
      </c>
    </row>
    <row r="413" spans="1:12" x14ac:dyDescent="0.3">
      <c r="A413" t="s">
        <v>421</v>
      </c>
      <c r="B413" t="s">
        <v>813</v>
      </c>
      <c r="C413" s="4" t="s">
        <v>982</v>
      </c>
      <c r="D413" t="s">
        <v>1291</v>
      </c>
      <c r="E413" t="s">
        <v>1298</v>
      </c>
      <c r="F413" t="s">
        <v>1306</v>
      </c>
      <c r="G413">
        <v>1020.84</v>
      </c>
      <c r="H413">
        <v>1252.71</v>
      </c>
      <c r="I413">
        <v>-187.91</v>
      </c>
      <c r="J413">
        <v>932.54</v>
      </c>
      <c r="K413">
        <v>1440.6200000000001</v>
      </c>
      <c r="L413">
        <v>88.300000000000068</v>
      </c>
    </row>
    <row r="414" spans="1:12" x14ac:dyDescent="0.3">
      <c r="A414" t="s">
        <v>422</v>
      </c>
      <c r="B414" t="s">
        <v>796</v>
      </c>
      <c r="C414" s="4" t="s">
        <v>1188</v>
      </c>
      <c r="D414" t="s">
        <v>1291</v>
      </c>
      <c r="E414" t="s">
        <v>1298</v>
      </c>
      <c r="F414" t="s">
        <v>1310</v>
      </c>
      <c r="G414">
        <v>429.49</v>
      </c>
      <c r="H414">
        <v>522.01</v>
      </c>
      <c r="I414">
        <v>-78.3</v>
      </c>
      <c r="J414">
        <v>391.32</v>
      </c>
      <c r="K414">
        <v>600.30999999999995</v>
      </c>
      <c r="L414">
        <v>38.170000000000016</v>
      </c>
    </row>
    <row r="415" spans="1:12" x14ac:dyDescent="0.3">
      <c r="A415" t="s">
        <v>423</v>
      </c>
      <c r="B415" t="s">
        <v>918</v>
      </c>
      <c r="C415" s="4" t="s">
        <v>1014</v>
      </c>
      <c r="D415" t="s">
        <v>1291</v>
      </c>
      <c r="E415" t="s">
        <v>1299</v>
      </c>
      <c r="F415" t="s">
        <v>1311</v>
      </c>
      <c r="G415">
        <v>705.8</v>
      </c>
      <c r="H415">
        <v>886.25</v>
      </c>
      <c r="I415">
        <v>-132.94</v>
      </c>
      <c r="J415">
        <v>680.34</v>
      </c>
      <c r="K415">
        <v>1019.19</v>
      </c>
      <c r="L415">
        <v>25.459999999999923</v>
      </c>
    </row>
    <row r="416" spans="1:12" x14ac:dyDescent="0.3">
      <c r="A416" t="s">
        <v>424</v>
      </c>
      <c r="B416" t="s">
        <v>881</v>
      </c>
      <c r="C416" s="4" t="s">
        <v>1189</v>
      </c>
      <c r="D416" t="s">
        <v>1292</v>
      </c>
      <c r="E416" t="s">
        <v>1297</v>
      </c>
      <c r="F416" t="s">
        <v>1309</v>
      </c>
      <c r="G416">
        <v>646.96</v>
      </c>
      <c r="H416">
        <v>823.43</v>
      </c>
      <c r="I416">
        <v>176.47</v>
      </c>
      <c r="J416">
        <v>608.16999999999996</v>
      </c>
      <c r="K416">
        <v>646.95999999999992</v>
      </c>
      <c r="L416">
        <v>38.790000000000077</v>
      </c>
    </row>
    <row r="417" spans="1:12" x14ac:dyDescent="0.3">
      <c r="A417" t="s">
        <v>425</v>
      </c>
      <c r="B417" t="s">
        <v>915</v>
      </c>
      <c r="C417" s="4" t="s">
        <v>1190</v>
      </c>
      <c r="D417" t="s">
        <v>1292</v>
      </c>
      <c r="E417" t="s">
        <v>1294</v>
      </c>
      <c r="F417" t="s">
        <v>1333</v>
      </c>
      <c r="G417">
        <v>483.36</v>
      </c>
      <c r="H417">
        <v>662.32</v>
      </c>
      <c r="I417">
        <v>178.96</v>
      </c>
      <c r="J417">
        <v>549.54</v>
      </c>
      <c r="K417">
        <v>483.36</v>
      </c>
      <c r="L417">
        <v>-66.17999999999995</v>
      </c>
    </row>
    <row r="418" spans="1:12" x14ac:dyDescent="0.3">
      <c r="A418" t="s">
        <v>426</v>
      </c>
      <c r="B418" t="s">
        <v>905</v>
      </c>
      <c r="C418" s="4" t="s">
        <v>963</v>
      </c>
      <c r="D418" t="s">
        <v>1291</v>
      </c>
      <c r="E418" t="s">
        <v>1297</v>
      </c>
      <c r="F418" t="s">
        <v>1319</v>
      </c>
      <c r="G418">
        <v>998.21</v>
      </c>
      <c r="H418">
        <v>1288.8</v>
      </c>
      <c r="I418">
        <v>-193.32</v>
      </c>
      <c r="J418">
        <v>1093.83</v>
      </c>
      <c r="K418">
        <v>1482.12</v>
      </c>
      <c r="L418">
        <v>-95.619999999999891</v>
      </c>
    </row>
    <row r="419" spans="1:12" x14ac:dyDescent="0.3">
      <c r="A419" t="s">
        <v>427</v>
      </c>
      <c r="B419" t="s">
        <v>853</v>
      </c>
      <c r="C419" s="4" t="s">
        <v>1012</v>
      </c>
      <c r="D419" t="s">
        <v>1291</v>
      </c>
      <c r="E419" t="s">
        <v>1299</v>
      </c>
      <c r="F419" t="s">
        <v>1311</v>
      </c>
      <c r="G419">
        <v>250.97</v>
      </c>
      <c r="H419">
        <v>328.04</v>
      </c>
      <c r="I419">
        <v>-49.21</v>
      </c>
      <c r="J419">
        <v>272.18</v>
      </c>
      <c r="K419">
        <v>377.25</v>
      </c>
      <c r="L419">
        <v>-21.210000000000008</v>
      </c>
    </row>
    <row r="420" spans="1:12" x14ac:dyDescent="0.3">
      <c r="A420" t="s">
        <v>428</v>
      </c>
      <c r="B420" t="s">
        <v>920</v>
      </c>
      <c r="C420" s="4" t="s">
        <v>1095</v>
      </c>
      <c r="D420" t="s">
        <v>1292</v>
      </c>
      <c r="E420" t="s">
        <v>1296</v>
      </c>
      <c r="F420" t="s">
        <v>1308</v>
      </c>
      <c r="G420">
        <v>6929.34</v>
      </c>
      <c r="H420">
        <v>8341.91</v>
      </c>
      <c r="I420">
        <v>1412.57</v>
      </c>
      <c r="J420">
        <v>6414.79</v>
      </c>
      <c r="K420">
        <v>6929.34</v>
      </c>
      <c r="L420">
        <v>514.55000000000018</v>
      </c>
    </row>
    <row r="421" spans="1:12" x14ac:dyDescent="0.3">
      <c r="A421" t="s">
        <v>429</v>
      </c>
      <c r="B421" t="s">
        <v>795</v>
      </c>
      <c r="C421" s="4" t="s">
        <v>1191</v>
      </c>
      <c r="D421" t="s">
        <v>1291</v>
      </c>
      <c r="E421" t="s">
        <v>1293</v>
      </c>
      <c r="F421" t="s">
        <v>1320</v>
      </c>
      <c r="G421">
        <v>1219.4163333333336</v>
      </c>
      <c r="H421">
        <v>123.96</v>
      </c>
      <c r="I421">
        <v>-18.59</v>
      </c>
      <c r="J421">
        <v>112.12</v>
      </c>
      <c r="K421">
        <v>142.54999999999998</v>
      </c>
      <c r="L421">
        <v>1107.2963333333337</v>
      </c>
    </row>
    <row r="422" spans="1:12" x14ac:dyDescent="0.3">
      <c r="A422" t="s">
        <v>430</v>
      </c>
      <c r="B422" t="s">
        <v>815</v>
      </c>
      <c r="C422" s="4" t="s">
        <v>1125</v>
      </c>
      <c r="D422" t="s">
        <v>1291</v>
      </c>
      <c r="E422" t="s">
        <v>1297</v>
      </c>
      <c r="F422" t="s">
        <v>1309</v>
      </c>
      <c r="G422">
        <v>178.41</v>
      </c>
      <c r="H422">
        <v>248.61</v>
      </c>
      <c r="I422">
        <v>-37.29</v>
      </c>
      <c r="J422">
        <v>175.13</v>
      </c>
      <c r="K422">
        <v>285.90000000000003</v>
      </c>
      <c r="L422">
        <v>3.2800000000000011</v>
      </c>
    </row>
    <row r="423" spans="1:12" x14ac:dyDescent="0.3">
      <c r="A423" t="s">
        <v>431</v>
      </c>
      <c r="B423" t="s">
        <v>921</v>
      </c>
      <c r="C423" s="4" t="s">
        <v>1076</v>
      </c>
      <c r="D423" t="s">
        <v>1291</v>
      </c>
      <c r="E423" t="s">
        <v>1294</v>
      </c>
      <c r="F423" t="s">
        <v>1301</v>
      </c>
      <c r="G423">
        <v>1143.54</v>
      </c>
      <c r="H423">
        <v>1393.92</v>
      </c>
      <c r="I423">
        <v>-44.182985074626863</v>
      </c>
      <c r="J423">
        <v>1074.51</v>
      </c>
      <c r="K423">
        <v>1438.102985074627</v>
      </c>
      <c r="L423">
        <v>69.029999999999973</v>
      </c>
    </row>
    <row r="424" spans="1:12" x14ac:dyDescent="0.3">
      <c r="A424" t="s">
        <v>432</v>
      </c>
      <c r="B424" t="s">
        <v>803</v>
      </c>
      <c r="C424" s="4" t="s">
        <v>1045</v>
      </c>
      <c r="D424" t="s">
        <v>1291</v>
      </c>
      <c r="E424" t="s">
        <v>1296</v>
      </c>
      <c r="F424" t="s">
        <v>1308</v>
      </c>
      <c r="G424">
        <v>5524.92</v>
      </c>
      <c r="H424">
        <v>6527.76</v>
      </c>
      <c r="I424">
        <v>-979.16</v>
      </c>
      <c r="J424">
        <v>5474.03</v>
      </c>
      <c r="K424">
        <v>7506.92</v>
      </c>
      <c r="L424">
        <v>50.890000000000327</v>
      </c>
    </row>
    <row r="425" spans="1:12" x14ac:dyDescent="0.3">
      <c r="A425" t="s">
        <v>433</v>
      </c>
      <c r="B425" t="s">
        <v>791</v>
      </c>
      <c r="C425" s="4" t="s">
        <v>1063</v>
      </c>
      <c r="D425" t="s">
        <v>1292</v>
      </c>
      <c r="E425" t="s">
        <v>1297</v>
      </c>
      <c r="F425" t="s">
        <v>1331</v>
      </c>
      <c r="G425">
        <v>677.87</v>
      </c>
      <c r="H425">
        <v>803.84</v>
      </c>
      <c r="I425">
        <v>125.97</v>
      </c>
      <c r="J425">
        <v>717.7</v>
      </c>
      <c r="K425">
        <v>677.87</v>
      </c>
      <c r="L425">
        <v>-39.830000000000041</v>
      </c>
    </row>
    <row r="426" spans="1:12" x14ac:dyDescent="0.3">
      <c r="A426" t="s">
        <v>434</v>
      </c>
      <c r="B426" t="s">
        <v>864</v>
      </c>
      <c r="C426" s="4" t="s">
        <v>1087</v>
      </c>
      <c r="D426" t="s">
        <v>1292</v>
      </c>
      <c r="E426" t="s">
        <v>1298</v>
      </c>
      <c r="F426" t="s">
        <v>1306</v>
      </c>
      <c r="G426">
        <v>537.57000000000005</v>
      </c>
      <c r="H426">
        <v>673.18</v>
      </c>
      <c r="I426">
        <v>135.61000000000001</v>
      </c>
      <c r="J426">
        <v>599.32000000000005</v>
      </c>
      <c r="K426">
        <v>537.56999999999994</v>
      </c>
      <c r="L426">
        <v>-61.75</v>
      </c>
    </row>
    <row r="427" spans="1:12" x14ac:dyDescent="0.3">
      <c r="A427" t="s">
        <v>435</v>
      </c>
      <c r="B427" t="s">
        <v>859</v>
      </c>
      <c r="C427" s="4" t="s">
        <v>1192</v>
      </c>
      <c r="D427" t="s">
        <v>1291</v>
      </c>
      <c r="E427" t="s">
        <v>1299</v>
      </c>
      <c r="F427" t="s">
        <v>1311</v>
      </c>
      <c r="G427">
        <v>442</v>
      </c>
      <c r="H427">
        <v>618.27</v>
      </c>
      <c r="I427">
        <v>-92.74</v>
      </c>
      <c r="J427">
        <v>514.22</v>
      </c>
      <c r="K427">
        <v>711.01</v>
      </c>
      <c r="L427">
        <v>-72.220000000000027</v>
      </c>
    </row>
    <row r="428" spans="1:12" x14ac:dyDescent="0.3">
      <c r="A428" t="s">
        <v>436</v>
      </c>
      <c r="B428" t="s">
        <v>922</v>
      </c>
      <c r="C428" s="4" t="s">
        <v>965</v>
      </c>
      <c r="D428" t="s">
        <v>1291</v>
      </c>
      <c r="E428" t="s">
        <v>1295</v>
      </c>
      <c r="F428" t="s">
        <v>1329</v>
      </c>
      <c r="G428">
        <v>1219.4163333333336</v>
      </c>
      <c r="H428">
        <v>116.66</v>
      </c>
      <c r="I428">
        <v>-17.5</v>
      </c>
      <c r="J428">
        <v>111.44</v>
      </c>
      <c r="K428">
        <v>134.16</v>
      </c>
      <c r="L428">
        <v>1107.9763333333335</v>
      </c>
    </row>
    <row r="429" spans="1:12" x14ac:dyDescent="0.3">
      <c r="A429" t="s">
        <v>437</v>
      </c>
      <c r="B429" t="s">
        <v>806</v>
      </c>
      <c r="C429" s="4" t="s">
        <v>1156</v>
      </c>
      <c r="D429" t="s">
        <v>1291</v>
      </c>
      <c r="E429" t="s">
        <v>1295</v>
      </c>
      <c r="F429" t="s">
        <v>1304</v>
      </c>
      <c r="G429">
        <v>1137.6600000000001</v>
      </c>
      <c r="H429">
        <v>1310.44</v>
      </c>
      <c r="I429">
        <v>-196.57</v>
      </c>
      <c r="J429">
        <v>1197.42</v>
      </c>
      <c r="K429">
        <v>1507.01</v>
      </c>
      <c r="L429">
        <v>-59.759999999999991</v>
      </c>
    </row>
    <row r="430" spans="1:12" x14ac:dyDescent="0.3">
      <c r="A430" t="s">
        <v>438</v>
      </c>
      <c r="B430" t="s">
        <v>873</v>
      </c>
      <c r="C430" s="4" t="s">
        <v>1050</v>
      </c>
      <c r="D430" t="s">
        <v>1292</v>
      </c>
      <c r="E430" t="s">
        <v>1297</v>
      </c>
      <c r="F430" t="s">
        <v>1331</v>
      </c>
      <c r="G430">
        <v>158.63</v>
      </c>
      <c r="H430">
        <v>209.45</v>
      </c>
      <c r="I430">
        <v>50.82</v>
      </c>
      <c r="J430">
        <v>182.53</v>
      </c>
      <c r="K430">
        <v>158.63</v>
      </c>
      <c r="L430">
        <v>-23.900000000000006</v>
      </c>
    </row>
    <row r="431" spans="1:12" x14ac:dyDescent="0.3">
      <c r="A431" t="s">
        <v>439</v>
      </c>
      <c r="B431" t="s">
        <v>870</v>
      </c>
      <c r="C431" s="4" t="s">
        <v>1021</v>
      </c>
      <c r="D431" t="s">
        <v>1291</v>
      </c>
      <c r="E431" t="s">
        <v>1295</v>
      </c>
      <c r="F431" t="s">
        <v>1329</v>
      </c>
      <c r="G431">
        <v>1034.51</v>
      </c>
      <c r="H431">
        <v>1406.03</v>
      </c>
      <c r="I431">
        <v>-210.9</v>
      </c>
      <c r="J431">
        <v>1007.89</v>
      </c>
      <c r="K431">
        <v>1616.93</v>
      </c>
      <c r="L431">
        <v>26.620000000000005</v>
      </c>
    </row>
    <row r="432" spans="1:12" x14ac:dyDescent="0.3">
      <c r="A432" t="s">
        <v>440</v>
      </c>
      <c r="B432" t="s">
        <v>887</v>
      </c>
      <c r="C432" s="4" t="s">
        <v>1134</v>
      </c>
      <c r="D432" t="s">
        <v>1291</v>
      </c>
      <c r="E432" t="s">
        <v>1294</v>
      </c>
      <c r="F432" t="s">
        <v>1333</v>
      </c>
      <c r="G432">
        <v>498.13</v>
      </c>
      <c r="H432">
        <v>641.22</v>
      </c>
      <c r="I432">
        <v>-96.18</v>
      </c>
      <c r="J432">
        <v>562.47</v>
      </c>
      <c r="K432">
        <v>737.40000000000009</v>
      </c>
      <c r="L432">
        <v>-64.340000000000032</v>
      </c>
    </row>
    <row r="433" spans="1:12" x14ac:dyDescent="0.3">
      <c r="A433" t="s">
        <v>441</v>
      </c>
      <c r="B433" t="s">
        <v>912</v>
      </c>
      <c r="C433" s="4" t="s">
        <v>1193</v>
      </c>
      <c r="D433" t="s">
        <v>1292</v>
      </c>
      <c r="E433" t="s">
        <v>1298</v>
      </c>
      <c r="F433" t="s">
        <v>1306</v>
      </c>
      <c r="G433">
        <v>848.24</v>
      </c>
      <c r="H433">
        <v>1014.08</v>
      </c>
      <c r="I433">
        <v>165.84</v>
      </c>
      <c r="J433">
        <v>920.29</v>
      </c>
      <c r="K433">
        <v>848.24</v>
      </c>
      <c r="L433">
        <v>-72.049999999999955</v>
      </c>
    </row>
    <row r="434" spans="1:12" x14ac:dyDescent="0.3">
      <c r="A434" t="s">
        <v>442</v>
      </c>
      <c r="B434" t="s">
        <v>915</v>
      </c>
      <c r="C434" s="4" t="s">
        <v>1194</v>
      </c>
      <c r="D434" t="s">
        <v>1291</v>
      </c>
      <c r="E434" t="s">
        <v>1297</v>
      </c>
      <c r="F434" t="s">
        <v>1309</v>
      </c>
      <c r="G434">
        <v>1130.3599999999999</v>
      </c>
      <c r="H434">
        <v>1519.78</v>
      </c>
      <c r="I434">
        <v>-227.97</v>
      </c>
      <c r="J434">
        <v>1287.21</v>
      </c>
      <c r="K434">
        <v>1747.75</v>
      </c>
      <c r="L434">
        <v>-156.85000000000014</v>
      </c>
    </row>
    <row r="435" spans="1:12" x14ac:dyDescent="0.3">
      <c r="A435" t="s">
        <v>443</v>
      </c>
      <c r="B435" t="s">
        <v>795</v>
      </c>
      <c r="C435" s="4" t="s">
        <v>1136</v>
      </c>
      <c r="D435" t="s">
        <v>1292</v>
      </c>
      <c r="E435" t="s">
        <v>1297</v>
      </c>
      <c r="F435" t="s">
        <v>1331</v>
      </c>
      <c r="G435">
        <v>944.98</v>
      </c>
      <c r="H435">
        <v>1110.6400000000001</v>
      </c>
      <c r="I435">
        <v>165.66</v>
      </c>
      <c r="J435">
        <v>886.57</v>
      </c>
      <c r="K435">
        <v>944.98000000000013</v>
      </c>
      <c r="L435">
        <v>58.409999999999968</v>
      </c>
    </row>
    <row r="436" spans="1:12" x14ac:dyDescent="0.3">
      <c r="A436" t="s">
        <v>444</v>
      </c>
      <c r="B436" t="s">
        <v>808</v>
      </c>
      <c r="C436" s="4" t="s">
        <v>1195</v>
      </c>
      <c r="D436" t="s">
        <v>1291</v>
      </c>
      <c r="E436" t="s">
        <v>1294</v>
      </c>
      <c r="F436" t="s">
        <v>1333</v>
      </c>
      <c r="G436">
        <v>1072.9100000000001</v>
      </c>
      <c r="H436">
        <v>1426.12</v>
      </c>
      <c r="I436">
        <v>-213.92</v>
      </c>
      <c r="J436">
        <v>1149.5899999999999</v>
      </c>
      <c r="K436">
        <v>1640.04</v>
      </c>
      <c r="L436">
        <v>-76.679999999999836</v>
      </c>
    </row>
    <row r="437" spans="1:12" x14ac:dyDescent="0.3">
      <c r="A437" t="s">
        <v>445</v>
      </c>
      <c r="B437" t="s">
        <v>815</v>
      </c>
      <c r="C437" s="4" t="s">
        <v>1196</v>
      </c>
      <c r="D437" t="s">
        <v>1292</v>
      </c>
      <c r="E437" t="s">
        <v>1296</v>
      </c>
      <c r="F437" t="s">
        <v>1332</v>
      </c>
      <c r="G437">
        <v>8966.81</v>
      </c>
      <c r="H437">
        <v>12523.95</v>
      </c>
      <c r="I437">
        <v>3557.14</v>
      </c>
      <c r="J437">
        <v>10715.86</v>
      </c>
      <c r="K437">
        <v>8966.8100000000013</v>
      </c>
      <c r="L437">
        <v>-1749.0500000000011</v>
      </c>
    </row>
    <row r="438" spans="1:12" x14ac:dyDescent="0.3">
      <c r="A438" t="s">
        <v>446</v>
      </c>
      <c r="B438" t="s">
        <v>814</v>
      </c>
      <c r="C438" s="4" t="s">
        <v>1197</v>
      </c>
      <c r="D438" t="s">
        <v>1292</v>
      </c>
      <c r="E438" t="s">
        <v>1299</v>
      </c>
      <c r="F438" t="s">
        <v>1334</v>
      </c>
      <c r="G438">
        <v>612.19000000000005</v>
      </c>
      <c r="H438">
        <v>748.58</v>
      </c>
      <c r="I438">
        <v>136.38999999999999</v>
      </c>
      <c r="J438">
        <v>693.56</v>
      </c>
      <c r="K438">
        <v>612.19000000000005</v>
      </c>
      <c r="L438">
        <v>-81.369999999999891</v>
      </c>
    </row>
    <row r="439" spans="1:12" x14ac:dyDescent="0.3">
      <c r="A439" t="s">
        <v>447</v>
      </c>
      <c r="B439" t="s">
        <v>826</v>
      </c>
      <c r="C439" s="4" t="s">
        <v>938</v>
      </c>
      <c r="D439" t="s">
        <v>1292</v>
      </c>
      <c r="E439" t="s">
        <v>1293</v>
      </c>
      <c r="F439" t="s">
        <v>1318</v>
      </c>
      <c r="G439">
        <v>126.64</v>
      </c>
      <c r="H439">
        <v>165.29</v>
      </c>
      <c r="I439">
        <v>38.65</v>
      </c>
      <c r="J439">
        <v>142.13999999999999</v>
      </c>
      <c r="K439">
        <v>126.63999999999999</v>
      </c>
      <c r="L439">
        <v>-15.499999999999986</v>
      </c>
    </row>
    <row r="440" spans="1:12" x14ac:dyDescent="0.3">
      <c r="A440" t="s">
        <v>448</v>
      </c>
      <c r="B440" t="s">
        <v>874</v>
      </c>
      <c r="C440" s="4" t="s">
        <v>1198</v>
      </c>
      <c r="D440" t="s">
        <v>1292</v>
      </c>
      <c r="E440" t="s">
        <v>1294</v>
      </c>
      <c r="F440" t="s">
        <v>1333</v>
      </c>
      <c r="G440">
        <v>775.92</v>
      </c>
      <c r="H440">
        <v>977.71</v>
      </c>
      <c r="I440">
        <v>201.79</v>
      </c>
      <c r="J440">
        <v>908.03</v>
      </c>
      <c r="K440">
        <v>775.92000000000007</v>
      </c>
      <c r="L440">
        <v>-132.11000000000001</v>
      </c>
    </row>
    <row r="441" spans="1:12" x14ac:dyDescent="0.3">
      <c r="A441" t="s">
        <v>449</v>
      </c>
      <c r="B441" t="s">
        <v>923</v>
      </c>
      <c r="C441" s="4" t="s">
        <v>1199</v>
      </c>
      <c r="D441" t="s">
        <v>1291</v>
      </c>
      <c r="E441" t="s">
        <v>1293</v>
      </c>
      <c r="F441" t="s">
        <v>1318</v>
      </c>
      <c r="G441">
        <v>160.27000000000001</v>
      </c>
      <c r="H441">
        <v>203.76</v>
      </c>
      <c r="I441">
        <v>-30.56</v>
      </c>
      <c r="J441">
        <v>153.87</v>
      </c>
      <c r="K441">
        <v>234.32</v>
      </c>
      <c r="L441">
        <v>6.4000000000000057</v>
      </c>
    </row>
    <row r="442" spans="1:12" x14ac:dyDescent="0.3">
      <c r="A442" t="s">
        <v>450</v>
      </c>
      <c r="B442" t="s">
        <v>843</v>
      </c>
      <c r="C442" s="4" t="s">
        <v>982</v>
      </c>
      <c r="D442" t="s">
        <v>1291</v>
      </c>
      <c r="E442" t="s">
        <v>1294</v>
      </c>
      <c r="F442" t="s">
        <v>1314</v>
      </c>
      <c r="G442">
        <v>847.82</v>
      </c>
      <c r="H442">
        <v>1126.07</v>
      </c>
      <c r="I442">
        <v>-168.91</v>
      </c>
      <c r="J442">
        <v>990.34</v>
      </c>
      <c r="K442">
        <v>1294.98</v>
      </c>
      <c r="L442">
        <v>-142.51999999999998</v>
      </c>
    </row>
    <row r="443" spans="1:12" x14ac:dyDescent="0.3">
      <c r="A443" t="s">
        <v>451</v>
      </c>
      <c r="B443" t="s">
        <v>816</v>
      </c>
      <c r="C443" s="4" t="s">
        <v>1200</v>
      </c>
      <c r="D443" t="s">
        <v>1292</v>
      </c>
      <c r="E443" t="s">
        <v>1297</v>
      </c>
      <c r="F443" t="s">
        <v>1319</v>
      </c>
      <c r="G443">
        <v>922.69</v>
      </c>
      <c r="H443">
        <v>1209.8900000000001</v>
      </c>
      <c r="I443">
        <v>287.2</v>
      </c>
      <c r="J443">
        <v>1061.79</v>
      </c>
      <c r="K443">
        <v>922.69</v>
      </c>
      <c r="L443">
        <v>-139.09999999999991</v>
      </c>
    </row>
    <row r="444" spans="1:12" x14ac:dyDescent="0.3">
      <c r="A444" t="s">
        <v>452</v>
      </c>
      <c r="B444" t="s">
        <v>847</v>
      </c>
      <c r="C444" s="4" t="s">
        <v>1201</v>
      </c>
      <c r="D444" t="s">
        <v>1292</v>
      </c>
      <c r="E444" t="s">
        <v>1297</v>
      </c>
      <c r="F444" t="s">
        <v>1319</v>
      </c>
      <c r="G444">
        <v>1058.1099999999999</v>
      </c>
      <c r="H444">
        <v>1243.46</v>
      </c>
      <c r="I444">
        <v>185.35</v>
      </c>
      <c r="J444">
        <v>1082.78</v>
      </c>
      <c r="K444">
        <v>1058.1100000000001</v>
      </c>
      <c r="L444">
        <v>-24.670000000000073</v>
      </c>
    </row>
    <row r="445" spans="1:12" x14ac:dyDescent="0.3">
      <c r="A445" t="s">
        <v>453</v>
      </c>
      <c r="B445" t="s">
        <v>862</v>
      </c>
      <c r="C445" s="4" t="s">
        <v>1080</v>
      </c>
      <c r="D445" t="s">
        <v>1292</v>
      </c>
      <c r="E445" t="s">
        <v>1293</v>
      </c>
      <c r="F445" t="s">
        <v>1300</v>
      </c>
      <c r="G445">
        <v>1002.92</v>
      </c>
      <c r="H445">
        <v>1202.2</v>
      </c>
      <c r="I445">
        <v>-44.182985074626863</v>
      </c>
      <c r="J445">
        <v>1190.4100000000001</v>
      </c>
      <c r="K445">
        <v>1246.382985074627</v>
      </c>
      <c r="L445">
        <v>-187.49000000000012</v>
      </c>
    </row>
    <row r="446" spans="1:12" x14ac:dyDescent="0.3">
      <c r="A446" t="s">
        <v>454</v>
      </c>
      <c r="B446" t="s">
        <v>834</v>
      </c>
      <c r="C446" s="4" t="s">
        <v>1202</v>
      </c>
      <c r="D446" t="s">
        <v>1292</v>
      </c>
      <c r="E446" t="s">
        <v>1299</v>
      </c>
      <c r="F446" t="s">
        <v>1312</v>
      </c>
      <c r="G446">
        <v>909.51</v>
      </c>
      <c r="H446">
        <v>1068.23</v>
      </c>
      <c r="I446">
        <v>158.72</v>
      </c>
      <c r="J446">
        <v>1005.54</v>
      </c>
      <c r="K446">
        <v>909.51</v>
      </c>
      <c r="L446">
        <v>-96.029999999999973</v>
      </c>
    </row>
    <row r="447" spans="1:12" x14ac:dyDescent="0.3">
      <c r="A447" t="s">
        <v>455</v>
      </c>
      <c r="B447" t="s">
        <v>886</v>
      </c>
      <c r="C447" s="4" t="s">
        <v>1053</v>
      </c>
      <c r="D447" t="s">
        <v>1291</v>
      </c>
      <c r="E447" t="s">
        <v>1298</v>
      </c>
      <c r="F447" t="s">
        <v>1317</v>
      </c>
      <c r="G447">
        <v>639.46</v>
      </c>
      <c r="H447">
        <v>801</v>
      </c>
      <c r="I447">
        <v>-120.15</v>
      </c>
      <c r="J447">
        <v>696.72</v>
      </c>
      <c r="K447">
        <v>921.15</v>
      </c>
      <c r="L447">
        <v>-57.259999999999991</v>
      </c>
    </row>
    <row r="448" spans="1:12" x14ac:dyDescent="0.3">
      <c r="A448" t="s">
        <v>456</v>
      </c>
      <c r="B448" t="s">
        <v>892</v>
      </c>
      <c r="C448" s="4" t="s">
        <v>1203</v>
      </c>
      <c r="D448" t="s">
        <v>1291</v>
      </c>
      <c r="E448" t="s">
        <v>1294</v>
      </c>
      <c r="F448" t="s">
        <v>1314</v>
      </c>
      <c r="G448">
        <v>412.41</v>
      </c>
      <c r="H448">
        <v>577.21</v>
      </c>
      <c r="I448">
        <v>-86.58</v>
      </c>
      <c r="J448">
        <v>373.18</v>
      </c>
      <c r="K448">
        <v>663.79000000000008</v>
      </c>
      <c r="L448">
        <v>39.230000000000018</v>
      </c>
    </row>
    <row r="449" spans="1:12" x14ac:dyDescent="0.3">
      <c r="A449" t="s">
        <v>457</v>
      </c>
      <c r="B449" t="s">
        <v>809</v>
      </c>
      <c r="C449" s="4" t="s">
        <v>1000</v>
      </c>
      <c r="D449" t="s">
        <v>1291</v>
      </c>
      <c r="E449" t="s">
        <v>1298</v>
      </c>
      <c r="F449" t="s">
        <v>1310</v>
      </c>
      <c r="G449">
        <v>425.12</v>
      </c>
      <c r="H449">
        <v>489.97</v>
      </c>
      <c r="I449">
        <v>-73.5</v>
      </c>
      <c r="J449">
        <v>402.71</v>
      </c>
      <c r="K449">
        <v>563.47</v>
      </c>
      <c r="L449">
        <v>22.410000000000025</v>
      </c>
    </row>
    <row r="450" spans="1:12" x14ac:dyDescent="0.3">
      <c r="A450" t="s">
        <v>458</v>
      </c>
      <c r="B450" t="s">
        <v>874</v>
      </c>
      <c r="C450" s="4" t="s">
        <v>1204</v>
      </c>
      <c r="D450" t="s">
        <v>1292</v>
      </c>
      <c r="E450" t="s">
        <v>1296</v>
      </c>
      <c r="F450" t="s">
        <v>1330</v>
      </c>
      <c r="G450">
        <v>7104.92</v>
      </c>
      <c r="H450">
        <v>9019.99</v>
      </c>
      <c r="I450">
        <v>1915.07</v>
      </c>
      <c r="J450">
        <v>7681.08</v>
      </c>
      <c r="K450">
        <v>7104.92</v>
      </c>
      <c r="L450">
        <v>-576.15999999999985</v>
      </c>
    </row>
    <row r="451" spans="1:12" x14ac:dyDescent="0.3">
      <c r="A451" t="s">
        <v>459</v>
      </c>
      <c r="B451" t="s">
        <v>826</v>
      </c>
      <c r="C451" s="4" t="s">
        <v>983</v>
      </c>
      <c r="D451" t="s">
        <v>1291</v>
      </c>
      <c r="E451" t="s">
        <v>1296</v>
      </c>
      <c r="F451" t="s">
        <v>1330</v>
      </c>
      <c r="G451">
        <v>6441.9</v>
      </c>
      <c r="H451">
        <v>8383.2900000000009</v>
      </c>
      <c r="I451">
        <v>-1257.49</v>
      </c>
      <c r="J451">
        <v>6303.76</v>
      </c>
      <c r="K451">
        <v>9640.7800000000007</v>
      </c>
      <c r="L451">
        <v>138.13999999999942</v>
      </c>
    </row>
    <row r="452" spans="1:12" x14ac:dyDescent="0.3">
      <c r="A452" t="s">
        <v>460</v>
      </c>
      <c r="B452" t="s">
        <v>915</v>
      </c>
      <c r="C452" s="4" t="s">
        <v>1004</v>
      </c>
      <c r="D452" t="s">
        <v>1291</v>
      </c>
      <c r="E452" t="s">
        <v>1297</v>
      </c>
      <c r="F452" t="s">
        <v>1319</v>
      </c>
      <c r="G452">
        <v>298.26</v>
      </c>
      <c r="H452">
        <v>366.6</v>
      </c>
      <c r="I452">
        <v>-54.99</v>
      </c>
      <c r="J452">
        <v>283.73</v>
      </c>
      <c r="K452">
        <v>421.59000000000003</v>
      </c>
      <c r="L452">
        <v>14.529999999999973</v>
      </c>
    </row>
    <row r="453" spans="1:12" x14ac:dyDescent="0.3">
      <c r="A453" t="s">
        <v>461</v>
      </c>
      <c r="B453" t="s">
        <v>876</v>
      </c>
      <c r="C453" s="4" t="s">
        <v>1143</v>
      </c>
      <c r="D453" t="s">
        <v>1292</v>
      </c>
      <c r="E453" t="s">
        <v>1294</v>
      </c>
      <c r="F453" t="s">
        <v>1314</v>
      </c>
      <c r="G453">
        <v>827.26</v>
      </c>
      <c r="H453">
        <v>1112.1500000000001</v>
      </c>
      <c r="I453">
        <v>284.89</v>
      </c>
      <c r="J453">
        <v>885.37</v>
      </c>
      <c r="K453">
        <v>827.2600000000001</v>
      </c>
      <c r="L453">
        <v>-58.110000000000014</v>
      </c>
    </row>
    <row r="454" spans="1:12" x14ac:dyDescent="0.3">
      <c r="A454" t="s">
        <v>462</v>
      </c>
      <c r="B454" t="s">
        <v>859</v>
      </c>
      <c r="C454" s="4" t="s">
        <v>1140</v>
      </c>
      <c r="D454" t="s">
        <v>1292</v>
      </c>
      <c r="E454" t="s">
        <v>1299</v>
      </c>
      <c r="F454" t="s">
        <v>1311</v>
      </c>
      <c r="G454">
        <v>45.72</v>
      </c>
      <c r="H454">
        <v>60</v>
      </c>
      <c r="I454">
        <v>14.28</v>
      </c>
      <c r="J454">
        <v>54.07</v>
      </c>
      <c r="K454">
        <v>45.72</v>
      </c>
      <c r="L454">
        <v>-8.3500000000000014</v>
      </c>
    </row>
    <row r="455" spans="1:12" x14ac:dyDescent="0.3">
      <c r="A455" t="s">
        <v>463</v>
      </c>
      <c r="B455" t="s">
        <v>800</v>
      </c>
      <c r="C455" s="4" t="s">
        <v>1013</v>
      </c>
      <c r="D455" t="s">
        <v>1292</v>
      </c>
      <c r="E455" t="s">
        <v>1297</v>
      </c>
      <c r="F455" t="s">
        <v>1331</v>
      </c>
      <c r="G455">
        <v>556.26</v>
      </c>
      <c r="H455">
        <v>687.32</v>
      </c>
      <c r="I455">
        <v>131.06</v>
      </c>
      <c r="J455">
        <v>524.21</v>
      </c>
      <c r="K455">
        <v>556.26</v>
      </c>
      <c r="L455">
        <v>32.049999999999955</v>
      </c>
    </row>
    <row r="456" spans="1:12" x14ac:dyDescent="0.3">
      <c r="A456" t="s">
        <v>464</v>
      </c>
      <c r="B456" t="s">
        <v>917</v>
      </c>
      <c r="C456" s="4" t="s">
        <v>1125</v>
      </c>
      <c r="D456" t="s">
        <v>1291</v>
      </c>
      <c r="E456" t="s">
        <v>1296</v>
      </c>
      <c r="F456" t="s">
        <v>1332</v>
      </c>
      <c r="G456">
        <v>5682.54</v>
      </c>
      <c r="H456">
        <v>6778.73</v>
      </c>
      <c r="I456">
        <v>-1016.81</v>
      </c>
      <c r="J456">
        <v>5154.87</v>
      </c>
      <c r="K456">
        <v>7795.5399999999991</v>
      </c>
      <c r="L456">
        <v>527.67000000000007</v>
      </c>
    </row>
    <row r="457" spans="1:12" x14ac:dyDescent="0.3">
      <c r="A457" t="s">
        <v>465</v>
      </c>
      <c r="B457" t="s">
        <v>918</v>
      </c>
      <c r="C457" s="4" t="s">
        <v>951</v>
      </c>
      <c r="D457" t="s">
        <v>1292</v>
      </c>
      <c r="E457" t="s">
        <v>1294</v>
      </c>
      <c r="F457" t="s">
        <v>1301</v>
      </c>
      <c r="G457">
        <v>50.39</v>
      </c>
      <c r="H457">
        <v>62.46</v>
      </c>
      <c r="I457">
        <v>12.07</v>
      </c>
      <c r="J457">
        <v>47.38</v>
      </c>
      <c r="K457">
        <v>50.39</v>
      </c>
      <c r="L457">
        <v>3.009999999999998</v>
      </c>
    </row>
    <row r="458" spans="1:12" x14ac:dyDescent="0.3">
      <c r="A458" t="s">
        <v>466</v>
      </c>
      <c r="B458" t="s">
        <v>910</v>
      </c>
      <c r="C458" s="4" t="s">
        <v>1205</v>
      </c>
      <c r="D458" t="s">
        <v>1292</v>
      </c>
      <c r="E458" t="s">
        <v>1293</v>
      </c>
      <c r="F458" t="s">
        <v>1320</v>
      </c>
      <c r="G458">
        <v>976.62</v>
      </c>
      <c r="H458">
        <v>1344.54</v>
      </c>
      <c r="I458">
        <v>367.92</v>
      </c>
      <c r="J458">
        <v>1059.24</v>
      </c>
      <c r="K458">
        <v>976.61999999999989</v>
      </c>
      <c r="L458">
        <v>-82.62</v>
      </c>
    </row>
    <row r="459" spans="1:12" x14ac:dyDescent="0.3">
      <c r="A459" t="s">
        <v>467</v>
      </c>
      <c r="B459" t="s">
        <v>895</v>
      </c>
      <c r="C459" s="4" t="s">
        <v>1206</v>
      </c>
      <c r="D459" t="s">
        <v>1292</v>
      </c>
      <c r="E459" t="s">
        <v>1296</v>
      </c>
      <c r="F459" t="s">
        <v>1332</v>
      </c>
      <c r="G459">
        <v>9013.9699999999993</v>
      </c>
      <c r="H459">
        <v>10413.450000000001</v>
      </c>
      <c r="I459">
        <v>1399.48</v>
      </c>
      <c r="J459">
        <v>9877.5499999999993</v>
      </c>
      <c r="K459">
        <v>9013.9700000000012</v>
      </c>
      <c r="L459">
        <v>-863.57999999999993</v>
      </c>
    </row>
    <row r="460" spans="1:12" x14ac:dyDescent="0.3">
      <c r="A460" t="s">
        <v>468</v>
      </c>
      <c r="B460" t="s">
        <v>842</v>
      </c>
      <c r="C460" s="4" t="s">
        <v>1207</v>
      </c>
      <c r="D460" t="s">
        <v>1291</v>
      </c>
      <c r="E460" t="s">
        <v>1298</v>
      </c>
      <c r="F460" t="s">
        <v>1317</v>
      </c>
      <c r="G460">
        <v>869.67</v>
      </c>
      <c r="H460">
        <v>1129.1400000000001</v>
      </c>
      <c r="I460">
        <v>-169.37</v>
      </c>
      <c r="J460">
        <v>918.76</v>
      </c>
      <c r="K460">
        <v>1298.5100000000002</v>
      </c>
      <c r="L460">
        <v>-49.090000000000032</v>
      </c>
    </row>
    <row r="461" spans="1:12" x14ac:dyDescent="0.3">
      <c r="A461" t="s">
        <v>469</v>
      </c>
      <c r="B461" t="s">
        <v>874</v>
      </c>
      <c r="C461" s="4" t="s">
        <v>1208</v>
      </c>
      <c r="D461" t="s">
        <v>1292</v>
      </c>
      <c r="E461" t="s">
        <v>1299</v>
      </c>
      <c r="F461" t="s">
        <v>1311</v>
      </c>
      <c r="G461">
        <v>795.18</v>
      </c>
      <c r="H461">
        <v>982.24</v>
      </c>
      <c r="I461">
        <v>187.06</v>
      </c>
      <c r="J461">
        <v>945.96</v>
      </c>
      <c r="K461">
        <v>795.18000000000006</v>
      </c>
      <c r="L461">
        <v>-150.78000000000009</v>
      </c>
    </row>
    <row r="462" spans="1:12" x14ac:dyDescent="0.3">
      <c r="A462" t="s">
        <v>470</v>
      </c>
      <c r="B462" t="s">
        <v>826</v>
      </c>
      <c r="C462" s="4" t="s">
        <v>1209</v>
      </c>
      <c r="D462" t="s">
        <v>1291</v>
      </c>
      <c r="E462" t="s">
        <v>1296</v>
      </c>
      <c r="F462" t="s">
        <v>1308</v>
      </c>
      <c r="G462">
        <v>8416.2000000000007</v>
      </c>
      <c r="H462">
        <v>10819.32</v>
      </c>
      <c r="I462">
        <v>-1622.9</v>
      </c>
      <c r="J462">
        <v>8046.41</v>
      </c>
      <c r="K462">
        <v>12442.22</v>
      </c>
      <c r="L462">
        <v>369.79000000000087</v>
      </c>
    </row>
    <row r="463" spans="1:12" x14ac:dyDescent="0.3">
      <c r="A463" t="s">
        <v>471</v>
      </c>
      <c r="B463" t="s">
        <v>904</v>
      </c>
      <c r="C463" s="4" t="s">
        <v>981</v>
      </c>
      <c r="D463" t="s">
        <v>1291</v>
      </c>
      <c r="E463" t="s">
        <v>1299</v>
      </c>
      <c r="F463" t="s">
        <v>1334</v>
      </c>
      <c r="G463">
        <v>1143.8699999999999</v>
      </c>
      <c r="H463">
        <v>1557.28</v>
      </c>
      <c r="I463">
        <v>-233.59</v>
      </c>
      <c r="J463">
        <v>1362.67</v>
      </c>
      <c r="K463">
        <v>1790.87</v>
      </c>
      <c r="L463">
        <v>-218.80000000000018</v>
      </c>
    </row>
    <row r="464" spans="1:12" x14ac:dyDescent="0.3">
      <c r="A464" t="s">
        <v>472</v>
      </c>
      <c r="B464" t="s">
        <v>808</v>
      </c>
      <c r="C464" s="4" t="s">
        <v>935</v>
      </c>
      <c r="D464" t="s">
        <v>1292</v>
      </c>
      <c r="E464" t="s">
        <v>1297</v>
      </c>
      <c r="F464" t="s">
        <v>1331</v>
      </c>
      <c r="G464">
        <v>954.99</v>
      </c>
      <c r="H464">
        <v>1179.78</v>
      </c>
      <c r="I464">
        <v>224.79</v>
      </c>
      <c r="J464">
        <v>1077.27</v>
      </c>
      <c r="K464">
        <v>954.99</v>
      </c>
      <c r="L464">
        <v>-122.27999999999997</v>
      </c>
    </row>
    <row r="465" spans="1:12" x14ac:dyDescent="0.3">
      <c r="A465" t="s">
        <v>473</v>
      </c>
      <c r="B465" t="s">
        <v>904</v>
      </c>
      <c r="C465" s="4" t="s">
        <v>1009</v>
      </c>
      <c r="D465" t="s">
        <v>1292</v>
      </c>
      <c r="E465" t="s">
        <v>1295</v>
      </c>
      <c r="F465" t="s">
        <v>1313</v>
      </c>
      <c r="G465">
        <v>1219.4163333333336</v>
      </c>
      <c r="H465">
        <v>132.15</v>
      </c>
      <c r="I465">
        <v>32.15</v>
      </c>
      <c r="J465">
        <v>95.58</v>
      </c>
      <c r="K465">
        <v>100</v>
      </c>
      <c r="L465">
        <v>1123.8363333333336</v>
      </c>
    </row>
    <row r="466" spans="1:12" x14ac:dyDescent="0.3">
      <c r="A466" t="s">
        <v>474</v>
      </c>
      <c r="B466" t="s">
        <v>924</v>
      </c>
      <c r="C466" s="4" t="s">
        <v>1199</v>
      </c>
      <c r="D466" t="s">
        <v>1291</v>
      </c>
      <c r="E466" t="s">
        <v>1294</v>
      </c>
      <c r="F466" t="s">
        <v>1314</v>
      </c>
      <c r="G466">
        <v>742.95</v>
      </c>
      <c r="H466">
        <v>941.87</v>
      </c>
      <c r="I466">
        <v>-141.28</v>
      </c>
      <c r="J466">
        <v>724.45</v>
      </c>
      <c r="K466">
        <v>1083.1500000000001</v>
      </c>
      <c r="L466">
        <v>18.5</v>
      </c>
    </row>
    <row r="467" spans="1:12" x14ac:dyDescent="0.3">
      <c r="A467" t="s">
        <v>475</v>
      </c>
      <c r="B467" t="s">
        <v>913</v>
      </c>
      <c r="C467" s="4" t="s">
        <v>981</v>
      </c>
      <c r="D467" t="s">
        <v>1292</v>
      </c>
      <c r="E467" t="s">
        <v>1297</v>
      </c>
      <c r="F467" t="s">
        <v>1309</v>
      </c>
      <c r="G467">
        <v>1064.1600000000001</v>
      </c>
      <c r="H467">
        <v>1459.28</v>
      </c>
      <c r="I467">
        <v>395.12</v>
      </c>
      <c r="J467">
        <v>1073.5</v>
      </c>
      <c r="K467">
        <v>1064.1599999999999</v>
      </c>
      <c r="L467">
        <v>-9.3399999999999181</v>
      </c>
    </row>
    <row r="468" spans="1:12" x14ac:dyDescent="0.3">
      <c r="A468" t="s">
        <v>476</v>
      </c>
      <c r="B468" t="s">
        <v>847</v>
      </c>
      <c r="C468" s="4" t="s">
        <v>1104</v>
      </c>
      <c r="D468" t="s">
        <v>1291</v>
      </c>
      <c r="E468" t="s">
        <v>1295</v>
      </c>
      <c r="F468" t="s">
        <v>1304</v>
      </c>
      <c r="G468">
        <v>1062.93</v>
      </c>
      <c r="H468">
        <v>1319.45</v>
      </c>
      <c r="I468">
        <v>-197.92</v>
      </c>
      <c r="J468">
        <v>966.3</v>
      </c>
      <c r="K468">
        <v>1517.3700000000001</v>
      </c>
      <c r="L468">
        <v>96.630000000000109</v>
      </c>
    </row>
    <row r="469" spans="1:12" x14ac:dyDescent="0.3">
      <c r="A469" t="s">
        <v>477</v>
      </c>
      <c r="B469" t="s">
        <v>924</v>
      </c>
      <c r="C469" s="4" t="s">
        <v>1210</v>
      </c>
      <c r="D469" t="s">
        <v>1292</v>
      </c>
      <c r="E469" t="s">
        <v>1299</v>
      </c>
      <c r="F469" t="s">
        <v>1311</v>
      </c>
      <c r="G469">
        <v>565.32000000000005</v>
      </c>
      <c r="H469">
        <v>679.2</v>
      </c>
      <c r="I469">
        <v>113.88</v>
      </c>
      <c r="J469">
        <v>535.63</v>
      </c>
      <c r="K469">
        <v>565.32000000000005</v>
      </c>
      <c r="L469">
        <v>29.690000000000055</v>
      </c>
    </row>
    <row r="470" spans="1:12" x14ac:dyDescent="0.3">
      <c r="A470" t="s">
        <v>478</v>
      </c>
      <c r="B470" t="s">
        <v>902</v>
      </c>
      <c r="C470" s="4" t="s">
        <v>1211</v>
      </c>
      <c r="D470" t="s">
        <v>1292</v>
      </c>
      <c r="E470" t="s">
        <v>1298</v>
      </c>
      <c r="F470" t="s">
        <v>1310</v>
      </c>
      <c r="G470">
        <v>181.49</v>
      </c>
      <c r="H470">
        <v>250.22</v>
      </c>
      <c r="I470">
        <v>68.73</v>
      </c>
      <c r="J470">
        <v>188.33</v>
      </c>
      <c r="K470">
        <v>181.49</v>
      </c>
      <c r="L470">
        <v>-6.8400000000000034</v>
      </c>
    </row>
    <row r="471" spans="1:12" x14ac:dyDescent="0.3">
      <c r="A471" t="s">
        <v>479</v>
      </c>
      <c r="B471" t="s">
        <v>912</v>
      </c>
      <c r="C471" s="4" t="s">
        <v>1176</v>
      </c>
      <c r="D471" t="s">
        <v>1291</v>
      </c>
      <c r="E471" t="s">
        <v>1295</v>
      </c>
      <c r="F471" t="s">
        <v>1304</v>
      </c>
      <c r="G471">
        <v>621.22</v>
      </c>
      <c r="H471">
        <v>863.55</v>
      </c>
      <c r="I471">
        <v>-129.53</v>
      </c>
      <c r="J471">
        <v>564.59</v>
      </c>
      <c r="K471">
        <v>993.07999999999993</v>
      </c>
      <c r="L471">
        <v>56.629999999999995</v>
      </c>
    </row>
    <row r="472" spans="1:12" x14ac:dyDescent="0.3">
      <c r="A472" t="s">
        <v>480</v>
      </c>
      <c r="B472" t="s">
        <v>888</v>
      </c>
      <c r="C472" s="4" t="s">
        <v>1016</v>
      </c>
      <c r="D472" t="s">
        <v>1291</v>
      </c>
      <c r="E472" t="s">
        <v>1296</v>
      </c>
      <c r="F472" t="s">
        <v>1330</v>
      </c>
      <c r="G472">
        <v>4744.78</v>
      </c>
      <c r="H472">
        <v>6627.52</v>
      </c>
      <c r="I472">
        <v>-994.13</v>
      </c>
      <c r="J472">
        <v>4783.12</v>
      </c>
      <c r="K472">
        <v>7621.6500000000005</v>
      </c>
      <c r="L472">
        <v>-38.340000000000146</v>
      </c>
    </row>
    <row r="473" spans="1:12" x14ac:dyDescent="0.3">
      <c r="A473" t="s">
        <v>481</v>
      </c>
      <c r="B473" t="s">
        <v>806</v>
      </c>
      <c r="C473" s="4" t="s">
        <v>1128</v>
      </c>
      <c r="D473" t="s">
        <v>1292</v>
      </c>
      <c r="E473" t="s">
        <v>1293</v>
      </c>
      <c r="F473" t="s">
        <v>1318</v>
      </c>
      <c r="G473">
        <v>664.72</v>
      </c>
      <c r="H473">
        <v>869.03</v>
      </c>
      <c r="I473">
        <v>204.31</v>
      </c>
      <c r="J473">
        <v>796.97</v>
      </c>
      <c r="K473">
        <v>664.72</v>
      </c>
      <c r="L473">
        <v>-132.25</v>
      </c>
    </row>
    <row r="474" spans="1:12" x14ac:dyDescent="0.3">
      <c r="A474" t="s">
        <v>482</v>
      </c>
      <c r="B474" t="s">
        <v>878</v>
      </c>
      <c r="C474" s="4" t="s">
        <v>1212</v>
      </c>
      <c r="D474" t="s">
        <v>1292</v>
      </c>
      <c r="E474" t="s">
        <v>1295</v>
      </c>
      <c r="F474" t="s">
        <v>1304</v>
      </c>
      <c r="G474">
        <v>969.1</v>
      </c>
      <c r="H474">
        <v>1228.8599999999999</v>
      </c>
      <c r="I474">
        <v>259.76</v>
      </c>
      <c r="J474">
        <v>1028.9100000000001</v>
      </c>
      <c r="K474">
        <v>969.09999999999991</v>
      </c>
      <c r="L474">
        <v>-59.810000000000059</v>
      </c>
    </row>
    <row r="475" spans="1:12" x14ac:dyDescent="0.3">
      <c r="A475" t="s">
        <v>483</v>
      </c>
      <c r="B475" t="s">
        <v>844</v>
      </c>
      <c r="C475" s="4" t="s">
        <v>991</v>
      </c>
      <c r="D475" t="s">
        <v>1291</v>
      </c>
      <c r="E475" t="s">
        <v>1294</v>
      </c>
      <c r="F475" t="s">
        <v>1333</v>
      </c>
      <c r="G475">
        <v>873</v>
      </c>
      <c r="H475">
        <v>1071.27</v>
      </c>
      <c r="I475">
        <v>-160.69</v>
      </c>
      <c r="J475">
        <v>820.67</v>
      </c>
      <c r="K475">
        <v>1231.96</v>
      </c>
      <c r="L475">
        <v>52.330000000000041</v>
      </c>
    </row>
    <row r="476" spans="1:12" x14ac:dyDescent="0.3">
      <c r="A476" t="s">
        <v>484</v>
      </c>
      <c r="B476" t="s">
        <v>833</v>
      </c>
      <c r="C476" s="4" t="s">
        <v>951</v>
      </c>
      <c r="D476" t="s">
        <v>1291</v>
      </c>
      <c r="E476" t="s">
        <v>1297</v>
      </c>
      <c r="F476" t="s">
        <v>1309</v>
      </c>
      <c r="G476">
        <v>448.35</v>
      </c>
      <c r="H476">
        <v>621.05999999999995</v>
      </c>
      <c r="I476">
        <v>-93.16</v>
      </c>
      <c r="J476">
        <v>533.61</v>
      </c>
      <c r="K476">
        <v>714.21999999999991</v>
      </c>
      <c r="L476">
        <v>-85.259999999999991</v>
      </c>
    </row>
    <row r="477" spans="1:12" x14ac:dyDescent="0.3">
      <c r="A477" t="s">
        <v>485</v>
      </c>
      <c r="B477" t="s">
        <v>900</v>
      </c>
      <c r="C477" s="4" t="s">
        <v>1213</v>
      </c>
      <c r="D477" t="s">
        <v>1292</v>
      </c>
      <c r="E477" t="s">
        <v>1298</v>
      </c>
      <c r="F477" t="s">
        <v>1317</v>
      </c>
      <c r="G477">
        <v>247.44</v>
      </c>
      <c r="H477">
        <v>322.75</v>
      </c>
      <c r="I477">
        <v>75.31</v>
      </c>
      <c r="J477">
        <v>249.67</v>
      </c>
      <c r="K477">
        <v>247.44</v>
      </c>
      <c r="L477">
        <v>-2.2299999999999898</v>
      </c>
    </row>
    <row r="478" spans="1:12" x14ac:dyDescent="0.3">
      <c r="A478" t="s">
        <v>486</v>
      </c>
      <c r="B478" t="s">
        <v>862</v>
      </c>
      <c r="C478" s="4" t="s">
        <v>1164</v>
      </c>
      <c r="D478" t="s">
        <v>1291</v>
      </c>
      <c r="E478" t="s">
        <v>1299</v>
      </c>
      <c r="F478" t="s">
        <v>1311</v>
      </c>
      <c r="G478">
        <v>681.14</v>
      </c>
      <c r="H478">
        <v>830.56</v>
      </c>
      <c r="I478">
        <v>-124.58</v>
      </c>
      <c r="J478">
        <v>673.95</v>
      </c>
      <c r="K478">
        <v>955.14</v>
      </c>
      <c r="L478">
        <v>7.1899999999999409</v>
      </c>
    </row>
    <row r="479" spans="1:12" x14ac:dyDescent="0.3">
      <c r="A479" t="s">
        <v>487</v>
      </c>
      <c r="B479" t="s">
        <v>806</v>
      </c>
      <c r="C479" s="4" t="s">
        <v>987</v>
      </c>
      <c r="D479" t="s">
        <v>1292</v>
      </c>
      <c r="E479" t="s">
        <v>1293</v>
      </c>
      <c r="F479" t="s">
        <v>1318</v>
      </c>
      <c r="G479">
        <v>984.35</v>
      </c>
      <c r="H479">
        <v>1188.74</v>
      </c>
      <c r="I479">
        <v>204.39</v>
      </c>
      <c r="J479">
        <v>918.46</v>
      </c>
      <c r="K479">
        <v>984.35</v>
      </c>
      <c r="L479">
        <v>65.889999999999986</v>
      </c>
    </row>
    <row r="480" spans="1:12" x14ac:dyDescent="0.3">
      <c r="A480" t="s">
        <v>488</v>
      </c>
      <c r="B480" t="s">
        <v>802</v>
      </c>
      <c r="C480" s="4" t="s">
        <v>1214</v>
      </c>
      <c r="D480" t="s">
        <v>1292</v>
      </c>
      <c r="E480" t="s">
        <v>1299</v>
      </c>
      <c r="F480" t="s">
        <v>1311</v>
      </c>
      <c r="G480">
        <v>844.58</v>
      </c>
      <c r="H480">
        <v>1053.6300000000001</v>
      </c>
      <c r="I480">
        <v>209.05</v>
      </c>
      <c r="J480">
        <v>762.76</v>
      </c>
      <c r="K480">
        <v>844.58000000000015</v>
      </c>
      <c r="L480">
        <v>81.82000000000005</v>
      </c>
    </row>
    <row r="481" spans="1:12" x14ac:dyDescent="0.3">
      <c r="A481" t="s">
        <v>489</v>
      </c>
      <c r="B481" t="s">
        <v>925</v>
      </c>
      <c r="C481" s="4" t="s">
        <v>1099</v>
      </c>
      <c r="D481" t="s">
        <v>1292</v>
      </c>
      <c r="E481" t="s">
        <v>1293</v>
      </c>
      <c r="F481" t="s">
        <v>1300</v>
      </c>
      <c r="G481">
        <v>1064.1500000000001</v>
      </c>
      <c r="H481">
        <v>1388</v>
      </c>
      <c r="I481">
        <v>323.85000000000002</v>
      </c>
      <c r="J481">
        <v>1244.21</v>
      </c>
      <c r="K481">
        <v>1064.1500000000001</v>
      </c>
      <c r="L481">
        <v>-180.05999999999995</v>
      </c>
    </row>
    <row r="482" spans="1:12" x14ac:dyDescent="0.3">
      <c r="A482" t="s">
        <v>490</v>
      </c>
      <c r="B482" t="s">
        <v>827</v>
      </c>
      <c r="C482" s="4" t="s">
        <v>1208</v>
      </c>
      <c r="D482" t="s">
        <v>1291</v>
      </c>
      <c r="E482" t="s">
        <v>1299</v>
      </c>
      <c r="F482" t="s">
        <v>1312</v>
      </c>
      <c r="G482">
        <v>290.39</v>
      </c>
      <c r="H482">
        <v>335.24</v>
      </c>
      <c r="I482">
        <v>-50.29</v>
      </c>
      <c r="J482">
        <v>288.64999999999998</v>
      </c>
      <c r="K482">
        <v>385.53000000000003</v>
      </c>
      <c r="L482">
        <v>1.7400000000000091</v>
      </c>
    </row>
    <row r="483" spans="1:12" x14ac:dyDescent="0.3">
      <c r="A483" t="s">
        <v>491</v>
      </c>
      <c r="B483" t="s">
        <v>810</v>
      </c>
      <c r="C483" s="4" t="s">
        <v>1182</v>
      </c>
      <c r="D483" t="s">
        <v>1292</v>
      </c>
      <c r="E483" t="s">
        <v>1296</v>
      </c>
      <c r="F483" t="s">
        <v>1308</v>
      </c>
      <c r="G483">
        <v>5900.42</v>
      </c>
      <c r="H483">
        <v>6850.23</v>
      </c>
      <c r="I483">
        <v>949.81</v>
      </c>
      <c r="J483">
        <v>6289.18</v>
      </c>
      <c r="K483">
        <v>5900.42</v>
      </c>
      <c r="L483">
        <v>-388.76000000000022</v>
      </c>
    </row>
    <row r="484" spans="1:12" x14ac:dyDescent="0.3">
      <c r="A484" t="s">
        <v>492</v>
      </c>
      <c r="B484" t="s">
        <v>894</v>
      </c>
      <c r="C484" s="4" t="s">
        <v>1215</v>
      </c>
      <c r="D484" t="s">
        <v>1291</v>
      </c>
      <c r="E484" t="s">
        <v>1294</v>
      </c>
      <c r="F484" t="s">
        <v>1314</v>
      </c>
      <c r="G484">
        <v>998.68</v>
      </c>
      <c r="H484">
        <v>1197.47</v>
      </c>
      <c r="I484">
        <v>-179.62</v>
      </c>
      <c r="J484">
        <v>1001.07</v>
      </c>
      <c r="K484">
        <v>1377.0900000000001</v>
      </c>
      <c r="L484">
        <v>-2.3900000000001</v>
      </c>
    </row>
    <row r="485" spans="1:12" x14ac:dyDescent="0.3">
      <c r="A485" t="s">
        <v>493</v>
      </c>
      <c r="B485" t="s">
        <v>835</v>
      </c>
      <c r="C485" s="4" t="s">
        <v>1151</v>
      </c>
      <c r="D485" t="s">
        <v>1292</v>
      </c>
      <c r="E485" t="s">
        <v>1294</v>
      </c>
      <c r="F485" t="s">
        <v>1314</v>
      </c>
      <c r="G485">
        <v>124.04</v>
      </c>
      <c r="H485">
        <v>161.29</v>
      </c>
      <c r="I485">
        <v>37.25</v>
      </c>
      <c r="J485">
        <v>129.54</v>
      </c>
      <c r="K485">
        <v>124.03999999999999</v>
      </c>
      <c r="L485">
        <v>-5.4999999999999858</v>
      </c>
    </row>
    <row r="486" spans="1:12" x14ac:dyDescent="0.3">
      <c r="A486" t="s">
        <v>494</v>
      </c>
      <c r="B486" t="s">
        <v>786</v>
      </c>
      <c r="C486" s="4" t="s">
        <v>1216</v>
      </c>
      <c r="D486" t="s">
        <v>1292</v>
      </c>
      <c r="E486" t="s">
        <v>1296</v>
      </c>
      <c r="F486" t="s">
        <v>1308</v>
      </c>
      <c r="G486">
        <v>5720.65</v>
      </c>
      <c r="H486">
        <v>6918.31</v>
      </c>
      <c r="I486">
        <v>1197.6600000000001</v>
      </c>
      <c r="J486">
        <v>5299.4</v>
      </c>
      <c r="K486">
        <v>5720.6500000000005</v>
      </c>
      <c r="L486">
        <v>421.25</v>
      </c>
    </row>
    <row r="487" spans="1:12" x14ac:dyDescent="0.3">
      <c r="A487" t="s">
        <v>495</v>
      </c>
      <c r="B487" t="s">
        <v>916</v>
      </c>
      <c r="C487" s="4" t="s">
        <v>1018</v>
      </c>
      <c r="D487" t="s">
        <v>1292</v>
      </c>
      <c r="E487" t="s">
        <v>1295</v>
      </c>
      <c r="F487" t="s">
        <v>1313</v>
      </c>
      <c r="G487">
        <v>75.209999999999994</v>
      </c>
      <c r="H487">
        <v>101.15</v>
      </c>
      <c r="I487">
        <v>25.94</v>
      </c>
      <c r="J487">
        <v>75.69</v>
      </c>
      <c r="K487">
        <v>75.210000000000008</v>
      </c>
      <c r="L487">
        <v>-0.48000000000000398</v>
      </c>
    </row>
    <row r="488" spans="1:12" x14ac:dyDescent="0.3">
      <c r="A488" t="s">
        <v>496</v>
      </c>
      <c r="B488" t="s">
        <v>926</v>
      </c>
      <c r="C488" s="4" t="s">
        <v>1217</v>
      </c>
      <c r="D488" t="s">
        <v>1291</v>
      </c>
      <c r="E488" t="s">
        <v>1296</v>
      </c>
      <c r="F488" t="s">
        <v>1332</v>
      </c>
      <c r="G488">
        <v>5716.77</v>
      </c>
      <c r="H488">
        <v>6989.73</v>
      </c>
      <c r="I488">
        <v>-1048.46</v>
      </c>
      <c r="J488">
        <v>5512.82</v>
      </c>
      <c r="K488">
        <v>8038.19</v>
      </c>
      <c r="L488">
        <v>203.95000000000073</v>
      </c>
    </row>
    <row r="489" spans="1:12" x14ac:dyDescent="0.3">
      <c r="A489" t="s">
        <v>497</v>
      </c>
      <c r="B489" t="s">
        <v>849</v>
      </c>
      <c r="C489" s="4" t="s">
        <v>1218</v>
      </c>
      <c r="D489" t="s">
        <v>1292</v>
      </c>
      <c r="E489" t="s">
        <v>1298</v>
      </c>
      <c r="F489" t="s">
        <v>1310</v>
      </c>
      <c r="G489">
        <v>597.04</v>
      </c>
      <c r="H489">
        <v>723.62</v>
      </c>
      <c r="I489">
        <v>126.58</v>
      </c>
      <c r="J489">
        <v>600.03</v>
      </c>
      <c r="K489">
        <v>597.04</v>
      </c>
      <c r="L489">
        <v>-2.9900000000000091</v>
      </c>
    </row>
    <row r="490" spans="1:12" x14ac:dyDescent="0.3">
      <c r="A490" t="s">
        <v>498</v>
      </c>
      <c r="B490" t="s">
        <v>915</v>
      </c>
      <c r="C490" s="4" t="s">
        <v>1211</v>
      </c>
      <c r="D490" t="s">
        <v>1291</v>
      </c>
      <c r="E490" t="s">
        <v>1297</v>
      </c>
      <c r="F490" t="s">
        <v>1331</v>
      </c>
      <c r="G490">
        <v>730.24</v>
      </c>
      <c r="H490">
        <v>938.91</v>
      </c>
      <c r="I490">
        <v>-140.84</v>
      </c>
      <c r="J490">
        <v>828.74</v>
      </c>
      <c r="K490">
        <v>1079.75</v>
      </c>
      <c r="L490">
        <v>-98.5</v>
      </c>
    </row>
    <row r="491" spans="1:12" x14ac:dyDescent="0.3">
      <c r="A491" t="s">
        <v>499</v>
      </c>
      <c r="B491" t="s">
        <v>877</v>
      </c>
      <c r="C491" s="4" t="s">
        <v>1219</v>
      </c>
      <c r="D491" t="s">
        <v>1291</v>
      </c>
      <c r="E491" t="s">
        <v>1294</v>
      </c>
      <c r="F491" t="s">
        <v>1314</v>
      </c>
      <c r="G491">
        <v>129.61000000000001</v>
      </c>
      <c r="H491">
        <v>152.13</v>
      </c>
      <c r="I491">
        <v>-22.82</v>
      </c>
      <c r="J491">
        <v>135.72999999999999</v>
      </c>
      <c r="K491">
        <v>174.95</v>
      </c>
      <c r="L491">
        <v>-6.1199999999999761</v>
      </c>
    </row>
    <row r="492" spans="1:12" x14ac:dyDescent="0.3">
      <c r="A492" t="s">
        <v>500</v>
      </c>
      <c r="B492" t="s">
        <v>835</v>
      </c>
      <c r="C492" s="4" t="s">
        <v>1092</v>
      </c>
      <c r="D492" t="s">
        <v>1291</v>
      </c>
      <c r="E492" t="s">
        <v>1299</v>
      </c>
      <c r="F492" t="s">
        <v>1311</v>
      </c>
      <c r="G492">
        <v>546.41</v>
      </c>
      <c r="H492">
        <v>740.43</v>
      </c>
      <c r="I492">
        <v>-111.06</v>
      </c>
      <c r="J492">
        <v>628.49</v>
      </c>
      <c r="K492">
        <v>851.49</v>
      </c>
      <c r="L492">
        <v>-82.080000000000041</v>
      </c>
    </row>
    <row r="493" spans="1:12" x14ac:dyDescent="0.3">
      <c r="A493" t="s">
        <v>501</v>
      </c>
      <c r="B493" t="s">
        <v>858</v>
      </c>
      <c r="C493" s="4" t="s">
        <v>1220</v>
      </c>
      <c r="D493" t="s">
        <v>1292</v>
      </c>
      <c r="E493" t="s">
        <v>1293</v>
      </c>
      <c r="F493" t="s">
        <v>1300</v>
      </c>
      <c r="G493">
        <v>1195.3800000000001</v>
      </c>
      <c r="H493">
        <v>1378.82</v>
      </c>
      <c r="I493">
        <v>183.44</v>
      </c>
      <c r="J493">
        <v>1355.54</v>
      </c>
      <c r="K493">
        <v>1195.3799999999999</v>
      </c>
      <c r="L493">
        <v>-160.15999999999985</v>
      </c>
    </row>
    <row r="494" spans="1:12" x14ac:dyDescent="0.3">
      <c r="A494" t="s">
        <v>502</v>
      </c>
      <c r="B494" t="s">
        <v>850</v>
      </c>
      <c r="C494" s="4" t="s">
        <v>1221</v>
      </c>
      <c r="D494" t="s">
        <v>1292</v>
      </c>
      <c r="E494" t="s">
        <v>1294</v>
      </c>
      <c r="F494" t="s">
        <v>1314</v>
      </c>
      <c r="G494">
        <v>294.19</v>
      </c>
      <c r="H494">
        <v>384.64</v>
      </c>
      <c r="I494">
        <v>90.45</v>
      </c>
      <c r="J494">
        <v>264.98</v>
      </c>
      <c r="K494">
        <v>294.19</v>
      </c>
      <c r="L494">
        <v>29.20999999999998</v>
      </c>
    </row>
    <row r="495" spans="1:12" x14ac:dyDescent="0.3">
      <c r="A495" t="s">
        <v>503</v>
      </c>
      <c r="B495" t="s">
        <v>812</v>
      </c>
      <c r="C495" s="4" t="s">
        <v>1030</v>
      </c>
      <c r="D495" t="s">
        <v>1291</v>
      </c>
      <c r="E495" t="s">
        <v>1298</v>
      </c>
      <c r="F495" t="s">
        <v>1317</v>
      </c>
      <c r="G495">
        <v>564.33000000000004</v>
      </c>
      <c r="H495">
        <v>761.74</v>
      </c>
      <c r="I495">
        <v>-114.26</v>
      </c>
      <c r="J495">
        <v>522.87</v>
      </c>
      <c r="K495">
        <v>876</v>
      </c>
      <c r="L495">
        <v>41.460000000000036</v>
      </c>
    </row>
    <row r="496" spans="1:12" x14ac:dyDescent="0.3">
      <c r="A496" t="s">
        <v>504</v>
      </c>
      <c r="B496" t="s">
        <v>927</v>
      </c>
      <c r="C496" s="4" t="s">
        <v>1141</v>
      </c>
      <c r="D496" t="s">
        <v>1291</v>
      </c>
      <c r="E496" t="s">
        <v>1293</v>
      </c>
      <c r="F496" t="s">
        <v>1320</v>
      </c>
      <c r="G496">
        <v>1149.54</v>
      </c>
      <c r="H496">
        <v>1345.94</v>
      </c>
      <c r="I496">
        <v>-201.89</v>
      </c>
      <c r="J496">
        <v>1220.79</v>
      </c>
      <c r="K496">
        <v>1547.83</v>
      </c>
      <c r="L496">
        <v>-71.25</v>
      </c>
    </row>
    <row r="497" spans="1:12" x14ac:dyDescent="0.3">
      <c r="A497" t="s">
        <v>505</v>
      </c>
      <c r="B497" t="s">
        <v>803</v>
      </c>
      <c r="C497" s="4" t="s">
        <v>1222</v>
      </c>
      <c r="D497" t="s">
        <v>1291</v>
      </c>
      <c r="E497" t="s">
        <v>1299</v>
      </c>
      <c r="F497" t="s">
        <v>1312</v>
      </c>
      <c r="G497">
        <v>509.19</v>
      </c>
      <c r="H497">
        <v>635.84</v>
      </c>
      <c r="I497">
        <v>-95.38</v>
      </c>
      <c r="J497">
        <v>474.28</v>
      </c>
      <c r="K497">
        <v>731.22</v>
      </c>
      <c r="L497">
        <v>34.910000000000025</v>
      </c>
    </row>
    <row r="498" spans="1:12" x14ac:dyDescent="0.3">
      <c r="A498" t="s">
        <v>506</v>
      </c>
      <c r="B498" t="s">
        <v>823</v>
      </c>
      <c r="C498" s="4" t="s">
        <v>1088</v>
      </c>
      <c r="D498" t="s">
        <v>1291</v>
      </c>
      <c r="E498" t="s">
        <v>1298</v>
      </c>
      <c r="F498" t="s">
        <v>1310</v>
      </c>
      <c r="G498">
        <v>614.21</v>
      </c>
      <c r="H498">
        <v>737.72</v>
      </c>
      <c r="I498">
        <v>-110.66</v>
      </c>
      <c r="J498">
        <v>588.4</v>
      </c>
      <c r="K498">
        <v>848.38</v>
      </c>
      <c r="L498">
        <v>25.810000000000059</v>
      </c>
    </row>
    <row r="499" spans="1:12" x14ac:dyDescent="0.3">
      <c r="A499" t="s">
        <v>507</v>
      </c>
      <c r="B499" t="s">
        <v>899</v>
      </c>
      <c r="C499" s="4" t="s">
        <v>1223</v>
      </c>
      <c r="D499" t="s">
        <v>1292</v>
      </c>
      <c r="E499" t="s">
        <v>1294</v>
      </c>
      <c r="F499" t="s">
        <v>1314</v>
      </c>
      <c r="G499">
        <v>723.05</v>
      </c>
      <c r="H499">
        <v>907.67</v>
      </c>
      <c r="I499">
        <v>184.62</v>
      </c>
      <c r="J499">
        <v>790.08</v>
      </c>
      <c r="K499">
        <v>723.05</v>
      </c>
      <c r="L499">
        <v>-67.030000000000086</v>
      </c>
    </row>
    <row r="500" spans="1:12" x14ac:dyDescent="0.3">
      <c r="A500" t="s">
        <v>508</v>
      </c>
      <c r="B500" t="s">
        <v>927</v>
      </c>
      <c r="C500" s="4" t="s">
        <v>1061</v>
      </c>
      <c r="D500" t="s">
        <v>1292</v>
      </c>
      <c r="E500" t="s">
        <v>1296</v>
      </c>
      <c r="F500" t="s">
        <v>1308</v>
      </c>
      <c r="G500">
        <v>1219.4163333333336</v>
      </c>
      <c r="H500">
        <v>118.65</v>
      </c>
      <c r="I500">
        <v>18.649999999999999</v>
      </c>
      <c r="J500">
        <v>103.55</v>
      </c>
      <c r="K500">
        <v>100</v>
      </c>
      <c r="L500">
        <v>1115.8663333333336</v>
      </c>
    </row>
    <row r="501" spans="1:12" x14ac:dyDescent="0.3">
      <c r="A501" t="s">
        <v>509</v>
      </c>
      <c r="B501" t="s">
        <v>793</v>
      </c>
      <c r="C501" s="4" t="s">
        <v>1224</v>
      </c>
      <c r="D501" t="s">
        <v>1292</v>
      </c>
      <c r="E501" t="s">
        <v>1297</v>
      </c>
      <c r="F501" t="s">
        <v>1319</v>
      </c>
      <c r="G501">
        <v>1079.6300000000001</v>
      </c>
      <c r="H501">
        <v>1503.2</v>
      </c>
      <c r="I501">
        <v>423.57</v>
      </c>
      <c r="J501">
        <v>1294.8699999999999</v>
      </c>
      <c r="K501">
        <v>1079.6300000000001</v>
      </c>
      <c r="L501">
        <v>-215.23999999999978</v>
      </c>
    </row>
    <row r="502" spans="1:12" x14ac:dyDescent="0.3">
      <c r="A502" t="s">
        <v>510</v>
      </c>
      <c r="B502" t="s">
        <v>896</v>
      </c>
      <c r="C502" s="4" t="s">
        <v>1208</v>
      </c>
      <c r="D502" t="s">
        <v>1292</v>
      </c>
      <c r="E502" t="s">
        <v>1293</v>
      </c>
      <c r="F502" t="s">
        <v>1300</v>
      </c>
      <c r="G502">
        <v>890.07</v>
      </c>
      <c r="H502">
        <v>1052.53</v>
      </c>
      <c r="I502">
        <v>162.46</v>
      </c>
      <c r="J502">
        <v>841</v>
      </c>
      <c r="K502">
        <v>890.06999999999994</v>
      </c>
      <c r="L502">
        <v>49.07000000000005</v>
      </c>
    </row>
    <row r="503" spans="1:12" x14ac:dyDescent="0.3">
      <c r="A503" t="s">
        <v>511</v>
      </c>
      <c r="B503" t="s">
        <v>831</v>
      </c>
      <c r="C503" s="4" t="s">
        <v>1039</v>
      </c>
      <c r="D503" t="s">
        <v>1292</v>
      </c>
      <c r="E503" t="s">
        <v>1294</v>
      </c>
      <c r="F503" t="s">
        <v>1314</v>
      </c>
      <c r="G503">
        <v>681.43</v>
      </c>
      <c r="H503">
        <v>881.82</v>
      </c>
      <c r="I503">
        <v>200.39</v>
      </c>
      <c r="J503">
        <v>636.28</v>
      </c>
      <c r="K503">
        <v>681.43000000000006</v>
      </c>
      <c r="L503">
        <v>45.149999999999977</v>
      </c>
    </row>
    <row r="504" spans="1:12" x14ac:dyDescent="0.3">
      <c r="A504" t="s">
        <v>512</v>
      </c>
      <c r="B504" t="s">
        <v>856</v>
      </c>
      <c r="C504" s="4" t="s">
        <v>1123</v>
      </c>
      <c r="D504" t="s">
        <v>1291</v>
      </c>
      <c r="E504" t="s">
        <v>1296</v>
      </c>
      <c r="F504" t="s">
        <v>1332</v>
      </c>
      <c r="G504">
        <v>5368.76</v>
      </c>
      <c r="H504">
        <v>7439.48</v>
      </c>
      <c r="I504">
        <v>-1115.92</v>
      </c>
      <c r="J504">
        <v>5673.26</v>
      </c>
      <c r="K504">
        <v>8555.4</v>
      </c>
      <c r="L504">
        <v>-304.5</v>
      </c>
    </row>
    <row r="505" spans="1:12" x14ac:dyDescent="0.3">
      <c r="A505" t="s">
        <v>513</v>
      </c>
      <c r="B505" t="s">
        <v>925</v>
      </c>
      <c r="C505" s="4" t="s">
        <v>1205</v>
      </c>
      <c r="D505" t="s">
        <v>1291</v>
      </c>
      <c r="E505" t="s">
        <v>1294</v>
      </c>
      <c r="F505" t="s">
        <v>1333</v>
      </c>
      <c r="G505">
        <v>1079.6600000000001</v>
      </c>
      <c r="H505">
        <v>1455.47</v>
      </c>
      <c r="I505">
        <v>-218.32</v>
      </c>
      <c r="J505">
        <v>1077.01</v>
      </c>
      <c r="K505">
        <v>1673.79</v>
      </c>
      <c r="L505">
        <v>2.6500000000000909</v>
      </c>
    </row>
    <row r="506" spans="1:12" x14ac:dyDescent="0.3">
      <c r="A506" t="s">
        <v>514</v>
      </c>
      <c r="B506" t="s">
        <v>828</v>
      </c>
      <c r="C506" s="4" t="s">
        <v>1225</v>
      </c>
      <c r="D506" t="s">
        <v>1291</v>
      </c>
      <c r="E506" t="s">
        <v>1293</v>
      </c>
      <c r="F506" t="s">
        <v>1320</v>
      </c>
      <c r="G506">
        <v>114.1</v>
      </c>
      <c r="H506">
        <v>132.02000000000001</v>
      </c>
      <c r="I506">
        <v>-19.8</v>
      </c>
      <c r="J506">
        <v>118.43</v>
      </c>
      <c r="K506">
        <v>151.82000000000002</v>
      </c>
      <c r="L506">
        <v>-4.3300000000000125</v>
      </c>
    </row>
    <row r="507" spans="1:12" x14ac:dyDescent="0.3">
      <c r="A507" t="s">
        <v>515</v>
      </c>
      <c r="B507" t="s">
        <v>877</v>
      </c>
      <c r="C507" s="4" t="s">
        <v>1226</v>
      </c>
      <c r="D507" t="s">
        <v>1292</v>
      </c>
      <c r="E507" t="s">
        <v>1295</v>
      </c>
      <c r="F507" t="s">
        <v>1313</v>
      </c>
      <c r="G507">
        <v>791.33</v>
      </c>
      <c r="H507">
        <v>938.49</v>
      </c>
      <c r="I507">
        <v>147.16</v>
      </c>
      <c r="J507">
        <v>763.43</v>
      </c>
      <c r="K507">
        <v>791.33</v>
      </c>
      <c r="L507">
        <v>27.900000000000091</v>
      </c>
    </row>
    <row r="508" spans="1:12" x14ac:dyDescent="0.3">
      <c r="A508" t="s">
        <v>516</v>
      </c>
      <c r="B508" t="s">
        <v>910</v>
      </c>
      <c r="C508" s="4" t="s">
        <v>1227</v>
      </c>
      <c r="D508" t="s">
        <v>1292</v>
      </c>
      <c r="E508" t="s">
        <v>1295</v>
      </c>
      <c r="F508" t="s">
        <v>1313</v>
      </c>
      <c r="G508">
        <v>932.41</v>
      </c>
      <c r="H508">
        <v>1174.3599999999999</v>
      </c>
      <c r="I508">
        <v>241.95</v>
      </c>
      <c r="J508">
        <v>1038.5999999999999</v>
      </c>
      <c r="K508">
        <v>932.40999999999985</v>
      </c>
      <c r="L508">
        <v>-106.18999999999994</v>
      </c>
    </row>
    <row r="509" spans="1:12" x14ac:dyDescent="0.3">
      <c r="A509" t="s">
        <v>517</v>
      </c>
      <c r="B509" t="s">
        <v>789</v>
      </c>
      <c r="C509" s="4" t="s">
        <v>1228</v>
      </c>
      <c r="D509" t="s">
        <v>1292</v>
      </c>
      <c r="E509" t="s">
        <v>1295</v>
      </c>
      <c r="F509" t="s">
        <v>1329</v>
      </c>
      <c r="G509">
        <v>57.19</v>
      </c>
      <c r="H509">
        <v>67.37</v>
      </c>
      <c r="I509">
        <v>10.18</v>
      </c>
      <c r="J509">
        <v>64.48</v>
      </c>
      <c r="K509">
        <v>57.190000000000005</v>
      </c>
      <c r="L509">
        <v>-7.2900000000000063</v>
      </c>
    </row>
    <row r="510" spans="1:12" x14ac:dyDescent="0.3">
      <c r="A510" t="s">
        <v>518</v>
      </c>
      <c r="B510" t="s">
        <v>846</v>
      </c>
      <c r="C510" s="4" t="s">
        <v>953</v>
      </c>
      <c r="D510" t="s">
        <v>1291</v>
      </c>
      <c r="E510" t="s">
        <v>1293</v>
      </c>
      <c r="F510" t="s">
        <v>1300</v>
      </c>
      <c r="G510">
        <v>905.43</v>
      </c>
      <c r="H510">
        <v>1091.5999999999999</v>
      </c>
      <c r="I510">
        <v>-163.74</v>
      </c>
      <c r="J510">
        <v>992.02</v>
      </c>
      <c r="K510">
        <v>1255.3399999999999</v>
      </c>
      <c r="L510">
        <v>-86.590000000000032</v>
      </c>
    </row>
    <row r="511" spans="1:12" x14ac:dyDescent="0.3">
      <c r="A511" t="s">
        <v>519</v>
      </c>
      <c r="B511" t="s">
        <v>898</v>
      </c>
      <c r="C511" s="4" t="s">
        <v>948</v>
      </c>
      <c r="D511" t="s">
        <v>1291</v>
      </c>
      <c r="E511" t="s">
        <v>1293</v>
      </c>
      <c r="F511" t="s">
        <v>1318</v>
      </c>
      <c r="G511">
        <v>93.39</v>
      </c>
      <c r="H511">
        <v>110.4</v>
      </c>
      <c r="I511">
        <v>-16.559999999999999</v>
      </c>
      <c r="J511">
        <v>105.46</v>
      </c>
      <c r="K511">
        <v>126.96000000000001</v>
      </c>
      <c r="L511">
        <v>-12.069999999999993</v>
      </c>
    </row>
    <row r="512" spans="1:12" x14ac:dyDescent="0.3">
      <c r="A512" t="s">
        <v>520</v>
      </c>
      <c r="B512" t="s">
        <v>867</v>
      </c>
      <c r="C512" s="4" t="s">
        <v>1229</v>
      </c>
      <c r="D512" t="s">
        <v>1291</v>
      </c>
      <c r="E512" t="s">
        <v>1299</v>
      </c>
      <c r="F512" t="s">
        <v>1312</v>
      </c>
      <c r="G512">
        <v>1186.1600000000001</v>
      </c>
      <c r="H512">
        <v>1613.2</v>
      </c>
      <c r="I512">
        <v>-241.98</v>
      </c>
      <c r="J512">
        <v>1154.1099999999999</v>
      </c>
      <c r="K512">
        <v>1855.18</v>
      </c>
      <c r="L512">
        <v>32.050000000000182</v>
      </c>
    </row>
    <row r="513" spans="1:12" x14ac:dyDescent="0.3">
      <c r="A513" t="s">
        <v>521</v>
      </c>
      <c r="B513" t="s">
        <v>837</v>
      </c>
      <c r="C513" s="4" t="s">
        <v>997</v>
      </c>
      <c r="D513" t="s">
        <v>1292</v>
      </c>
      <c r="E513" t="s">
        <v>1294</v>
      </c>
      <c r="F513" t="s">
        <v>1314</v>
      </c>
      <c r="G513">
        <v>626.75</v>
      </c>
      <c r="H513">
        <v>722.03</v>
      </c>
      <c r="I513">
        <v>95.28</v>
      </c>
      <c r="J513">
        <v>644.70000000000005</v>
      </c>
      <c r="K513">
        <v>626.75</v>
      </c>
      <c r="L513">
        <v>-17.950000000000045</v>
      </c>
    </row>
    <row r="514" spans="1:12" x14ac:dyDescent="0.3">
      <c r="A514" t="s">
        <v>522</v>
      </c>
      <c r="B514" t="s">
        <v>834</v>
      </c>
      <c r="C514" s="4" t="s">
        <v>1130</v>
      </c>
      <c r="D514" t="s">
        <v>1291</v>
      </c>
      <c r="E514" t="s">
        <v>1294</v>
      </c>
      <c r="F514" t="s">
        <v>1314</v>
      </c>
      <c r="G514">
        <v>658.24</v>
      </c>
      <c r="H514">
        <v>862.22</v>
      </c>
      <c r="I514">
        <v>-129.33000000000001</v>
      </c>
      <c r="J514">
        <v>737.59</v>
      </c>
      <c r="K514">
        <v>991.55000000000007</v>
      </c>
      <c r="L514">
        <v>-79.350000000000023</v>
      </c>
    </row>
    <row r="515" spans="1:12" x14ac:dyDescent="0.3">
      <c r="A515" t="s">
        <v>523</v>
      </c>
      <c r="B515" t="s">
        <v>883</v>
      </c>
      <c r="C515" s="4" t="s">
        <v>1175</v>
      </c>
      <c r="D515" t="s">
        <v>1292</v>
      </c>
      <c r="E515" t="s">
        <v>1294</v>
      </c>
      <c r="F515" t="s">
        <v>1333</v>
      </c>
      <c r="G515">
        <v>667.39</v>
      </c>
      <c r="H515">
        <v>791.59</v>
      </c>
      <c r="I515">
        <v>124.2</v>
      </c>
      <c r="J515">
        <v>792.42</v>
      </c>
      <c r="K515">
        <v>667.39</v>
      </c>
      <c r="L515">
        <v>-125.02999999999997</v>
      </c>
    </row>
    <row r="516" spans="1:12" x14ac:dyDescent="0.3">
      <c r="A516" t="s">
        <v>524</v>
      </c>
      <c r="B516" t="s">
        <v>897</v>
      </c>
      <c r="C516" s="4" t="s">
        <v>1080</v>
      </c>
      <c r="D516" t="s">
        <v>1291</v>
      </c>
      <c r="E516" t="s">
        <v>1295</v>
      </c>
      <c r="F516" t="s">
        <v>1304</v>
      </c>
      <c r="G516">
        <v>1141.19</v>
      </c>
      <c r="H516">
        <v>1571.32</v>
      </c>
      <c r="I516">
        <v>-235.7</v>
      </c>
      <c r="J516">
        <v>1055.3499999999999</v>
      </c>
      <c r="K516">
        <v>1807.02</v>
      </c>
      <c r="L516">
        <v>85.840000000000146</v>
      </c>
    </row>
    <row r="517" spans="1:12" x14ac:dyDescent="0.3">
      <c r="A517" t="s">
        <v>525</v>
      </c>
      <c r="B517" t="s">
        <v>867</v>
      </c>
      <c r="C517" s="4" t="s">
        <v>1075</v>
      </c>
      <c r="D517" t="s">
        <v>1292</v>
      </c>
      <c r="E517" t="s">
        <v>1298</v>
      </c>
      <c r="F517" t="s">
        <v>1317</v>
      </c>
      <c r="G517">
        <v>485.67</v>
      </c>
      <c r="H517">
        <v>589.88</v>
      </c>
      <c r="I517">
        <v>104.21</v>
      </c>
      <c r="J517">
        <v>484.02</v>
      </c>
      <c r="K517">
        <v>485.67</v>
      </c>
      <c r="L517">
        <v>1.6500000000000341</v>
      </c>
    </row>
    <row r="518" spans="1:12" x14ac:dyDescent="0.3">
      <c r="A518" t="s">
        <v>526</v>
      </c>
      <c r="B518" t="s">
        <v>869</v>
      </c>
      <c r="C518" s="4" t="s">
        <v>1230</v>
      </c>
      <c r="D518" t="s">
        <v>1291</v>
      </c>
      <c r="E518" t="s">
        <v>1293</v>
      </c>
      <c r="F518" t="s">
        <v>1300</v>
      </c>
      <c r="G518">
        <v>56.26</v>
      </c>
      <c r="H518">
        <v>64.75</v>
      </c>
      <c r="I518">
        <v>-9.7100000000000009</v>
      </c>
      <c r="J518">
        <v>51.61</v>
      </c>
      <c r="K518">
        <v>74.460000000000008</v>
      </c>
      <c r="L518">
        <v>4.6499999999999986</v>
      </c>
    </row>
    <row r="519" spans="1:12" x14ac:dyDescent="0.3">
      <c r="A519" t="s">
        <v>527</v>
      </c>
      <c r="B519" t="s">
        <v>876</v>
      </c>
      <c r="C519" s="4" t="s">
        <v>1089</v>
      </c>
      <c r="D519" t="s">
        <v>1291</v>
      </c>
      <c r="E519" t="s">
        <v>1295</v>
      </c>
      <c r="F519" t="s">
        <v>1313</v>
      </c>
      <c r="G519">
        <v>811.54</v>
      </c>
      <c r="H519">
        <v>967.3</v>
      </c>
      <c r="I519">
        <v>-145.09</v>
      </c>
      <c r="J519">
        <v>732.11</v>
      </c>
      <c r="K519">
        <v>1112.3899999999999</v>
      </c>
      <c r="L519">
        <v>79.42999999999995</v>
      </c>
    </row>
    <row r="520" spans="1:12" x14ac:dyDescent="0.3">
      <c r="A520" t="s">
        <v>528</v>
      </c>
      <c r="B520" t="s">
        <v>786</v>
      </c>
      <c r="C520" s="4" t="s">
        <v>1124</v>
      </c>
      <c r="D520" t="s">
        <v>1292</v>
      </c>
      <c r="E520" t="s">
        <v>1296</v>
      </c>
      <c r="F520" t="s">
        <v>1330</v>
      </c>
      <c r="G520">
        <v>4737.96</v>
      </c>
      <c r="H520">
        <v>6632.14</v>
      </c>
      <c r="I520">
        <v>1894.18</v>
      </c>
      <c r="J520">
        <v>4620.32</v>
      </c>
      <c r="K520">
        <v>4737.96</v>
      </c>
      <c r="L520">
        <v>117.64000000000033</v>
      </c>
    </row>
    <row r="521" spans="1:12" x14ac:dyDescent="0.3">
      <c r="A521" t="s">
        <v>529</v>
      </c>
      <c r="B521" t="s">
        <v>928</v>
      </c>
      <c r="C521" s="4" t="s">
        <v>1231</v>
      </c>
      <c r="D521" t="s">
        <v>1292</v>
      </c>
      <c r="E521" t="s">
        <v>1294</v>
      </c>
      <c r="F521" t="s">
        <v>1333</v>
      </c>
      <c r="G521">
        <v>88.97</v>
      </c>
      <c r="H521">
        <v>115.35</v>
      </c>
      <c r="I521">
        <v>26.38</v>
      </c>
      <c r="J521">
        <v>86.1</v>
      </c>
      <c r="K521">
        <v>88.97</v>
      </c>
      <c r="L521">
        <v>2.8700000000000045</v>
      </c>
    </row>
    <row r="522" spans="1:12" x14ac:dyDescent="0.3">
      <c r="A522" t="s">
        <v>530</v>
      </c>
      <c r="B522" t="s">
        <v>799</v>
      </c>
      <c r="C522" s="4" t="s">
        <v>946</v>
      </c>
      <c r="D522" t="s">
        <v>1291</v>
      </c>
      <c r="E522" t="s">
        <v>1294</v>
      </c>
      <c r="F522" t="s">
        <v>1314</v>
      </c>
      <c r="G522">
        <v>252.56</v>
      </c>
      <c r="H522">
        <v>338.33</v>
      </c>
      <c r="I522">
        <v>-50.75</v>
      </c>
      <c r="J522">
        <v>245.37</v>
      </c>
      <c r="K522">
        <v>389.08</v>
      </c>
      <c r="L522">
        <v>7.1899999999999977</v>
      </c>
    </row>
    <row r="523" spans="1:12" x14ac:dyDescent="0.3">
      <c r="A523" t="s">
        <v>531</v>
      </c>
      <c r="B523" t="s">
        <v>890</v>
      </c>
      <c r="C523" s="4" t="s">
        <v>1047</v>
      </c>
      <c r="D523" t="s">
        <v>1291</v>
      </c>
      <c r="E523" t="s">
        <v>1298</v>
      </c>
      <c r="F523" t="s">
        <v>1310</v>
      </c>
      <c r="G523">
        <v>39.79</v>
      </c>
      <c r="H523">
        <v>48.54</v>
      </c>
      <c r="I523">
        <v>-7.28</v>
      </c>
      <c r="J523">
        <v>36.450000000000003</v>
      </c>
      <c r="K523">
        <v>55.82</v>
      </c>
      <c r="L523">
        <v>3.3399999999999963</v>
      </c>
    </row>
    <row r="524" spans="1:12" x14ac:dyDescent="0.3">
      <c r="A524" t="s">
        <v>532</v>
      </c>
      <c r="B524" t="s">
        <v>835</v>
      </c>
      <c r="C524" s="4" t="s">
        <v>982</v>
      </c>
      <c r="D524" t="s">
        <v>1292</v>
      </c>
      <c r="E524" t="s">
        <v>1298</v>
      </c>
      <c r="F524" t="s">
        <v>1317</v>
      </c>
      <c r="G524">
        <v>966.75</v>
      </c>
      <c r="H524">
        <v>1207.29</v>
      </c>
      <c r="I524">
        <v>240.54</v>
      </c>
      <c r="J524">
        <v>883.76</v>
      </c>
      <c r="K524">
        <v>966.75</v>
      </c>
      <c r="L524">
        <v>82.990000000000009</v>
      </c>
    </row>
    <row r="525" spans="1:12" x14ac:dyDescent="0.3">
      <c r="A525" t="s">
        <v>533</v>
      </c>
      <c r="B525" t="s">
        <v>895</v>
      </c>
      <c r="C525" s="4" t="s">
        <v>1005</v>
      </c>
      <c r="D525" t="s">
        <v>1291</v>
      </c>
      <c r="E525" t="s">
        <v>1295</v>
      </c>
      <c r="F525" t="s">
        <v>1304</v>
      </c>
      <c r="G525">
        <v>1173.55</v>
      </c>
      <c r="H525">
        <v>1412.23</v>
      </c>
      <c r="I525">
        <v>-211.83</v>
      </c>
      <c r="J525">
        <v>1060.68</v>
      </c>
      <c r="K525">
        <v>1624.06</v>
      </c>
      <c r="L525">
        <v>112.86999999999989</v>
      </c>
    </row>
    <row r="526" spans="1:12" x14ac:dyDescent="0.3">
      <c r="A526" t="s">
        <v>534</v>
      </c>
      <c r="B526" t="s">
        <v>887</v>
      </c>
      <c r="C526" s="4" t="s">
        <v>1094</v>
      </c>
      <c r="D526" t="s">
        <v>1291</v>
      </c>
      <c r="E526" t="s">
        <v>1295</v>
      </c>
      <c r="F526" t="s">
        <v>1313</v>
      </c>
      <c r="G526">
        <v>1102.52</v>
      </c>
      <c r="H526">
        <v>1331.47</v>
      </c>
      <c r="I526">
        <v>-199.72</v>
      </c>
      <c r="J526">
        <v>1166.24</v>
      </c>
      <c r="K526">
        <v>1531.19</v>
      </c>
      <c r="L526">
        <v>-63.720000000000027</v>
      </c>
    </row>
    <row r="527" spans="1:12" x14ac:dyDescent="0.3">
      <c r="A527" t="s">
        <v>535</v>
      </c>
      <c r="B527" t="s">
        <v>818</v>
      </c>
      <c r="C527" s="4" t="s">
        <v>951</v>
      </c>
      <c r="D527" t="s">
        <v>1291</v>
      </c>
      <c r="E527" t="s">
        <v>1297</v>
      </c>
      <c r="F527" t="s">
        <v>1331</v>
      </c>
      <c r="G527">
        <v>1219.4163333333336</v>
      </c>
      <c r="H527">
        <v>121.7</v>
      </c>
      <c r="I527">
        <v>-18.25</v>
      </c>
      <c r="J527">
        <v>119.13</v>
      </c>
      <c r="K527">
        <v>139.94999999999999</v>
      </c>
      <c r="L527">
        <v>1100.2863333333335</v>
      </c>
    </row>
    <row r="528" spans="1:12" x14ac:dyDescent="0.3">
      <c r="A528" t="s">
        <v>536</v>
      </c>
      <c r="B528" t="s">
        <v>847</v>
      </c>
      <c r="C528" s="4" t="s">
        <v>1101</v>
      </c>
      <c r="D528" t="s">
        <v>1291</v>
      </c>
      <c r="E528" t="s">
        <v>1296</v>
      </c>
      <c r="F528" t="s">
        <v>1330</v>
      </c>
      <c r="G528">
        <v>4636.45</v>
      </c>
      <c r="H528">
        <v>6468.03</v>
      </c>
      <c r="I528">
        <v>-970.2</v>
      </c>
      <c r="J528">
        <v>4906.58</v>
      </c>
      <c r="K528">
        <v>7438.23</v>
      </c>
      <c r="L528">
        <v>-270.13000000000011</v>
      </c>
    </row>
    <row r="529" spans="1:12" x14ac:dyDescent="0.3">
      <c r="A529" t="s">
        <v>537</v>
      </c>
      <c r="B529" t="s">
        <v>919</v>
      </c>
      <c r="C529" s="4" t="s">
        <v>1232</v>
      </c>
      <c r="D529" t="s">
        <v>1292</v>
      </c>
      <c r="E529" t="s">
        <v>1298</v>
      </c>
      <c r="F529" t="s">
        <v>1306</v>
      </c>
      <c r="G529">
        <v>803.58</v>
      </c>
      <c r="H529">
        <v>962.39</v>
      </c>
      <c r="I529">
        <v>158.81</v>
      </c>
      <c r="J529">
        <v>872.66</v>
      </c>
      <c r="K529">
        <v>803.57999999999993</v>
      </c>
      <c r="L529">
        <v>-69.079999999999927</v>
      </c>
    </row>
    <row r="530" spans="1:12" x14ac:dyDescent="0.3">
      <c r="A530" t="s">
        <v>538</v>
      </c>
      <c r="B530" t="s">
        <v>858</v>
      </c>
      <c r="C530" s="4" t="s">
        <v>1197</v>
      </c>
      <c r="D530" t="s">
        <v>1291</v>
      </c>
      <c r="E530" t="s">
        <v>1293</v>
      </c>
      <c r="F530" t="s">
        <v>1320</v>
      </c>
      <c r="G530">
        <v>359.89</v>
      </c>
      <c r="H530">
        <v>493.06</v>
      </c>
      <c r="I530">
        <v>-73.959999999999994</v>
      </c>
      <c r="J530">
        <v>406.94</v>
      </c>
      <c r="K530">
        <v>567.02</v>
      </c>
      <c r="L530">
        <v>-47.050000000000011</v>
      </c>
    </row>
    <row r="531" spans="1:12" x14ac:dyDescent="0.3">
      <c r="A531" t="s">
        <v>539</v>
      </c>
      <c r="B531" t="s">
        <v>922</v>
      </c>
      <c r="C531" s="4" t="s">
        <v>1202</v>
      </c>
      <c r="D531" t="s">
        <v>1291</v>
      </c>
      <c r="E531" t="s">
        <v>1293</v>
      </c>
      <c r="F531" t="s">
        <v>1320</v>
      </c>
      <c r="G531">
        <v>1081.57</v>
      </c>
      <c r="H531">
        <v>1443.46</v>
      </c>
      <c r="I531">
        <v>-216.52</v>
      </c>
      <c r="J531">
        <v>1095.77</v>
      </c>
      <c r="K531">
        <v>1659.98</v>
      </c>
      <c r="L531">
        <v>-14.200000000000045</v>
      </c>
    </row>
    <row r="532" spans="1:12" x14ac:dyDescent="0.3">
      <c r="A532" t="s">
        <v>540</v>
      </c>
      <c r="B532" t="s">
        <v>840</v>
      </c>
      <c r="C532" s="4" t="s">
        <v>1233</v>
      </c>
      <c r="D532" t="s">
        <v>1291</v>
      </c>
      <c r="E532" t="s">
        <v>1293</v>
      </c>
      <c r="F532" t="s">
        <v>1300</v>
      </c>
      <c r="G532">
        <v>1013.46</v>
      </c>
      <c r="H532">
        <v>1190.29</v>
      </c>
      <c r="I532">
        <v>-178.54</v>
      </c>
      <c r="J532">
        <v>986.46</v>
      </c>
      <c r="K532">
        <v>1368.83</v>
      </c>
      <c r="L532">
        <v>27</v>
      </c>
    </row>
    <row r="533" spans="1:12" x14ac:dyDescent="0.3">
      <c r="A533" t="s">
        <v>541</v>
      </c>
      <c r="B533" t="s">
        <v>839</v>
      </c>
      <c r="C533" s="4" t="s">
        <v>1004</v>
      </c>
      <c r="D533" t="s">
        <v>1291</v>
      </c>
      <c r="E533" t="s">
        <v>1295</v>
      </c>
      <c r="F533" t="s">
        <v>1304</v>
      </c>
      <c r="G533">
        <v>792.16</v>
      </c>
      <c r="H533">
        <v>992.87</v>
      </c>
      <c r="I533">
        <v>-148.93</v>
      </c>
      <c r="J533">
        <v>732.43</v>
      </c>
      <c r="K533">
        <v>1141.8</v>
      </c>
      <c r="L533">
        <v>59.730000000000018</v>
      </c>
    </row>
    <row r="534" spans="1:12" x14ac:dyDescent="0.3">
      <c r="A534" t="s">
        <v>542</v>
      </c>
      <c r="B534" t="s">
        <v>812</v>
      </c>
      <c r="C534" s="4" t="s">
        <v>1014</v>
      </c>
      <c r="D534" t="s">
        <v>1292</v>
      </c>
      <c r="E534" t="s">
        <v>1297</v>
      </c>
      <c r="F534" t="s">
        <v>1319</v>
      </c>
      <c r="G534">
        <v>150.63</v>
      </c>
      <c r="H534">
        <v>186.79</v>
      </c>
      <c r="I534">
        <v>36.159999999999997</v>
      </c>
      <c r="J534">
        <v>160.22</v>
      </c>
      <c r="K534">
        <v>150.63</v>
      </c>
      <c r="L534">
        <v>-9.5900000000000034</v>
      </c>
    </row>
    <row r="535" spans="1:12" x14ac:dyDescent="0.3">
      <c r="A535" t="s">
        <v>543</v>
      </c>
      <c r="B535" t="s">
        <v>793</v>
      </c>
      <c r="C535" s="4" t="s">
        <v>1193</v>
      </c>
      <c r="D535" t="s">
        <v>1292</v>
      </c>
      <c r="E535" t="s">
        <v>1293</v>
      </c>
      <c r="F535" t="s">
        <v>1320</v>
      </c>
      <c r="G535">
        <v>594.22</v>
      </c>
      <c r="H535">
        <v>822.1</v>
      </c>
      <c r="I535">
        <v>227.88</v>
      </c>
      <c r="J535">
        <v>581.28</v>
      </c>
      <c r="K535">
        <v>594.22</v>
      </c>
      <c r="L535">
        <v>12.940000000000055</v>
      </c>
    </row>
    <row r="536" spans="1:12" x14ac:dyDescent="0.3">
      <c r="A536" t="s">
        <v>544</v>
      </c>
      <c r="B536" t="s">
        <v>921</v>
      </c>
      <c r="C536" s="4" t="s">
        <v>1034</v>
      </c>
      <c r="D536" t="s">
        <v>1292</v>
      </c>
      <c r="E536" t="s">
        <v>1296</v>
      </c>
      <c r="F536" t="s">
        <v>1332</v>
      </c>
      <c r="G536">
        <v>5612.19</v>
      </c>
      <c r="H536">
        <v>7807.43</v>
      </c>
      <c r="I536">
        <v>2195.2399999999998</v>
      </c>
      <c r="J536">
        <v>6565.51</v>
      </c>
      <c r="K536">
        <v>5612.1900000000005</v>
      </c>
      <c r="L536">
        <v>-953.32000000000062</v>
      </c>
    </row>
    <row r="537" spans="1:12" x14ac:dyDescent="0.3">
      <c r="A537" t="s">
        <v>545</v>
      </c>
      <c r="B537" t="s">
        <v>900</v>
      </c>
      <c r="C537" s="4" t="s">
        <v>1154</v>
      </c>
      <c r="D537" t="s">
        <v>1291</v>
      </c>
      <c r="E537" t="s">
        <v>1294</v>
      </c>
      <c r="F537" t="s">
        <v>1333</v>
      </c>
      <c r="G537">
        <v>579.21</v>
      </c>
      <c r="H537">
        <v>692.02</v>
      </c>
      <c r="I537">
        <v>-103.8</v>
      </c>
      <c r="J537">
        <v>613.57000000000005</v>
      </c>
      <c r="K537">
        <v>795.81999999999994</v>
      </c>
      <c r="L537">
        <v>-34.360000000000014</v>
      </c>
    </row>
    <row r="538" spans="1:12" x14ac:dyDescent="0.3">
      <c r="A538" t="s">
        <v>546</v>
      </c>
      <c r="B538" t="s">
        <v>880</v>
      </c>
      <c r="C538" s="4" t="s">
        <v>1211</v>
      </c>
      <c r="D538" t="s">
        <v>1292</v>
      </c>
      <c r="E538" t="s">
        <v>1298</v>
      </c>
      <c r="F538" t="s">
        <v>1317</v>
      </c>
      <c r="G538">
        <v>1101.3800000000001</v>
      </c>
      <c r="H538">
        <v>1456.47</v>
      </c>
      <c r="I538">
        <v>355.09</v>
      </c>
      <c r="J538">
        <v>1286.32</v>
      </c>
      <c r="K538">
        <v>1101.3800000000001</v>
      </c>
      <c r="L538">
        <v>-184.93999999999983</v>
      </c>
    </row>
    <row r="539" spans="1:12" x14ac:dyDescent="0.3">
      <c r="A539" t="s">
        <v>547</v>
      </c>
      <c r="B539" t="s">
        <v>929</v>
      </c>
      <c r="C539" s="4" t="s">
        <v>1210</v>
      </c>
      <c r="D539" t="s">
        <v>1291</v>
      </c>
      <c r="E539" t="s">
        <v>1299</v>
      </c>
      <c r="F539" t="s">
        <v>1312</v>
      </c>
      <c r="G539">
        <v>1219.4163333333336</v>
      </c>
      <c r="H539">
        <v>136.59</v>
      </c>
      <c r="I539">
        <v>-20.49</v>
      </c>
      <c r="J539">
        <v>103.89</v>
      </c>
      <c r="K539">
        <v>157.08000000000001</v>
      </c>
      <c r="L539">
        <v>1115.5263333333335</v>
      </c>
    </row>
    <row r="540" spans="1:12" x14ac:dyDescent="0.3">
      <c r="A540" t="s">
        <v>548</v>
      </c>
      <c r="B540" t="s">
        <v>930</v>
      </c>
      <c r="C540" s="4" t="s">
        <v>1188</v>
      </c>
      <c r="D540" t="s">
        <v>1292</v>
      </c>
      <c r="E540" t="s">
        <v>1299</v>
      </c>
      <c r="F540" t="s">
        <v>1334</v>
      </c>
      <c r="G540">
        <v>45.94</v>
      </c>
      <c r="H540">
        <v>61.23</v>
      </c>
      <c r="I540">
        <v>15.29</v>
      </c>
      <c r="J540">
        <v>51.77</v>
      </c>
      <c r="K540">
        <v>45.94</v>
      </c>
      <c r="L540">
        <v>-5.8300000000000054</v>
      </c>
    </row>
    <row r="541" spans="1:12" x14ac:dyDescent="0.3">
      <c r="A541" t="s">
        <v>549</v>
      </c>
      <c r="B541" t="s">
        <v>825</v>
      </c>
      <c r="C541" s="4" t="s">
        <v>1226</v>
      </c>
      <c r="D541" t="s">
        <v>1291</v>
      </c>
      <c r="E541" t="s">
        <v>1298</v>
      </c>
      <c r="F541" t="s">
        <v>1317</v>
      </c>
      <c r="G541">
        <v>176.92</v>
      </c>
      <c r="H541">
        <v>238.47</v>
      </c>
      <c r="I541">
        <v>-35.770000000000003</v>
      </c>
      <c r="J541">
        <v>164.6</v>
      </c>
      <c r="K541">
        <v>274.24</v>
      </c>
      <c r="L541">
        <v>12.319999999999993</v>
      </c>
    </row>
    <row r="542" spans="1:12" x14ac:dyDescent="0.3">
      <c r="A542" t="s">
        <v>550</v>
      </c>
      <c r="B542" t="s">
        <v>862</v>
      </c>
      <c r="C542" s="4" t="s">
        <v>1179</v>
      </c>
      <c r="D542" t="s">
        <v>1291</v>
      </c>
      <c r="E542" t="s">
        <v>1299</v>
      </c>
      <c r="F542" t="s">
        <v>1334</v>
      </c>
      <c r="G542">
        <v>595.24</v>
      </c>
      <c r="H542">
        <v>786.72</v>
      </c>
      <c r="I542">
        <v>-118.01</v>
      </c>
      <c r="J542">
        <v>607.47</v>
      </c>
      <c r="K542">
        <v>904.73</v>
      </c>
      <c r="L542">
        <v>-12.230000000000018</v>
      </c>
    </row>
    <row r="543" spans="1:12" x14ac:dyDescent="0.3">
      <c r="A543" t="s">
        <v>551</v>
      </c>
      <c r="B543" t="s">
        <v>901</v>
      </c>
      <c r="C543" s="4" t="s">
        <v>995</v>
      </c>
      <c r="D543" t="s">
        <v>1291</v>
      </c>
      <c r="E543" t="s">
        <v>1295</v>
      </c>
      <c r="F543" t="s">
        <v>1304</v>
      </c>
      <c r="G543">
        <v>648.41</v>
      </c>
      <c r="H543">
        <v>865.81</v>
      </c>
      <c r="I543">
        <v>-129.87</v>
      </c>
      <c r="J543">
        <v>587.37</v>
      </c>
      <c r="K543">
        <v>995.68</v>
      </c>
      <c r="L543">
        <v>61.039999999999964</v>
      </c>
    </row>
    <row r="544" spans="1:12" x14ac:dyDescent="0.3">
      <c r="A544" t="s">
        <v>552</v>
      </c>
      <c r="B544" t="s">
        <v>805</v>
      </c>
      <c r="C544" s="4" t="s">
        <v>998</v>
      </c>
      <c r="D544" t="s">
        <v>1291</v>
      </c>
      <c r="E544" t="s">
        <v>1295</v>
      </c>
      <c r="F544" t="s">
        <v>1313</v>
      </c>
      <c r="G544">
        <v>819.91</v>
      </c>
      <c r="H544">
        <v>1031.3599999999999</v>
      </c>
      <c r="I544">
        <v>-154.69999999999999</v>
      </c>
      <c r="J544">
        <v>899.5</v>
      </c>
      <c r="K544">
        <v>1186.06</v>
      </c>
      <c r="L544">
        <v>-79.590000000000032</v>
      </c>
    </row>
    <row r="545" spans="1:12" x14ac:dyDescent="0.3">
      <c r="A545" t="s">
        <v>553</v>
      </c>
      <c r="B545" t="s">
        <v>796</v>
      </c>
      <c r="C545" s="4" t="s">
        <v>1234</v>
      </c>
      <c r="D545" t="s">
        <v>1292</v>
      </c>
      <c r="E545" t="s">
        <v>1296</v>
      </c>
      <c r="F545" t="s">
        <v>1308</v>
      </c>
      <c r="G545">
        <v>1219.4163333333336</v>
      </c>
      <c r="H545">
        <v>135.03</v>
      </c>
      <c r="I545">
        <v>35.03</v>
      </c>
      <c r="J545">
        <v>113.36</v>
      </c>
      <c r="K545">
        <v>100</v>
      </c>
      <c r="L545">
        <v>1106.0563333333337</v>
      </c>
    </row>
    <row r="546" spans="1:12" x14ac:dyDescent="0.3">
      <c r="A546" t="s">
        <v>554</v>
      </c>
      <c r="B546" t="s">
        <v>885</v>
      </c>
      <c r="C546" s="4" t="s">
        <v>965</v>
      </c>
      <c r="D546" t="s">
        <v>1292</v>
      </c>
      <c r="E546" t="s">
        <v>1294</v>
      </c>
      <c r="F546" t="s">
        <v>1301</v>
      </c>
      <c r="G546">
        <v>405.06</v>
      </c>
      <c r="H546">
        <v>535.37</v>
      </c>
      <c r="I546">
        <v>130.31</v>
      </c>
      <c r="J546">
        <v>384.21</v>
      </c>
      <c r="K546">
        <v>405.06</v>
      </c>
      <c r="L546">
        <v>20.850000000000023</v>
      </c>
    </row>
    <row r="547" spans="1:12" x14ac:dyDescent="0.3">
      <c r="A547" t="s">
        <v>555</v>
      </c>
      <c r="B547" t="s">
        <v>895</v>
      </c>
      <c r="C547" s="4" t="s">
        <v>1063</v>
      </c>
      <c r="D547" t="s">
        <v>1291</v>
      </c>
      <c r="E547" t="s">
        <v>1296</v>
      </c>
      <c r="F547" t="s">
        <v>1332</v>
      </c>
      <c r="G547">
        <v>8836.74</v>
      </c>
      <c r="H547">
        <v>11919.04</v>
      </c>
      <c r="I547">
        <v>-1787.86</v>
      </c>
      <c r="J547">
        <v>8714.92</v>
      </c>
      <c r="K547">
        <v>13706.900000000001</v>
      </c>
      <c r="L547">
        <v>121.81999999999971</v>
      </c>
    </row>
    <row r="548" spans="1:12" x14ac:dyDescent="0.3">
      <c r="A548" t="s">
        <v>556</v>
      </c>
      <c r="B548" t="s">
        <v>834</v>
      </c>
      <c r="C548" s="4" t="s">
        <v>1074</v>
      </c>
      <c r="D548" t="s">
        <v>1292</v>
      </c>
      <c r="E548" t="s">
        <v>1298</v>
      </c>
      <c r="F548" t="s">
        <v>1317</v>
      </c>
      <c r="G548">
        <v>1158.1199999999999</v>
      </c>
      <c r="H548">
        <v>1372.34</v>
      </c>
      <c r="I548">
        <v>214.22</v>
      </c>
      <c r="J548">
        <v>1365.62</v>
      </c>
      <c r="K548">
        <v>1158.1199999999999</v>
      </c>
      <c r="L548">
        <v>-207.5</v>
      </c>
    </row>
    <row r="549" spans="1:12" x14ac:dyDescent="0.3">
      <c r="A549" t="s">
        <v>557</v>
      </c>
      <c r="B549" t="s">
        <v>861</v>
      </c>
      <c r="C549" s="4" t="s">
        <v>1235</v>
      </c>
      <c r="D549" t="s">
        <v>1291</v>
      </c>
      <c r="E549" t="s">
        <v>1294</v>
      </c>
      <c r="F549" t="s">
        <v>1333</v>
      </c>
      <c r="G549">
        <v>1106.2</v>
      </c>
      <c r="H549">
        <v>1415.4</v>
      </c>
      <c r="I549">
        <v>-212.31</v>
      </c>
      <c r="J549">
        <v>1145.01</v>
      </c>
      <c r="K549">
        <v>1627.71</v>
      </c>
      <c r="L549">
        <v>-38.809999999999945</v>
      </c>
    </row>
    <row r="550" spans="1:12" x14ac:dyDescent="0.3">
      <c r="A550" t="s">
        <v>558</v>
      </c>
      <c r="B550" t="s">
        <v>788</v>
      </c>
      <c r="C550" s="4" t="s">
        <v>1036</v>
      </c>
      <c r="D550" t="s">
        <v>1292</v>
      </c>
      <c r="E550" t="s">
        <v>1293</v>
      </c>
      <c r="F550" t="s">
        <v>1320</v>
      </c>
      <c r="G550">
        <v>1219.4163333333336</v>
      </c>
      <c r="H550">
        <v>117.88</v>
      </c>
      <c r="I550">
        <v>17.88</v>
      </c>
      <c r="J550">
        <v>109.74</v>
      </c>
      <c r="K550">
        <v>100</v>
      </c>
      <c r="L550">
        <v>1109.6763333333336</v>
      </c>
    </row>
    <row r="551" spans="1:12" x14ac:dyDescent="0.3">
      <c r="A551" t="s">
        <v>559</v>
      </c>
      <c r="B551" t="s">
        <v>864</v>
      </c>
      <c r="C551" s="4" t="s">
        <v>1226</v>
      </c>
      <c r="D551" t="s">
        <v>1291</v>
      </c>
      <c r="E551" t="s">
        <v>1299</v>
      </c>
      <c r="F551" t="s">
        <v>1312</v>
      </c>
      <c r="G551">
        <v>607.41</v>
      </c>
      <c r="H551">
        <v>760.34</v>
      </c>
      <c r="I551">
        <v>-114.05</v>
      </c>
      <c r="J551">
        <v>695.56</v>
      </c>
      <c r="K551">
        <v>874.39</v>
      </c>
      <c r="L551">
        <v>-88.149999999999977</v>
      </c>
    </row>
    <row r="552" spans="1:12" x14ac:dyDescent="0.3">
      <c r="A552" t="s">
        <v>560</v>
      </c>
      <c r="B552" t="s">
        <v>855</v>
      </c>
      <c r="C552" s="4" t="s">
        <v>1079</v>
      </c>
      <c r="D552" t="s">
        <v>1291</v>
      </c>
      <c r="E552" t="s">
        <v>1297</v>
      </c>
      <c r="F552" t="s">
        <v>1331</v>
      </c>
      <c r="G552">
        <v>587.61</v>
      </c>
      <c r="H552">
        <v>731.49</v>
      </c>
      <c r="I552">
        <v>-109.72</v>
      </c>
      <c r="J552">
        <v>619.21</v>
      </c>
      <c r="K552">
        <v>841.21</v>
      </c>
      <c r="L552">
        <v>-31.600000000000023</v>
      </c>
    </row>
    <row r="553" spans="1:12" x14ac:dyDescent="0.3">
      <c r="A553" t="s">
        <v>561</v>
      </c>
      <c r="B553" t="s">
        <v>837</v>
      </c>
      <c r="C553" s="4" t="s">
        <v>1058</v>
      </c>
      <c r="D553" t="s">
        <v>1292</v>
      </c>
      <c r="E553" t="s">
        <v>1294</v>
      </c>
      <c r="F553" t="s">
        <v>1314</v>
      </c>
      <c r="G553">
        <v>888.84</v>
      </c>
      <c r="H553">
        <v>1064.07</v>
      </c>
      <c r="I553">
        <v>-44.182985074626863</v>
      </c>
      <c r="J553">
        <v>910.2</v>
      </c>
      <c r="K553">
        <v>1108.2529850746268</v>
      </c>
      <c r="L553">
        <v>-21.360000000000014</v>
      </c>
    </row>
    <row r="554" spans="1:12" x14ac:dyDescent="0.3">
      <c r="A554" t="s">
        <v>562</v>
      </c>
      <c r="B554" t="s">
        <v>862</v>
      </c>
      <c r="C554" s="4" t="s">
        <v>1052</v>
      </c>
      <c r="D554" t="s">
        <v>1292</v>
      </c>
      <c r="E554" t="s">
        <v>1297</v>
      </c>
      <c r="F554" t="s">
        <v>1319</v>
      </c>
      <c r="G554">
        <v>42.78</v>
      </c>
      <c r="H554">
        <v>57.75</v>
      </c>
      <c r="I554">
        <v>14.97</v>
      </c>
      <c r="J554">
        <v>47.46</v>
      </c>
      <c r="K554">
        <v>42.78</v>
      </c>
      <c r="L554">
        <v>-4.68</v>
      </c>
    </row>
    <row r="555" spans="1:12" x14ac:dyDescent="0.3">
      <c r="A555" t="s">
        <v>563</v>
      </c>
      <c r="B555" t="s">
        <v>843</v>
      </c>
      <c r="C555" s="4" t="s">
        <v>1236</v>
      </c>
      <c r="D555" t="s">
        <v>1292</v>
      </c>
      <c r="E555" t="s">
        <v>1298</v>
      </c>
      <c r="F555" t="s">
        <v>1317</v>
      </c>
      <c r="G555">
        <v>269.33999999999997</v>
      </c>
      <c r="H555">
        <v>321.56</v>
      </c>
      <c r="I555">
        <v>52.22</v>
      </c>
      <c r="J555">
        <v>317.61</v>
      </c>
      <c r="K555">
        <v>269.34000000000003</v>
      </c>
      <c r="L555">
        <v>-48.270000000000039</v>
      </c>
    </row>
    <row r="556" spans="1:12" x14ac:dyDescent="0.3">
      <c r="A556" t="s">
        <v>564</v>
      </c>
      <c r="B556" t="s">
        <v>816</v>
      </c>
      <c r="C556" s="4" t="s">
        <v>1196</v>
      </c>
      <c r="D556" t="s">
        <v>1292</v>
      </c>
      <c r="E556" t="s">
        <v>1298</v>
      </c>
      <c r="F556" t="s">
        <v>1317</v>
      </c>
      <c r="G556">
        <v>936.37</v>
      </c>
      <c r="H556">
        <v>1236.97</v>
      </c>
      <c r="I556">
        <v>300.60000000000002</v>
      </c>
      <c r="J556">
        <v>902.31</v>
      </c>
      <c r="K556">
        <v>936.37</v>
      </c>
      <c r="L556">
        <v>34.060000000000059</v>
      </c>
    </row>
    <row r="557" spans="1:12" x14ac:dyDescent="0.3">
      <c r="A557" t="s">
        <v>565</v>
      </c>
      <c r="B557" t="s">
        <v>869</v>
      </c>
      <c r="C557" s="4" t="s">
        <v>1237</v>
      </c>
      <c r="D557" t="s">
        <v>1292</v>
      </c>
      <c r="E557" t="s">
        <v>1298</v>
      </c>
      <c r="F557" t="s">
        <v>1317</v>
      </c>
      <c r="G557">
        <v>911.88</v>
      </c>
      <c r="H557">
        <v>1056.6400000000001</v>
      </c>
      <c r="I557">
        <v>144.76</v>
      </c>
      <c r="J557">
        <v>1006.2</v>
      </c>
      <c r="K557">
        <v>911.88000000000011</v>
      </c>
      <c r="L557">
        <v>-94.32000000000005</v>
      </c>
    </row>
    <row r="558" spans="1:12" x14ac:dyDescent="0.3">
      <c r="A558" t="s">
        <v>566</v>
      </c>
      <c r="B558" t="s">
        <v>871</v>
      </c>
      <c r="C558" s="4" t="s">
        <v>1238</v>
      </c>
      <c r="D558" t="s">
        <v>1291</v>
      </c>
      <c r="E558" t="s">
        <v>1294</v>
      </c>
      <c r="F558" t="s">
        <v>1314</v>
      </c>
      <c r="G558">
        <v>1136.52</v>
      </c>
      <c r="H558">
        <v>1337.4</v>
      </c>
      <c r="I558">
        <v>-200.61</v>
      </c>
      <c r="J558">
        <v>1249.55</v>
      </c>
      <c r="K558">
        <v>1538.0100000000002</v>
      </c>
      <c r="L558">
        <v>-113.02999999999997</v>
      </c>
    </row>
    <row r="559" spans="1:12" x14ac:dyDescent="0.3">
      <c r="A559" t="s">
        <v>567</v>
      </c>
      <c r="B559" t="s">
        <v>883</v>
      </c>
      <c r="C559" s="4" t="s">
        <v>1186</v>
      </c>
      <c r="D559" t="s">
        <v>1291</v>
      </c>
      <c r="E559" t="s">
        <v>1296</v>
      </c>
      <c r="F559" t="s">
        <v>1332</v>
      </c>
      <c r="G559">
        <v>7737.57</v>
      </c>
      <c r="H559">
        <v>9134.74</v>
      </c>
      <c r="I559">
        <v>-1370.21</v>
      </c>
      <c r="J559">
        <v>8929.16</v>
      </c>
      <c r="K559">
        <v>10504.95</v>
      </c>
      <c r="L559">
        <v>-1191.5900000000001</v>
      </c>
    </row>
    <row r="560" spans="1:12" x14ac:dyDescent="0.3">
      <c r="A560" t="s">
        <v>568</v>
      </c>
      <c r="B560" t="s">
        <v>914</v>
      </c>
      <c r="C560" s="4" t="s">
        <v>1041</v>
      </c>
      <c r="D560" t="s">
        <v>1291</v>
      </c>
      <c r="E560" t="s">
        <v>1293</v>
      </c>
      <c r="F560" t="s">
        <v>1300</v>
      </c>
      <c r="G560">
        <v>799.55</v>
      </c>
      <c r="H560">
        <v>998.74</v>
      </c>
      <c r="I560">
        <v>-149.81</v>
      </c>
      <c r="J560">
        <v>762.82</v>
      </c>
      <c r="K560">
        <v>1148.55</v>
      </c>
      <c r="L560">
        <v>36.729999999999905</v>
      </c>
    </row>
    <row r="561" spans="1:12" x14ac:dyDescent="0.3">
      <c r="A561" t="s">
        <v>569</v>
      </c>
      <c r="B561" t="s">
        <v>875</v>
      </c>
      <c r="C561" s="4" t="s">
        <v>1239</v>
      </c>
      <c r="D561" t="s">
        <v>1291</v>
      </c>
      <c r="E561" t="s">
        <v>1296</v>
      </c>
      <c r="F561" t="s">
        <v>1330</v>
      </c>
      <c r="G561">
        <v>5365.7</v>
      </c>
      <c r="H561">
        <v>7052.05</v>
      </c>
      <c r="I561">
        <v>-1057.81</v>
      </c>
      <c r="J561">
        <v>6014.13</v>
      </c>
      <c r="K561">
        <v>8109.8600000000006</v>
      </c>
      <c r="L561">
        <v>-648.43000000000029</v>
      </c>
    </row>
    <row r="562" spans="1:12" x14ac:dyDescent="0.3">
      <c r="A562" t="s">
        <v>570</v>
      </c>
      <c r="B562" t="s">
        <v>897</v>
      </c>
      <c r="C562" s="4" t="s">
        <v>951</v>
      </c>
      <c r="D562" t="s">
        <v>1292</v>
      </c>
      <c r="E562" t="s">
        <v>1296</v>
      </c>
      <c r="F562" t="s">
        <v>1332</v>
      </c>
      <c r="G562">
        <v>5547.54</v>
      </c>
      <c r="H562">
        <v>7580.66</v>
      </c>
      <c r="I562">
        <v>2033.12</v>
      </c>
      <c r="J562">
        <v>6003.61</v>
      </c>
      <c r="K562">
        <v>5547.54</v>
      </c>
      <c r="L562">
        <v>-456.06999999999971</v>
      </c>
    </row>
    <row r="563" spans="1:12" x14ac:dyDescent="0.3">
      <c r="A563" t="s">
        <v>571</v>
      </c>
      <c r="B563" t="s">
        <v>892</v>
      </c>
      <c r="C563" s="4" t="s">
        <v>1121</v>
      </c>
      <c r="D563" t="s">
        <v>1292</v>
      </c>
      <c r="E563" t="s">
        <v>1294</v>
      </c>
      <c r="F563" t="s">
        <v>1333</v>
      </c>
      <c r="G563">
        <v>450.8</v>
      </c>
      <c r="H563">
        <v>620.58000000000004</v>
      </c>
      <c r="I563">
        <v>169.78</v>
      </c>
      <c r="J563">
        <v>516.1</v>
      </c>
      <c r="K563">
        <v>450.80000000000007</v>
      </c>
      <c r="L563">
        <v>-65.300000000000011</v>
      </c>
    </row>
    <row r="564" spans="1:12" x14ac:dyDescent="0.3">
      <c r="A564" t="s">
        <v>572</v>
      </c>
      <c r="B564" t="s">
        <v>867</v>
      </c>
      <c r="C564" s="4" t="s">
        <v>1226</v>
      </c>
      <c r="D564" t="s">
        <v>1291</v>
      </c>
      <c r="E564" t="s">
        <v>1293</v>
      </c>
      <c r="F564" t="s">
        <v>1318</v>
      </c>
      <c r="G564">
        <v>963.81</v>
      </c>
      <c r="H564">
        <v>1280.8499999999999</v>
      </c>
      <c r="I564">
        <v>-192.13</v>
      </c>
      <c r="J564">
        <v>1042.72</v>
      </c>
      <c r="K564">
        <v>1472.98</v>
      </c>
      <c r="L564">
        <v>-78.910000000000082</v>
      </c>
    </row>
    <row r="565" spans="1:12" x14ac:dyDescent="0.3">
      <c r="A565" t="s">
        <v>573</v>
      </c>
      <c r="B565" t="s">
        <v>908</v>
      </c>
      <c r="C565" s="4" t="s">
        <v>965</v>
      </c>
      <c r="D565" t="s">
        <v>1291</v>
      </c>
      <c r="E565" t="s">
        <v>1295</v>
      </c>
      <c r="F565" t="s">
        <v>1329</v>
      </c>
      <c r="G565">
        <v>690.86</v>
      </c>
      <c r="H565">
        <v>827.06</v>
      </c>
      <c r="I565">
        <v>-124.06</v>
      </c>
      <c r="J565">
        <v>643.76</v>
      </c>
      <c r="K565">
        <v>951.11999999999989</v>
      </c>
      <c r="L565">
        <v>47.100000000000023</v>
      </c>
    </row>
    <row r="566" spans="1:12" x14ac:dyDescent="0.3">
      <c r="A566" t="s">
        <v>574</v>
      </c>
      <c r="B566" t="s">
        <v>854</v>
      </c>
      <c r="C566" s="4" t="s">
        <v>1112</v>
      </c>
      <c r="D566" t="s">
        <v>1291</v>
      </c>
      <c r="E566" t="s">
        <v>1294</v>
      </c>
      <c r="F566" t="s">
        <v>1333</v>
      </c>
      <c r="G566">
        <v>1074.71</v>
      </c>
      <c r="H566">
        <v>1355.26</v>
      </c>
      <c r="I566">
        <v>-203.29</v>
      </c>
      <c r="J566">
        <v>1057.42</v>
      </c>
      <c r="K566">
        <v>1558.55</v>
      </c>
      <c r="L566">
        <v>17.289999999999964</v>
      </c>
    </row>
    <row r="567" spans="1:12" x14ac:dyDescent="0.3">
      <c r="A567" t="s">
        <v>575</v>
      </c>
      <c r="B567" t="s">
        <v>855</v>
      </c>
      <c r="C567" s="4" t="s">
        <v>1141</v>
      </c>
      <c r="D567" t="s">
        <v>1291</v>
      </c>
      <c r="E567" t="s">
        <v>1296</v>
      </c>
      <c r="F567" t="s">
        <v>1308</v>
      </c>
      <c r="G567">
        <v>7867.01</v>
      </c>
      <c r="H567">
        <v>9721.69</v>
      </c>
      <c r="I567">
        <v>-1458.25</v>
      </c>
      <c r="J567">
        <v>8473.76</v>
      </c>
      <c r="K567">
        <v>11179.94</v>
      </c>
      <c r="L567">
        <v>-606.75</v>
      </c>
    </row>
    <row r="568" spans="1:12" x14ac:dyDescent="0.3">
      <c r="A568" t="s">
        <v>576</v>
      </c>
      <c r="B568" t="s">
        <v>794</v>
      </c>
      <c r="C568" s="4" t="s">
        <v>1240</v>
      </c>
      <c r="D568" t="s">
        <v>1292</v>
      </c>
      <c r="E568" t="s">
        <v>1299</v>
      </c>
      <c r="F568" t="s">
        <v>1311</v>
      </c>
      <c r="G568">
        <v>128.91999999999999</v>
      </c>
      <c r="H568">
        <v>158.66</v>
      </c>
      <c r="I568">
        <v>29.74</v>
      </c>
      <c r="J568">
        <v>154.16999999999999</v>
      </c>
      <c r="K568">
        <v>128.91999999999999</v>
      </c>
      <c r="L568">
        <v>-25.25</v>
      </c>
    </row>
    <row r="569" spans="1:12" x14ac:dyDescent="0.3">
      <c r="A569" t="s">
        <v>577</v>
      </c>
      <c r="B569" t="s">
        <v>786</v>
      </c>
      <c r="C569" s="4" t="s">
        <v>963</v>
      </c>
      <c r="D569" t="s">
        <v>1292</v>
      </c>
      <c r="E569" t="s">
        <v>1298</v>
      </c>
      <c r="F569" t="s">
        <v>1310</v>
      </c>
      <c r="G569">
        <v>35.76</v>
      </c>
      <c r="H569">
        <v>47.61</v>
      </c>
      <c r="I569">
        <v>11.85</v>
      </c>
      <c r="J569">
        <v>36.99</v>
      </c>
      <c r="K569">
        <v>35.76</v>
      </c>
      <c r="L569">
        <v>-1.230000000000004</v>
      </c>
    </row>
    <row r="570" spans="1:12" x14ac:dyDescent="0.3">
      <c r="A570" t="s">
        <v>578</v>
      </c>
      <c r="B570" t="s">
        <v>929</v>
      </c>
      <c r="C570" s="4" t="s">
        <v>1241</v>
      </c>
      <c r="D570" t="s">
        <v>1291</v>
      </c>
      <c r="E570" t="s">
        <v>1299</v>
      </c>
      <c r="F570" t="s">
        <v>1311</v>
      </c>
      <c r="G570">
        <v>679.28</v>
      </c>
      <c r="H570">
        <v>791.81</v>
      </c>
      <c r="I570">
        <v>-118.77</v>
      </c>
      <c r="J570">
        <v>652.57000000000005</v>
      </c>
      <c r="K570">
        <v>910.57999999999993</v>
      </c>
      <c r="L570">
        <v>26.709999999999923</v>
      </c>
    </row>
    <row r="571" spans="1:12" x14ac:dyDescent="0.3">
      <c r="A571" t="s">
        <v>579</v>
      </c>
      <c r="B571" t="s">
        <v>790</v>
      </c>
      <c r="C571" s="4" t="s">
        <v>1212</v>
      </c>
      <c r="D571" t="s">
        <v>1291</v>
      </c>
      <c r="E571" t="s">
        <v>1296</v>
      </c>
      <c r="F571" t="s">
        <v>1308</v>
      </c>
      <c r="G571">
        <v>1219.4163333333336</v>
      </c>
      <c r="H571">
        <v>129.55000000000001</v>
      </c>
      <c r="I571">
        <v>-19.43</v>
      </c>
      <c r="J571">
        <v>92.66</v>
      </c>
      <c r="K571">
        <v>148.98000000000002</v>
      </c>
      <c r="L571">
        <v>1126.7563333333335</v>
      </c>
    </row>
    <row r="572" spans="1:12" x14ac:dyDescent="0.3">
      <c r="A572" t="s">
        <v>580</v>
      </c>
      <c r="B572" t="s">
        <v>893</v>
      </c>
      <c r="C572" s="4" t="s">
        <v>957</v>
      </c>
      <c r="D572" t="s">
        <v>1292</v>
      </c>
      <c r="E572" t="s">
        <v>1297</v>
      </c>
      <c r="F572" t="s">
        <v>1319</v>
      </c>
      <c r="G572">
        <v>1018.57</v>
      </c>
      <c r="H572">
        <v>1304.3599999999999</v>
      </c>
      <c r="I572">
        <v>285.79000000000002</v>
      </c>
      <c r="J572">
        <v>1024.68</v>
      </c>
      <c r="K572">
        <v>1018.5699999999999</v>
      </c>
      <c r="L572">
        <v>-6.1100000000000136</v>
      </c>
    </row>
    <row r="573" spans="1:12" x14ac:dyDescent="0.3">
      <c r="A573" t="s">
        <v>581</v>
      </c>
      <c r="B573" t="s">
        <v>929</v>
      </c>
      <c r="C573" s="4" t="s">
        <v>1242</v>
      </c>
      <c r="D573" t="s">
        <v>1291</v>
      </c>
      <c r="E573" t="s">
        <v>1296</v>
      </c>
      <c r="F573" t="s">
        <v>1308</v>
      </c>
      <c r="G573">
        <v>5219.7</v>
      </c>
      <c r="H573">
        <v>7225.42</v>
      </c>
      <c r="I573">
        <v>-1083.81</v>
      </c>
      <c r="J573">
        <v>6086.8</v>
      </c>
      <c r="K573">
        <v>8309.23</v>
      </c>
      <c r="L573">
        <v>-867.10000000000036</v>
      </c>
    </row>
    <row r="574" spans="1:12" x14ac:dyDescent="0.3">
      <c r="A574" t="s">
        <v>582</v>
      </c>
      <c r="B574" t="s">
        <v>877</v>
      </c>
      <c r="C574" s="4" t="s">
        <v>1183</v>
      </c>
      <c r="D574" t="s">
        <v>1291</v>
      </c>
      <c r="E574" t="s">
        <v>1293</v>
      </c>
      <c r="F574" t="s">
        <v>1318</v>
      </c>
      <c r="G574">
        <v>1125.1199999999999</v>
      </c>
      <c r="H574">
        <v>1317.92</v>
      </c>
      <c r="I574">
        <v>-197.69</v>
      </c>
      <c r="J574">
        <v>1197.28</v>
      </c>
      <c r="K574">
        <v>1515.6100000000001</v>
      </c>
      <c r="L574">
        <v>-72.160000000000082</v>
      </c>
    </row>
    <row r="575" spans="1:12" x14ac:dyDescent="0.3">
      <c r="A575" t="s">
        <v>583</v>
      </c>
      <c r="B575" t="s">
        <v>863</v>
      </c>
      <c r="C575" s="4" t="s">
        <v>1243</v>
      </c>
      <c r="D575" t="s">
        <v>1292</v>
      </c>
      <c r="E575" t="s">
        <v>1294</v>
      </c>
      <c r="F575" t="s">
        <v>1314</v>
      </c>
      <c r="G575">
        <v>936.01</v>
      </c>
      <c r="H575">
        <v>1082.6300000000001</v>
      </c>
      <c r="I575">
        <v>146.62</v>
      </c>
      <c r="J575">
        <v>888.27</v>
      </c>
      <c r="K575">
        <v>936.0100000000001</v>
      </c>
      <c r="L575">
        <v>47.740000000000009</v>
      </c>
    </row>
    <row r="576" spans="1:12" x14ac:dyDescent="0.3">
      <c r="A576" t="s">
        <v>584</v>
      </c>
      <c r="B576" t="s">
        <v>862</v>
      </c>
      <c r="C576" s="4" t="s">
        <v>1030</v>
      </c>
      <c r="D576" t="s">
        <v>1291</v>
      </c>
      <c r="E576" t="s">
        <v>1299</v>
      </c>
      <c r="F576" t="s">
        <v>1311</v>
      </c>
      <c r="G576">
        <v>372.44</v>
      </c>
      <c r="H576">
        <v>492.45</v>
      </c>
      <c r="I576">
        <v>-73.87</v>
      </c>
      <c r="J576">
        <v>358.85</v>
      </c>
      <c r="K576">
        <v>566.31999999999994</v>
      </c>
      <c r="L576">
        <v>13.589999999999975</v>
      </c>
    </row>
    <row r="577" spans="1:12" x14ac:dyDescent="0.3">
      <c r="A577" t="s">
        <v>585</v>
      </c>
      <c r="B577" t="s">
        <v>878</v>
      </c>
      <c r="C577" s="4" t="s">
        <v>1154</v>
      </c>
      <c r="D577" t="s">
        <v>1291</v>
      </c>
      <c r="E577" t="s">
        <v>1296</v>
      </c>
      <c r="F577" t="s">
        <v>1308</v>
      </c>
      <c r="G577">
        <v>6412.51</v>
      </c>
      <c r="H577">
        <v>8240.7900000000009</v>
      </c>
      <c r="I577">
        <v>-1236.1199999999999</v>
      </c>
      <c r="J577">
        <v>6553.18</v>
      </c>
      <c r="K577">
        <v>9476.91</v>
      </c>
      <c r="L577">
        <v>-140.67000000000007</v>
      </c>
    </row>
    <row r="578" spans="1:12" x14ac:dyDescent="0.3">
      <c r="A578" t="s">
        <v>586</v>
      </c>
      <c r="B578" t="s">
        <v>875</v>
      </c>
      <c r="C578" s="4" t="s">
        <v>1065</v>
      </c>
      <c r="D578" t="s">
        <v>1292</v>
      </c>
      <c r="E578" t="s">
        <v>1298</v>
      </c>
      <c r="F578" t="s">
        <v>1317</v>
      </c>
      <c r="G578">
        <v>512.92999999999995</v>
      </c>
      <c r="H578">
        <v>681.79</v>
      </c>
      <c r="I578">
        <v>168.86</v>
      </c>
      <c r="J578">
        <v>569.72</v>
      </c>
      <c r="K578">
        <v>512.92999999999995</v>
      </c>
      <c r="L578">
        <v>-56.790000000000077</v>
      </c>
    </row>
    <row r="579" spans="1:12" x14ac:dyDescent="0.3">
      <c r="A579" t="s">
        <v>587</v>
      </c>
      <c r="B579" t="s">
        <v>803</v>
      </c>
      <c r="C579" s="4" t="s">
        <v>1230</v>
      </c>
      <c r="D579" t="s">
        <v>1292</v>
      </c>
      <c r="E579" t="s">
        <v>1298</v>
      </c>
      <c r="F579" t="s">
        <v>1310</v>
      </c>
      <c r="G579">
        <v>984.25</v>
      </c>
      <c r="H579">
        <v>1217.95</v>
      </c>
      <c r="I579">
        <v>233.7</v>
      </c>
      <c r="J579">
        <v>1084.45</v>
      </c>
      <c r="K579">
        <v>984.25</v>
      </c>
      <c r="L579">
        <v>-100.20000000000005</v>
      </c>
    </row>
    <row r="580" spans="1:12" x14ac:dyDescent="0.3">
      <c r="A580" t="s">
        <v>588</v>
      </c>
      <c r="B580" t="s">
        <v>840</v>
      </c>
      <c r="C580" s="4" t="s">
        <v>1244</v>
      </c>
      <c r="D580" t="s">
        <v>1292</v>
      </c>
      <c r="E580" t="s">
        <v>1295</v>
      </c>
      <c r="F580" t="s">
        <v>1304</v>
      </c>
      <c r="G580">
        <v>360.49</v>
      </c>
      <c r="H580">
        <v>425.08</v>
      </c>
      <c r="I580">
        <v>64.59</v>
      </c>
      <c r="J580">
        <v>335.53</v>
      </c>
      <c r="K580">
        <v>360.49</v>
      </c>
      <c r="L580">
        <v>24.960000000000036</v>
      </c>
    </row>
    <row r="581" spans="1:12" x14ac:dyDescent="0.3">
      <c r="A581" t="s">
        <v>589</v>
      </c>
      <c r="B581" t="s">
        <v>811</v>
      </c>
      <c r="C581" s="4" t="s">
        <v>1065</v>
      </c>
      <c r="D581" t="s">
        <v>1292</v>
      </c>
      <c r="E581" t="s">
        <v>1297</v>
      </c>
      <c r="F581" t="s">
        <v>1319</v>
      </c>
      <c r="G581">
        <v>426.93</v>
      </c>
      <c r="H581">
        <v>525.41999999999996</v>
      </c>
      <c r="I581">
        <v>98.49</v>
      </c>
      <c r="J581">
        <v>490.21</v>
      </c>
      <c r="K581">
        <v>426.92999999999995</v>
      </c>
      <c r="L581">
        <v>-63.279999999999973</v>
      </c>
    </row>
    <row r="582" spans="1:12" x14ac:dyDescent="0.3">
      <c r="A582" t="s">
        <v>590</v>
      </c>
      <c r="B582" t="s">
        <v>902</v>
      </c>
      <c r="C582" s="4" t="s">
        <v>982</v>
      </c>
      <c r="D582" t="s">
        <v>1291</v>
      </c>
      <c r="E582" t="s">
        <v>1299</v>
      </c>
      <c r="F582" t="s">
        <v>1334</v>
      </c>
      <c r="G582">
        <v>84.04</v>
      </c>
      <c r="H582">
        <v>104.72</v>
      </c>
      <c r="I582">
        <v>-15.71</v>
      </c>
      <c r="J582">
        <v>95.36</v>
      </c>
      <c r="K582">
        <v>120.43</v>
      </c>
      <c r="L582">
        <v>-11.319999999999993</v>
      </c>
    </row>
    <row r="583" spans="1:12" x14ac:dyDescent="0.3">
      <c r="A583" t="s">
        <v>591</v>
      </c>
      <c r="B583" t="s">
        <v>840</v>
      </c>
      <c r="C583" s="4" t="s">
        <v>1245</v>
      </c>
      <c r="D583" t="s">
        <v>1291</v>
      </c>
      <c r="E583" t="s">
        <v>1294</v>
      </c>
      <c r="F583" t="s">
        <v>1314</v>
      </c>
      <c r="G583">
        <v>448.16</v>
      </c>
      <c r="H583">
        <v>521.94000000000005</v>
      </c>
      <c r="I583">
        <v>-78.290000000000006</v>
      </c>
      <c r="J583">
        <v>451.51</v>
      </c>
      <c r="K583">
        <v>600.23</v>
      </c>
      <c r="L583">
        <v>-3.3499999999999659</v>
      </c>
    </row>
    <row r="584" spans="1:12" x14ac:dyDescent="0.3">
      <c r="A584" t="s">
        <v>592</v>
      </c>
      <c r="B584" t="s">
        <v>878</v>
      </c>
      <c r="C584" s="4" t="s">
        <v>1246</v>
      </c>
      <c r="D584" t="s">
        <v>1292</v>
      </c>
      <c r="E584" t="s">
        <v>1294</v>
      </c>
      <c r="F584" t="s">
        <v>1333</v>
      </c>
      <c r="G584">
        <v>835.4</v>
      </c>
      <c r="H584">
        <v>987.23</v>
      </c>
      <c r="I584">
        <v>151.83000000000001</v>
      </c>
      <c r="J584">
        <v>769.2</v>
      </c>
      <c r="K584">
        <v>835.4</v>
      </c>
      <c r="L584">
        <v>66.199999999999932</v>
      </c>
    </row>
    <row r="585" spans="1:12" x14ac:dyDescent="0.3">
      <c r="A585" t="s">
        <v>593</v>
      </c>
      <c r="B585" t="s">
        <v>925</v>
      </c>
      <c r="C585" s="4" t="s">
        <v>1048</v>
      </c>
      <c r="D585" t="s">
        <v>1291</v>
      </c>
      <c r="E585" t="s">
        <v>1295</v>
      </c>
      <c r="F585" t="s">
        <v>1313</v>
      </c>
      <c r="G585">
        <v>164.4</v>
      </c>
      <c r="H585">
        <v>219.37</v>
      </c>
      <c r="I585">
        <v>-32.909999999999997</v>
      </c>
      <c r="J585">
        <v>189.79</v>
      </c>
      <c r="K585">
        <v>252.28</v>
      </c>
      <c r="L585">
        <v>-25.389999999999986</v>
      </c>
    </row>
    <row r="586" spans="1:12" x14ac:dyDescent="0.3">
      <c r="A586" t="s">
        <v>594</v>
      </c>
      <c r="B586" t="s">
        <v>917</v>
      </c>
      <c r="C586" s="4" t="s">
        <v>1000</v>
      </c>
      <c r="D586" t="s">
        <v>1291</v>
      </c>
      <c r="E586" t="s">
        <v>1294</v>
      </c>
      <c r="F586" t="s">
        <v>1301</v>
      </c>
      <c r="G586">
        <v>614.09</v>
      </c>
      <c r="H586">
        <v>706.57</v>
      </c>
      <c r="I586">
        <v>-105.99</v>
      </c>
      <c r="J586">
        <v>587.09</v>
      </c>
      <c r="K586">
        <v>812.56000000000006</v>
      </c>
      <c r="L586">
        <v>27</v>
      </c>
    </row>
    <row r="587" spans="1:12" x14ac:dyDescent="0.3">
      <c r="A587" t="s">
        <v>595</v>
      </c>
      <c r="B587" t="s">
        <v>794</v>
      </c>
      <c r="C587" s="4" t="s">
        <v>1131</v>
      </c>
      <c r="D587" t="s">
        <v>1292</v>
      </c>
      <c r="E587" t="s">
        <v>1299</v>
      </c>
      <c r="F587" t="s">
        <v>1334</v>
      </c>
      <c r="G587">
        <v>1069.32</v>
      </c>
      <c r="H587">
        <v>1447.19</v>
      </c>
      <c r="I587">
        <v>377.87</v>
      </c>
      <c r="J587">
        <v>1082.82</v>
      </c>
      <c r="K587">
        <v>1069.3200000000002</v>
      </c>
      <c r="L587">
        <v>-13.5</v>
      </c>
    </row>
    <row r="588" spans="1:12" x14ac:dyDescent="0.3">
      <c r="A588" t="s">
        <v>596</v>
      </c>
      <c r="B588" t="s">
        <v>812</v>
      </c>
      <c r="C588" s="4" t="s">
        <v>1247</v>
      </c>
      <c r="D588" t="s">
        <v>1292</v>
      </c>
      <c r="E588" t="s">
        <v>1299</v>
      </c>
      <c r="F588" t="s">
        <v>1312</v>
      </c>
      <c r="G588">
        <v>1152.31</v>
      </c>
      <c r="H588">
        <v>1512.49</v>
      </c>
      <c r="I588">
        <v>360.18</v>
      </c>
      <c r="J588">
        <v>1126.19</v>
      </c>
      <c r="K588">
        <v>1152.31</v>
      </c>
      <c r="L588">
        <v>26.119999999999891</v>
      </c>
    </row>
    <row r="589" spans="1:12" x14ac:dyDescent="0.3">
      <c r="A589" t="s">
        <v>597</v>
      </c>
      <c r="B589" t="s">
        <v>931</v>
      </c>
      <c r="C589" s="4" t="s">
        <v>1141</v>
      </c>
      <c r="D589" t="s">
        <v>1292</v>
      </c>
      <c r="E589" t="s">
        <v>1298</v>
      </c>
      <c r="F589" t="s">
        <v>1317</v>
      </c>
      <c r="G589">
        <v>359.23</v>
      </c>
      <c r="H589">
        <v>415.49</v>
      </c>
      <c r="I589">
        <v>56.26</v>
      </c>
      <c r="J589">
        <v>340.07</v>
      </c>
      <c r="K589">
        <v>359.23</v>
      </c>
      <c r="L589">
        <v>19.160000000000025</v>
      </c>
    </row>
    <row r="590" spans="1:12" x14ac:dyDescent="0.3">
      <c r="A590" t="s">
        <v>598</v>
      </c>
      <c r="B590" t="s">
        <v>868</v>
      </c>
      <c r="C590" s="4" t="s">
        <v>984</v>
      </c>
      <c r="D590" t="s">
        <v>1292</v>
      </c>
      <c r="E590" t="s">
        <v>1297</v>
      </c>
      <c r="F590" t="s">
        <v>1331</v>
      </c>
      <c r="G590">
        <v>1219.4163333333336</v>
      </c>
      <c r="H590">
        <v>136.46</v>
      </c>
      <c r="I590">
        <v>36.46</v>
      </c>
      <c r="J590">
        <v>105.02</v>
      </c>
      <c r="K590">
        <v>100</v>
      </c>
      <c r="L590">
        <v>1114.3963333333336</v>
      </c>
    </row>
    <row r="591" spans="1:12" x14ac:dyDescent="0.3">
      <c r="A591" t="s">
        <v>599</v>
      </c>
      <c r="B591" t="s">
        <v>799</v>
      </c>
      <c r="C591" s="4" t="s">
        <v>1159</v>
      </c>
      <c r="D591" t="s">
        <v>1291</v>
      </c>
      <c r="E591" t="s">
        <v>1297</v>
      </c>
      <c r="F591" t="s">
        <v>1331</v>
      </c>
      <c r="G591">
        <v>123.94</v>
      </c>
      <c r="H591">
        <v>168.04</v>
      </c>
      <c r="I591">
        <v>-25.21</v>
      </c>
      <c r="J591">
        <v>139.03</v>
      </c>
      <c r="K591">
        <v>193.25</v>
      </c>
      <c r="L591">
        <v>-15.090000000000003</v>
      </c>
    </row>
    <row r="592" spans="1:12" x14ac:dyDescent="0.3">
      <c r="A592" t="s">
        <v>600</v>
      </c>
      <c r="B592" t="s">
        <v>875</v>
      </c>
      <c r="C592" s="4" t="s">
        <v>1144</v>
      </c>
      <c r="D592" t="s">
        <v>1291</v>
      </c>
      <c r="E592" t="s">
        <v>1293</v>
      </c>
      <c r="F592" t="s">
        <v>1300</v>
      </c>
      <c r="G592">
        <v>1140.6300000000001</v>
      </c>
      <c r="H592">
        <v>1565.55</v>
      </c>
      <c r="I592">
        <v>-234.83</v>
      </c>
      <c r="J592">
        <v>1076.53</v>
      </c>
      <c r="K592">
        <v>1800.3799999999999</v>
      </c>
      <c r="L592">
        <v>64.100000000000136</v>
      </c>
    </row>
    <row r="593" spans="1:12" x14ac:dyDescent="0.3">
      <c r="A593" t="s">
        <v>601</v>
      </c>
      <c r="B593" t="s">
        <v>901</v>
      </c>
      <c r="C593" s="4" t="s">
        <v>974</v>
      </c>
      <c r="D593" t="s">
        <v>1292</v>
      </c>
      <c r="E593" t="s">
        <v>1293</v>
      </c>
      <c r="F593" t="s">
        <v>1320</v>
      </c>
      <c r="G593">
        <v>532.64</v>
      </c>
      <c r="H593">
        <v>691.44</v>
      </c>
      <c r="I593">
        <v>158.80000000000001</v>
      </c>
      <c r="J593">
        <v>558.63</v>
      </c>
      <c r="K593">
        <v>532.6400000000001</v>
      </c>
      <c r="L593">
        <v>-25.990000000000009</v>
      </c>
    </row>
    <row r="594" spans="1:12" x14ac:dyDescent="0.3">
      <c r="A594" t="s">
        <v>602</v>
      </c>
      <c r="B594" t="s">
        <v>833</v>
      </c>
      <c r="C594" s="4" t="s">
        <v>1248</v>
      </c>
      <c r="D594" t="s">
        <v>1292</v>
      </c>
      <c r="E594" t="s">
        <v>1293</v>
      </c>
      <c r="F594" t="s">
        <v>1320</v>
      </c>
      <c r="G594">
        <v>996.28</v>
      </c>
      <c r="H594">
        <v>1261.3800000000001</v>
      </c>
      <c r="I594">
        <v>265.10000000000002</v>
      </c>
      <c r="J594">
        <v>1149.1500000000001</v>
      </c>
      <c r="K594">
        <v>996.28000000000009</v>
      </c>
      <c r="L594">
        <v>-152.87000000000012</v>
      </c>
    </row>
    <row r="595" spans="1:12" x14ac:dyDescent="0.3">
      <c r="A595" t="s">
        <v>603</v>
      </c>
      <c r="B595" t="s">
        <v>881</v>
      </c>
      <c r="C595" s="4" t="s">
        <v>1128</v>
      </c>
      <c r="D595" t="s">
        <v>1291</v>
      </c>
      <c r="E595" t="s">
        <v>1299</v>
      </c>
      <c r="F595" t="s">
        <v>1312</v>
      </c>
      <c r="G595">
        <v>1131.46</v>
      </c>
      <c r="H595">
        <v>1572.98</v>
      </c>
      <c r="I595">
        <v>-235.95</v>
      </c>
      <c r="J595">
        <v>1332.68</v>
      </c>
      <c r="K595">
        <v>1808.93</v>
      </c>
      <c r="L595">
        <v>-201.22000000000003</v>
      </c>
    </row>
    <row r="596" spans="1:12" x14ac:dyDescent="0.3">
      <c r="A596" t="s">
        <v>604</v>
      </c>
      <c r="B596" t="s">
        <v>786</v>
      </c>
      <c r="C596" s="4" t="s">
        <v>1070</v>
      </c>
      <c r="D596" t="s">
        <v>1292</v>
      </c>
      <c r="E596" t="s">
        <v>1293</v>
      </c>
      <c r="F596" t="s">
        <v>1320</v>
      </c>
      <c r="G596">
        <v>758.21</v>
      </c>
      <c r="H596">
        <v>1053.03</v>
      </c>
      <c r="I596">
        <v>294.82</v>
      </c>
      <c r="J596">
        <v>770.96</v>
      </c>
      <c r="K596">
        <v>758.21</v>
      </c>
      <c r="L596">
        <v>-12.75</v>
      </c>
    </row>
    <row r="597" spans="1:12" x14ac:dyDescent="0.3">
      <c r="A597" t="s">
        <v>605</v>
      </c>
      <c r="B597" t="s">
        <v>842</v>
      </c>
      <c r="C597" s="4" t="s">
        <v>1249</v>
      </c>
      <c r="D597" t="s">
        <v>1291</v>
      </c>
      <c r="E597" t="s">
        <v>1295</v>
      </c>
      <c r="F597" t="s">
        <v>1329</v>
      </c>
      <c r="G597">
        <v>1112.56</v>
      </c>
      <c r="H597">
        <v>1279.53</v>
      </c>
      <c r="I597">
        <v>-191.93</v>
      </c>
      <c r="J597">
        <v>1276.5999999999999</v>
      </c>
      <c r="K597">
        <v>1471.46</v>
      </c>
      <c r="L597">
        <v>-164.03999999999996</v>
      </c>
    </row>
    <row r="598" spans="1:12" x14ac:dyDescent="0.3">
      <c r="A598" t="s">
        <v>606</v>
      </c>
      <c r="B598" t="s">
        <v>813</v>
      </c>
      <c r="C598" s="4" t="s">
        <v>1250</v>
      </c>
      <c r="D598" t="s">
        <v>1292</v>
      </c>
      <c r="E598" t="s">
        <v>1299</v>
      </c>
      <c r="F598" t="s">
        <v>1312</v>
      </c>
      <c r="G598">
        <v>868.17</v>
      </c>
      <c r="H598">
        <v>1159.98</v>
      </c>
      <c r="I598">
        <v>291.81</v>
      </c>
      <c r="J598">
        <v>826.98</v>
      </c>
      <c r="K598">
        <v>868.17000000000007</v>
      </c>
      <c r="L598">
        <v>41.189999999999941</v>
      </c>
    </row>
    <row r="599" spans="1:12" x14ac:dyDescent="0.3">
      <c r="A599" t="s">
        <v>607</v>
      </c>
      <c r="B599" t="s">
        <v>858</v>
      </c>
      <c r="C599" s="4" t="s">
        <v>985</v>
      </c>
      <c r="D599" t="s">
        <v>1292</v>
      </c>
      <c r="E599" t="s">
        <v>1293</v>
      </c>
      <c r="F599" t="s">
        <v>1320</v>
      </c>
      <c r="G599">
        <v>990.97</v>
      </c>
      <c r="H599">
        <v>1315.85</v>
      </c>
      <c r="I599">
        <v>324.88</v>
      </c>
      <c r="J599">
        <v>1134.78</v>
      </c>
      <c r="K599">
        <v>990.96999999999991</v>
      </c>
      <c r="L599">
        <v>-143.80999999999995</v>
      </c>
    </row>
    <row r="600" spans="1:12" x14ac:dyDescent="0.3">
      <c r="A600" t="s">
        <v>608</v>
      </c>
      <c r="B600" t="s">
        <v>800</v>
      </c>
      <c r="C600" s="4" t="s">
        <v>1251</v>
      </c>
      <c r="D600" t="s">
        <v>1291</v>
      </c>
      <c r="E600" t="s">
        <v>1298</v>
      </c>
      <c r="F600" t="s">
        <v>1317</v>
      </c>
      <c r="G600">
        <v>37.39</v>
      </c>
      <c r="H600">
        <v>46.21</v>
      </c>
      <c r="I600">
        <v>-6.93</v>
      </c>
      <c r="J600">
        <v>34.770000000000003</v>
      </c>
      <c r="K600">
        <v>53.14</v>
      </c>
      <c r="L600">
        <v>2.6199999999999974</v>
      </c>
    </row>
    <row r="601" spans="1:12" x14ac:dyDescent="0.3">
      <c r="A601" t="s">
        <v>609</v>
      </c>
      <c r="B601" t="s">
        <v>882</v>
      </c>
      <c r="C601" s="4" t="s">
        <v>951</v>
      </c>
      <c r="D601" t="s">
        <v>1291</v>
      </c>
      <c r="E601" t="s">
        <v>1298</v>
      </c>
      <c r="F601" t="s">
        <v>1306</v>
      </c>
      <c r="G601">
        <v>114.14</v>
      </c>
      <c r="H601">
        <v>138.5</v>
      </c>
      <c r="I601">
        <v>-20.77</v>
      </c>
      <c r="J601">
        <v>121.53</v>
      </c>
      <c r="K601">
        <v>159.27000000000001</v>
      </c>
      <c r="L601">
        <v>-7.3900000000000006</v>
      </c>
    </row>
    <row r="602" spans="1:12" x14ac:dyDescent="0.3">
      <c r="A602" t="s">
        <v>610</v>
      </c>
      <c r="B602" t="s">
        <v>814</v>
      </c>
      <c r="C602" s="4" t="s">
        <v>964</v>
      </c>
      <c r="D602" t="s">
        <v>1291</v>
      </c>
      <c r="E602" t="s">
        <v>1293</v>
      </c>
      <c r="F602" t="s">
        <v>1318</v>
      </c>
      <c r="G602">
        <v>138.80000000000001</v>
      </c>
      <c r="H602">
        <v>190.33</v>
      </c>
      <c r="I602">
        <v>-28.55</v>
      </c>
      <c r="J602">
        <v>125.63</v>
      </c>
      <c r="K602">
        <v>218.88000000000002</v>
      </c>
      <c r="L602">
        <v>13.170000000000016</v>
      </c>
    </row>
    <row r="603" spans="1:12" x14ac:dyDescent="0.3">
      <c r="A603" t="s">
        <v>611</v>
      </c>
      <c r="B603" t="s">
        <v>916</v>
      </c>
      <c r="C603" s="4" t="s">
        <v>1101</v>
      </c>
      <c r="D603" t="s">
        <v>1292</v>
      </c>
      <c r="E603" t="s">
        <v>1297</v>
      </c>
      <c r="F603" t="s">
        <v>1309</v>
      </c>
      <c r="G603">
        <v>18.670000000000002</v>
      </c>
      <c r="H603">
        <v>23.75</v>
      </c>
      <c r="I603">
        <v>5.08</v>
      </c>
      <c r="J603">
        <v>20.8</v>
      </c>
      <c r="K603">
        <v>18.670000000000002</v>
      </c>
      <c r="L603">
        <v>-2.129999999999999</v>
      </c>
    </row>
    <row r="604" spans="1:12" x14ac:dyDescent="0.3">
      <c r="A604" t="s">
        <v>612</v>
      </c>
      <c r="B604" t="s">
        <v>801</v>
      </c>
      <c r="C604" s="4" t="s">
        <v>969</v>
      </c>
      <c r="D604" t="s">
        <v>1292</v>
      </c>
      <c r="E604" t="s">
        <v>1296</v>
      </c>
      <c r="F604" t="s">
        <v>1308</v>
      </c>
      <c r="G604">
        <v>9261.5</v>
      </c>
      <c r="H604">
        <v>11015.41</v>
      </c>
      <c r="I604">
        <v>1753.91</v>
      </c>
      <c r="J604">
        <v>10753.66</v>
      </c>
      <c r="K604">
        <v>9261.5</v>
      </c>
      <c r="L604">
        <v>-1492.1599999999999</v>
      </c>
    </row>
    <row r="605" spans="1:12" x14ac:dyDescent="0.3">
      <c r="A605" t="s">
        <v>613</v>
      </c>
      <c r="B605" t="s">
        <v>919</v>
      </c>
      <c r="C605" s="4" t="s">
        <v>948</v>
      </c>
      <c r="D605" t="s">
        <v>1292</v>
      </c>
      <c r="E605" t="s">
        <v>1299</v>
      </c>
      <c r="F605" t="s">
        <v>1334</v>
      </c>
      <c r="G605">
        <v>1041.8</v>
      </c>
      <c r="H605">
        <v>1261.92</v>
      </c>
      <c r="I605">
        <v>-44.182985074626863</v>
      </c>
      <c r="J605">
        <v>1060.04</v>
      </c>
      <c r="K605">
        <v>1306.102985074627</v>
      </c>
      <c r="L605">
        <v>-18.240000000000009</v>
      </c>
    </row>
    <row r="606" spans="1:12" x14ac:dyDescent="0.3">
      <c r="A606" t="s">
        <v>614</v>
      </c>
      <c r="B606" t="s">
        <v>855</v>
      </c>
      <c r="C606" s="4" t="s">
        <v>1120</v>
      </c>
      <c r="D606" t="s">
        <v>1291</v>
      </c>
      <c r="E606" t="s">
        <v>1298</v>
      </c>
      <c r="F606" t="s">
        <v>1310</v>
      </c>
      <c r="G606">
        <v>777.87</v>
      </c>
      <c r="H606">
        <v>936.7</v>
      </c>
      <c r="I606">
        <v>-140.5</v>
      </c>
      <c r="J606">
        <v>726.7</v>
      </c>
      <c r="K606">
        <v>1077.2</v>
      </c>
      <c r="L606">
        <v>51.169999999999959</v>
      </c>
    </row>
    <row r="607" spans="1:12" x14ac:dyDescent="0.3">
      <c r="A607" t="s">
        <v>615</v>
      </c>
      <c r="B607" t="s">
        <v>932</v>
      </c>
      <c r="C607" s="4" t="s">
        <v>1252</v>
      </c>
      <c r="D607" t="s">
        <v>1291</v>
      </c>
      <c r="E607" t="s">
        <v>1295</v>
      </c>
      <c r="F607" t="s">
        <v>1329</v>
      </c>
      <c r="G607">
        <v>1065.3900000000001</v>
      </c>
      <c r="H607">
        <v>1357.37</v>
      </c>
      <c r="I607">
        <v>-203.61</v>
      </c>
      <c r="J607">
        <v>1130.83</v>
      </c>
      <c r="K607">
        <v>1560.98</v>
      </c>
      <c r="L607">
        <v>-65.439999999999827</v>
      </c>
    </row>
    <row r="608" spans="1:12" x14ac:dyDescent="0.3">
      <c r="A608" t="s">
        <v>616</v>
      </c>
      <c r="B608" t="s">
        <v>790</v>
      </c>
      <c r="C608" s="4" t="s">
        <v>1062</v>
      </c>
      <c r="D608" t="s">
        <v>1292</v>
      </c>
      <c r="E608" t="s">
        <v>1298</v>
      </c>
      <c r="F608" t="s">
        <v>1306</v>
      </c>
      <c r="G608">
        <v>632.51</v>
      </c>
      <c r="H608">
        <v>809.24</v>
      </c>
      <c r="I608">
        <v>176.73</v>
      </c>
      <c r="J608">
        <v>576.95000000000005</v>
      </c>
      <c r="K608">
        <v>632.51</v>
      </c>
      <c r="L608">
        <v>55.559999999999945</v>
      </c>
    </row>
    <row r="609" spans="1:12" x14ac:dyDescent="0.3">
      <c r="A609" t="s">
        <v>617</v>
      </c>
      <c r="B609" t="s">
        <v>869</v>
      </c>
      <c r="C609" s="4" t="s">
        <v>1253</v>
      </c>
      <c r="D609" t="s">
        <v>1292</v>
      </c>
      <c r="E609" t="s">
        <v>1299</v>
      </c>
      <c r="F609" t="s">
        <v>1312</v>
      </c>
      <c r="G609">
        <v>226.44</v>
      </c>
      <c r="H609">
        <v>308.77999999999997</v>
      </c>
      <c r="I609">
        <v>82.34</v>
      </c>
      <c r="J609">
        <v>221.4</v>
      </c>
      <c r="K609">
        <v>226.43999999999997</v>
      </c>
      <c r="L609">
        <v>5.039999999999992</v>
      </c>
    </row>
    <row r="610" spans="1:12" x14ac:dyDescent="0.3">
      <c r="A610" t="s">
        <v>618</v>
      </c>
      <c r="B610" t="s">
        <v>791</v>
      </c>
      <c r="C610" s="4" t="s">
        <v>1138</v>
      </c>
      <c r="D610" t="s">
        <v>1292</v>
      </c>
      <c r="E610" t="s">
        <v>1298</v>
      </c>
      <c r="F610" t="s">
        <v>1306</v>
      </c>
      <c r="G610">
        <v>19.260000000000002</v>
      </c>
      <c r="H610">
        <v>24.99</v>
      </c>
      <c r="I610">
        <v>5.73</v>
      </c>
      <c r="J610">
        <v>17.440000000000001</v>
      </c>
      <c r="K610">
        <v>19.259999999999998</v>
      </c>
      <c r="L610">
        <v>1.8200000000000003</v>
      </c>
    </row>
    <row r="611" spans="1:12" x14ac:dyDescent="0.3">
      <c r="A611" t="s">
        <v>619</v>
      </c>
      <c r="B611" t="s">
        <v>899</v>
      </c>
      <c r="C611" s="4" t="s">
        <v>1214</v>
      </c>
      <c r="D611" t="s">
        <v>1292</v>
      </c>
      <c r="E611" t="s">
        <v>1298</v>
      </c>
      <c r="F611" t="s">
        <v>1306</v>
      </c>
      <c r="G611">
        <v>1152.27</v>
      </c>
      <c r="H611">
        <v>1364.85</v>
      </c>
      <c r="I611">
        <v>212.58</v>
      </c>
      <c r="J611">
        <v>1363.66</v>
      </c>
      <c r="K611">
        <v>1152.27</v>
      </c>
      <c r="L611">
        <v>-211.3900000000001</v>
      </c>
    </row>
    <row r="612" spans="1:12" x14ac:dyDescent="0.3">
      <c r="A612" t="s">
        <v>620</v>
      </c>
      <c r="B612" t="s">
        <v>843</v>
      </c>
      <c r="C612" s="4" t="s">
        <v>1208</v>
      </c>
      <c r="D612" t="s">
        <v>1292</v>
      </c>
      <c r="E612" t="s">
        <v>1298</v>
      </c>
      <c r="F612" t="s">
        <v>1310</v>
      </c>
      <c r="G612">
        <v>1023.62</v>
      </c>
      <c r="H612">
        <v>1324.44</v>
      </c>
      <c r="I612">
        <v>300.82</v>
      </c>
      <c r="J612">
        <v>1173.53</v>
      </c>
      <c r="K612">
        <v>1023.6200000000001</v>
      </c>
      <c r="L612">
        <v>-149.90999999999997</v>
      </c>
    </row>
    <row r="613" spans="1:12" x14ac:dyDescent="0.3">
      <c r="A613" t="s">
        <v>621</v>
      </c>
      <c r="B613" t="s">
        <v>871</v>
      </c>
      <c r="C613" s="4" t="s">
        <v>1181</v>
      </c>
      <c r="D613" t="s">
        <v>1291</v>
      </c>
      <c r="E613" t="s">
        <v>1296</v>
      </c>
      <c r="F613" t="s">
        <v>1308</v>
      </c>
      <c r="G613">
        <v>6977.93</v>
      </c>
      <c r="H613">
        <v>8814.48</v>
      </c>
      <c r="I613">
        <v>-1322.17</v>
      </c>
      <c r="J613">
        <v>7907.15</v>
      </c>
      <c r="K613">
        <v>10136.65</v>
      </c>
      <c r="L613">
        <v>-929.21999999999935</v>
      </c>
    </row>
    <row r="614" spans="1:12" x14ac:dyDescent="0.3">
      <c r="A614" t="s">
        <v>622</v>
      </c>
      <c r="B614" t="s">
        <v>816</v>
      </c>
      <c r="C614" s="4" t="s">
        <v>1120</v>
      </c>
      <c r="D614" t="s">
        <v>1292</v>
      </c>
      <c r="E614" t="s">
        <v>1293</v>
      </c>
      <c r="F614" t="s">
        <v>1320</v>
      </c>
      <c r="G614">
        <v>456.51</v>
      </c>
      <c r="H614">
        <v>595.46</v>
      </c>
      <c r="I614">
        <v>138.94999999999999</v>
      </c>
      <c r="J614">
        <v>541.96</v>
      </c>
      <c r="K614">
        <v>456.51000000000005</v>
      </c>
      <c r="L614">
        <v>-85.450000000000045</v>
      </c>
    </row>
    <row r="615" spans="1:12" x14ac:dyDescent="0.3">
      <c r="A615" t="s">
        <v>623</v>
      </c>
      <c r="B615" t="s">
        <v>814</v>
      </c>
      <c r="C615" s="4" t="s">
        <v>1254</v>
      </c>
      <c r="D615" t="s">
        <v>1291</v>
      </c>
      <c r="E615" t="s">
        <v>1296</v>
      </c>
      <c r="F615" t="s">
        <v>1332</v>
      </c>
      <c r="G615">
        <v>7743.41</v>
      </c>
      <c r="H615">
        <v>9319.61</v>
      </c>
      <c r="I615">
        <v>-1397.94</v>
      </c>
      <c r="J615">
        <v>9164.1</v>
      </c>
      <c r="K615">
        <v>10717.550000000001</v>
      </c>
      <c r="L615">
        <v>-1420.6900000000005</v>
      </c>
    </row>
    <row r="616" spans="1:12" x14ac:dyDescent="0.3">
      <c r="A616" t="s">
        <v>624</v>
      </c>
      <c r="B616" t="s">
        <v>913</v>
      </c>
      <c r="C616" s="4" t="s">
        <v>1179</v>
      </c>
      <c r="D616" t="s">
        <v>1292</v>
      </c>
      <c r="E616" t="s">
        <v>1294</v>
      </c>
      <c r="F616" t="s">
        <v>1333</v>
      </c>
      <c r="G616">
        <v>67.23</v>
      </c>
      <c r="H616">
        <v>90.88</v>
      </c>
      <c r="I616">
        <v>23.65</v>
      </c>
      <c r="J616">
        <v>69.959999999999994</v>
      </c>
      <c r="K616">
        <v>67.22999999999999</v>
      </c>
      <c r="L616">
        <v>-2.7299999999999898</v>
      </c>
    </row>
    <row r="617" spans="1:12" x14ac:dyDescent="0.3">
      <c r="A617" t="s">
        <v>625</v>
      </c>
      <c r="B617" t="s">
        <v>916</v>
      </c>
      <c r="C617" s="4" t="s">
        <v>1182</v>
      </c>
      <c r="D617" t="s">
        <v>1291</v>
      </c>
      <c r="E617" t="s">
        <v>1296</v>
      </c>
      <c r="F617" t="s">
        <v>1332</v>
      </c>
      <c r="G617">
        <v>4142.87</v>
      </c>
      <c r="H617">
        <v>4800.0200000000004</v>
      </c>
      <c r="I617">
        <v>-720</v>
      </c>
      <c r="J617">
        <v>4874.88</v>
      </c>
      <c r="K617">
        <v>5520.02</v>
      </c>
      <c r="L617">
        <v>-732.01000000000022</v>
      </c>
    </row>
    <row r="618" spans="1:12" x14ac:dyDescent="0.3">
      <c r="A618" t="s">
        <v>626</v>
      </c>
      <c r="B618" t="s">
        <v>803</v>
      </c>
      <c r="C618" s="4" t="s">
        <v>961</v>
      </c>
      <c r="D618" t="s">
        <v>1292</v>
      </c>
      <c r="E618" t="s">
        <v>1294</v>
      </c>
      <c r="F618" t="s">
        <v>1301</v>
      </c>
      <c r="G618">
        <v>934.89</v>
      </c>
      <c r="H618">
        <v>1228.46</v>
      </c>
      <c r="I618">
        <v>293.57</v>
      </c>
      <c r="J618">
        <v>1066.33</v>
      </c>
      <c r="K618">
        <v>934.8900000000001</v>
      </c>
      <c r="L618">
        <v>-131.43999999999994</v>
      </c>
    </row>
    <row r="619" spans="1:12" x14ac:dyDescent="0.3">
      <c r="A619" t="s">
        <v>627</v>
      </c>
      <c r="B619" t="s">
        <v>817</v>
      </c>
      <c r="C619" s="4" t="s">
        <v>1245</v>
      </c>
      <c r="D619" t="s">
        <v>1291</v>
      </c>
      <c r="E619" t="s">
        <v>1296</v>
      </c>
      <c r="F619" t="s">
        <v>1308</v>
      </c>
      <c r="G619">
        <v>5009.82</v>
      </c>
      <c r="H619">
        <v>6897.12</v>
      </c>
      <c r="I619">
        <v>-1034.57</v>
      </c>
      <c r="J619">
        <v>5849.19</v>
      </c>
      <c r="K619">
        <v>7931.69</v>
      </c>
      <c r="L619">
        <v>-839.36999999999989</v>
      </c>
    </row>
    <row r="620" spans="1:12" x14ac:dyDescent="0.3">
      <c r="A620" t="s">
        <v>628</v>
      </c>
      <c r="B620" t="s">
        <v>887</v>
      </c>
      <c r="C620" s="4" t="s">
        <v>1255</v>
      </c>
      <c r="D620" t="s">
        <v>1292</v>
      </c>
      <c r="E620" t="s">
        <v>1293</v>
      </c>
      <c r="F620" t="s">
        <v>1320</v>
      </c>
      <c r="G620">
        <v>776.83</v>
      </c>
      <c r="H620">
        <v>1030.3800000000001</v>
      </c>
      <c r="I620">
        <v>253.55</v>
      </c>
      <c r="J620">
        <v>822.84</v>
      </c>
      <c r="K620">
        <v>776.83000000000015</v>
      </c>
      <c r="L620">
        <v>-46.009999999999991</v>
      </c>
    </row>
    <row r="621" spans="1:12" x14ac:dyDescent="0.3">
      <c r="A621" t="s">
        <v>629</v>
      </c>
      <c r="B621" t="s">
        <v>795</v>
      </c>
      <c r="C621" s="4" t="s">
        <v>1214</v>
      </c>
      <c r="D621" t="s">
        <v>1291</v>
      </c>
      <c r="E621" t="s">
        <v>1295</v>
      </c>
      <c r="F621" t="s">
        <v>1304</v>
      </c>
      <c r="G621">
        <v>722.42</v>
      </c>
      <c r="H621">
        <v>844.93</v>
      </c>
      <c r="I621">
        <v>-126.74</v>
      </c>
      <c r="J621">
        <v>787.81</v>
      </c>
      <c r="K621">
        <v>971.67</v>
      </c>
      <c r="L621">
        <v>-65.389999999999986</v>
      </c>
    </row>
    <row r="622" spans="1:12" x14ac:dyDescent="0.3">
      <c r="A622" t="s">
        <v>630</v>
      </c>
      <c r="B622" t="s">
        <v>931</v>
      </c>
      <c r="C622" s="4" t="s">
        <v>1105</v>
      </c>
      <c r="D622" t="s">
        <v>1291</v>
      </c>
      <c r="E622" t="s">
        <v>1298</v>
      </c>
      <c r="F622" t="s">
        <v>1310</v>
      </c>
      <c r="G622">
        <v>793.06</v>
      </c>
      <c r="H622">
        <v>923.7</v>
      </c>
      <c r="I622">
        <v>-138.56</v>
      </c>
      <c r="J622">
        <v>906.75</v>
      </c>
      <c r="K622">
        <v>1062.26</v>
      </c>
      <c r="L622">
        <v>-113.69000000000005</v>
      </c>
    </row>
    <row r="623" spans="1:12" x14ac:dyDescent="0.3">
      <c r="A623" t="s">
        <v>631</v>
      </c>
      <c r="B623" t="s">
        <v>862</v>
      </c>
      <c r="C623" s="4" t="s">
        <v>1216</v>
      </c>
      <c r="D623" t="s">
        <v>1291</v>
      </c>
      <c r="E623" t="s">
        <v>1298</v>
      </c>
      <c r="F623" t="s">
        <v>1317</v>
      </c>
      <c r="G623">
        <v>873.6</v>
      </c>
      <c r="H623">
        <v>1177.06</v>
      </c>
      <c r="I623">
        <v>-176.56</v>
      </c>
      <c r="J623">
        <v>1017.21</v>
      </c>
      <c r="K623">
        <v>1353.62</v>
      </c>
      <c r="L623">
        <v>-143.61000000000001</v>
      </c>
    </row>
    <row r="624" spans="1:12" x14ac:dyDescent="0.3">
      <c r="A624" t="s">
        <v>632</v>
      </c>
      <c r="B624" t="s">
        <v>861</v>
      </c>
      <c r="C624" s="4" t="s">
        <v>1256</v>
      </c>
      <c r="D624" t="s">
        <v>1291</v>
      </c>
      <c r="E624" t="s">
        <v>1294</v>
      </c>
      <c r="F624" t="s">
        <v>1314</v>
      </c>
      <c r="G624">
        <v>91.64</v>
      </c>
      <c r="H624">
        <v>127.55</v>
      </c>
      <c r="I624">
        <v>-19.13</v>
      </c>
      <c r="J624">
        <v>98.71</v>
      </c>
      <c r="K624">
        <v>146.68</v>
      </c>
      <c r="L624">
        <v>-7.0699999999999932</v>
      </c>
    </row>
    <row r="625" spans="1:12" x14ac:dyDescent="0.3">
      <c r="A625" t="s">
        <v>633</v>
      </c>
      <c r="B625" t="s">
        <v>846</v>
      </c>
      <c r="C625" s="4" t="s">
        <v>1223</v>
      </c>
      <c r="D625" t="s">
        <v>1292</v>
      </c>
      <c r="E625" t="s">
        <v>1299</v>
      </c>
      <c r="F625" t="s">
        <v>1311</v>
      </c>
      <c r="G625">
        <v>142.74</v>
      </c>
      <c r="H625">
        <v>187.58</v>
      </c>
      <c r="I625">
        <v>44.84</v>
      </c>
      <c r="J625">
        <v>149.19</v>
      </c>
      <c r="K625">
        <v>142.74</v>
      </c>
      <c r="L625">
        <v>-6.4499999999999886</v>
      </c>
    </row>
    <row r="626" spans="1:12" x14ac:dyDescent="0.3">
      <c r="A626" t="s">
        <v>634</v>
      </c>
      <c r="B626" t="s">
        <v>932</v>
      </c>
      <c r="C626" s="4" t="s">
        <v>1151</v>
      </c>
      <c r="D626" t="s">
        <v>1291</v>
      </c>
      <c r="E626" t="s">
        <v>1296</v>
      </c>
      <c r="F626" t="s">
        <v>1308</v>
      </c>
      <c r="G626">
        <v>9176.48</v>
      </c>
      <c r="H626">
        <v>11685.72</v>
      </c>
      <c r="I626">
        <v>-1752.86</v>
      </c>
      <c r="J626">
        <v>9761.39</v>
      </c>
      <c r="K626">
        <v>13438.58</v>
      </c>
      <c r="L626">
        <v>-584.90999999999985</v>
      </c>
    </row>
    <row r="627" spans="1:12" x14ac:dyDescent="0.3">
      <c r="A627" t="s">
        <v>635</v>
      </c>
      <c r="B627" t="s">
        <v>915</v>
      </c>
      <c r="C627" s="4" t="s">
        <v>951</v>
      </c>
      <c r="D627" t="s">
        <v>1292</v>
      </c>
      <c r="E627" t="s">
        <v>1298</v>
      </c>
      <c r="F627" t="s">
        <v>1317</v>
      </c>
      <c r="G627">
        <v>530.45000000000005</v>
      </c>
      <c r="H627">
        <v>691.89</v>
      </c>
      <c r="I627">
        <v>161.44</v>
      </c>
      <c r="J627">
        <v>526.11</v>
      </c>
      <c r="K627">
        <v>530.45000000000005</v>
      </c>
      <c r="L627">
        <v>4.3400000000000318</v>
      </c>
    </row>
    <row r="628" spans="1:12" x14ac:dyDescent="0.3">
      <c r="A628" t="s">
        <v>636</v>
      </c>
      <c r="B628" t="s">
        <v>864</v>
      </c>
      <c r="C628" s="4" t="s">
        <v>1167</v>
      </c>
      <c r="D628" t="s">
        <v>1292</v>
      </c>
      <c r="E628" t="s">
        <v>1293</v>
      </c>
      <c r="F628" t="s">
        <v>1300</v>
      </c>
      <c r="G628">
        <v>665.01</v>
      </c>
      <c r="H628">
        <v>771.7</v>
      </c>
      <c r="I628">
        <v>106.69</v>
      </c>
      <c r="J628">
        <v>634.47</v>
      </c>
      <c r="K628">
        <v>665.01</v>
      </c>
      <c r="L628">
        <v>30.539999999999964</v>
      </c>
    </row>
    <row r="629" spans="1:12" x14ac:dyDescent="0.3">
      <c r="A629" t="s">
        <v>637</v>
      </c>
      <c r="B629" t="s">
        <v>857</v>
      </c>
      <c r="C629" s="4" t="s">
        <v>951</v>
      </c>
      <c r="D629" t="s">
        <v>1292</v>
      </c>
      <c r="E629" t="s">
        <v>1298</v>
      </c>
      <c r="F629" t="s">
        <v>1310</v>
      </c>
      <c r="G629">
        <v>890.68</v>
      </c>
      <c r="H629">
        <v>1028.73</v>
      </c>
      <c r="I629">
        <v>138.05000000000001</v>
      </c>
      <c r="J629">
        <v>948.55</v>
      </c>
      <c r="K629">
        <v>890.68000000000006</v>
      </c>
      <c r="L629">
        <v>-57.870000000000005</v>
      </c>
    </row>
    <row r="630" spans="1:12" x14ac:dyDescent="0.3">
      <c r="A630" t="s">
        <v>638</v>
      </c>
      <c r="B630" t="s">
        <v>912</v>
      </c>
      <c r="C630" s="4" t="s">
        <v>1052</v>
      </c>
      <c r="D630" t="s">
        <v>1291</v>
      </c>
      <c r="E630" t="s">
        <v>1297</v>
      </c>
      <c r="F630" t="s">
        <v>1309</v>
      </c>
      <c r="G630">
        <v>539.80999999999995</v>
      </c>
      <c r="H630">
        <v>626.61</v>
      </c>
      <c r="I630">
        <v>-93.99</v>
      </c>
      <c r="J630">
        <v>634.04</v>
      </c>
      <c r="K630">
        <v>720.6</v>
      </c>
      <c r="L630">
        <v>-94.230000000000018</v>
      </c>
    </row>
    <row r="631" spans="1:12" x14ac:dyDescent="0.3">
      <c r="A631" t="s">
        <v>639</v>
      </c>
      <c r="B631" t="s">
        <v>824</v>
      </c>
      <c r="C631" s="4" t="s">
        <v>1257</v>
      </c>
      <c r="D631" t="s">
        <v>1292</v>
      </c>
      <c r="E631" t="s">
        <v>1299</v>
      </c>
      <c r="F631" t="s">
        <v>1311</v>
      </c>
      <c r="G631">
        <v>1219.4163333333336</v>
      </c>
      <c r="H631">
        <v>136.33000000000001</v>
      </c>
      <c r="I631">
        <v>36.33</v>
      </c>
      <c r="J631">
        <v>110.15</v>
      </c>
      <c r="K631">
        <v>100.00000000000001</v>
      </c>
      <c r="L631">
        <v>1109.2663333333335</v>
      </c>
    </row>
    <row r="632" spans="1:12" x14ac:dyDescent="0.3">
      <c r="A632" t="s">
        <v>640</v>
      </c>
      <c r="B632" t="s">
        <v>922</v>
      </c>
      <c r="C632" s="4" t="s">
        <v>1258</v>
      </c>
      <c r="D632" t="s">
        <v>1291</v>
      </c>
      <c r="E632" t="s">
        <v>1299</v>
      </c>
      <c r="F632" t="s">
        <v>1312</v>
      </c>
      <c r="G632">
        <v>118.51</v>
      </c>
      <c r="H632">
        <v>138.79</v>
      </c>
      <c r="I632">
        <v>-20.82</v>
      </c>
      <c r="J632">
        <v>140.25</v>
      </c>
      <c r="K632">
        <v>159.60999999999999</v>
      </c>
      <c r="L632">
        <v>-21.739999999999995</v>
      </c>
    </row>
    <row r="633" spans="1:12" x14ac:dyDescent="0.3">
      <c r="A633" t="s">
        <v>641</v>
      </c>
      <c r="B633" t="s">
        <v>933</v>
      </c>
      <c r="C633" s="4" t="s">
        <v>968</v>
      </c>
      <c r="D633" t="s">
        <v>1292</v>
      </c>
      <c r="E633" t="s">
        <v>1295</v>
      </c>
      <c r="F633" t="s">
        <v>1313</v>
      </c>
      <c r="G633">
        <v>513.66999999999996</v>
      </c>
      <c r="H633">
        <v>639.82000000000005</v>
      </c>
      <c r="I633">
        <v>126.15</v>
      </c>
      <c r="J633">
        <v>520.32000000000005</v>
      </c>
      <c r="K633">
        <v>513.67000000000007</v>
      </c>
      <c r="L633">
        <v>-6.6500000000000909</v>
      </c>
    </row>
    <row r="634" spans="1:12" x14ac:dyDescent="0.3">
      <c r="A634" t="s">
        <v>642</v>
      </c>
      <c r="B634" t="s">
        <v>848</v>
      </c>
      <c r="C634" s="4" t="s">
        <v>955</v>
      </c>
      <c r="D634" t="s">
        <v>1291</v>
      </c>
      <c r="E634" t="s">
        <v>1296</v>
      </c>
      <c r="F634" t="s">
        <v>1308</v>
      </c>
      <c r="G634">
        <v>9129.56</v>
      </c>
      <c r="H634">
        <v>11411.99</v>
      </c>
      <c r="I634">
        <v>-1711.8</v>
      </c>
      <c r="J634">
        <v>9008.4699999999993</v>
      </c>
      <c r="K634">
        <v>13123.789999999999</v>
      </c>
      <c r="L634">
        <v>121.09000000000015</v>
      </c>
    </row>
    <row r="635" spans="1:12" x14ac:dyDescent="0.3">
      <c r="A635" t="s">
        <v>643</v>
      </c>
      <c r="B635" t="s">
        <v>888</v>
      </c>
      <c r="C635" s="4" t="s">
        <v>979</v>
      </c>
      <c r="D635" t="s">
        <v>1291</v>
      </c>
      <c r="E635" t="s">
        <v>1293</v>
      </c>
      <c r="F635" t="s">
        <v>1300</v>
      </c>
      <c r="G635">
        <v>1136.8900000000001</v>
      </c>
      <c r="H635">
        <v>1573.01</v>
      </c>
      <c r="I635">
        <v>-235.95</v>
      </c>
      <c r="J635">
        <v>1288.25</v>
      </c>
      <c r="K635">
        <v>1808.96</v>
      </c>
      <c r="L635">
        <v>-151.3599999999999</v>
      </c>
    </row>
    <row r="636" spans="1:12" x14ac:dyDescent="0.3">
      <c r="A636" t="s">
        <v>644</v>
      </c>
      <c r="B636" t="s">
        <v>834</v>
      </c>
      <c r="C636" s="4" t="s">
        <v>1259</v>
      </c>
      <c r="D636" t="s">
        <v>1291</v>
      </c>
      <c r="E636" t="s">
        <v>1295</v>
      </c>
      <c r="F636" t="s">
        <v>1313</v>
      </c>
      <c r="G636">
        <v>249.69</v>
      </c>
      <c r="H636">
        <v>299.13</v>
      </c>
      <c r="I636">
        <v>-44.87</v>
      </c>
      <c r="J636">
        <v>236.84</v>
      </c>
      <c r="K636">
        <v>344</v>
      </c>
      <c r="L636">
        <v>12.849999999999994</v>
      </c>
    </row>
    <row r="637" spans="1:12" x14ac:dyDescent="0.3">
      <c r="A637" t="s">
        <v>645</v>
      </c>
      <c r="B637" t="s">
        <v>919</v>
      </c>
      <c r="C637" s="4" t="s">
        <v>1186</v>
      </c>
      <c r="D637" t="s">
        <v>1292</v>
      </c>
      <c r="E637" t="s">
        <v>1297</v>
      </c>
      <c r="F637" t="s">
        <v>1331</v>
      </c>
      <c r="G637">
        <v>931.21</v>
      </c>
      <c r="H637">
        <v>1295.3900000000001</v>
      </c>
      <c r="I637">
        <v>364.18</v>
      </c>
      <c r="J637">
        <v>1110.96</v>
      </c>
      <c r="K637">
        <v>931.21</v>
      </c>
      <c r="L637">
        <v>-179.75</v>
      </c>
    </row>
    <row r="638" spans="1:12" x14ac:dyDescent="0.3">
      <c r="A638" t="s">
        <v>646</v>
      </c>
      <c r="B638" t="s">
        <v>873</v>
      </c>
      <c r="C638" s="4" t="s">
        <v>964</v>
      </c>
      <c r="D638" t="s">
        <v>1291</v>
      </c>
      <c r="E638" t="s">
        <v>1298</v>
      </c>
      <c r="F638" t="s">
        <v>1317</v>
      </c>
      <c r="G638">
        <v>1049.3699999999999</v>
      </c>
      <c r="H638">
        <v>1271.43</v>
      </c>
      <c r="I638">
        <v>-190.71</v>
      </c>
      <c r="J638">
        <v>1135.07</v>
      </c>
      <c r="K638">
        <v>1462.14</v>
      </c>
      <c r="L638">
        <v>-85.700000000000045</v>
      </c>
    </row>
    <row r="639" spans="1:12" x14ac:dyDescent="0.3">
      <c r="A639" t="s">
        <v>647</v>
      </c>
      <c r="B639" t="s">
        <v>880</v>
      </c>
      <c r="C639" s="4" t="s">
        <v>1260</v>
      </c>
      <c r="D639" t="s">
        <v>1291</v>
      </c>
      <c r="E639" t="s">
        <v>1293</v>
      </c>
      <c r="F639" t="s">
        <v>1300</v>
      </c>
      <c r="G639">
        <v>326.66000000000003</v>
      </c>
      <c r="H639">
        <v>425.76</v>
      </c>
      <c r="I639">
        <v>-63.86</v>
      </c>
      <c r="J639">
        <v>315.11</v>
      </c>
      <c r="K639">
        <v>489.62</v>
      </c>
      <c r="L639">
        <v>11.550000000000011</v>
      </c>
    </row>
    <row r="640" spans="1:12" x14ac:dyDescent="0.3">
      <c r="A640" t="s">
        <v>648</v>
      </c>
      <c r="B640" t="s">
        <v>835</v>
      </c>
      <c r="C640" s="4" t="s">
        <v>1091</v>
      </c>
      <c r="D640" t="s">
        <v>1291</v>
      </c>
      <c r="E640" t="s">
        <v>1293</v>
      </c>
      <c r="F640" t="s">
        <v>1320</v>
      </c>
      <c r="G640">
        <v>172.77</v>
      </c>
      <c r="H640">
        <v>239.9</v>
      </c>
      <c r="I640">
        <v>-35.979999999999997</v>
      </c>
      <c r="J640">
        <v>182.56</v>
      </c>
      <c r="K640">
        <v>275.88</v>
      </c>
      <c r="L640">
        <v>-9.789999999999992</v>
      </c>
    </row>
    <row r="641" spans="1:12" x14ac:dyDescent="0.3">
      <c r="A641" t="s">
        <v>649</v>
      </c>
      <c r="B641" t="s">
        <v>934</v>
      </c>
      <c r="C641" s="4" t="s">
        <v>1123</v>
      </c>
      <c r="D641" t="s">
        <v>1291</v>
      </c>
      <c r="E641" t="s">
        <v>1294</v>
      </c>
      <c r="F641" t="s">
        <v>1301</v>
      </c>
      <c r="G641">
        <v>731.11</v>
      </c>
      <c r="H641">
        <v>910.19</v>
      </c>
      <c r="I641">
        <v>-136.53</v>
      </c>
      <c r="J641">
        <v>673.09</v>
      </c>
      <c r="K641">
        <v>1046.72</v>
      </c>
      <c r="L641">
        <v>58.019999999999982</v>
      </c>
    </row>
    <row r="642" spans="1:12" x14ac:dyDescent="0.3">
      <c r="A642" t="s">
        <v>650</v>
      </c>
      <c r="B642" t="s">
        <v>820</v>
      </c>
      <c r="C642" s="4" t="s">
        <v>1157</v>
      </c>
      <c r="D642" t="s">
        <v>1291</v>
      </c>
      <c r="E642" t="s">
        <v>1294</v>
      </c>
      <c r="F642" t="s">
        <v>1333</v>
      </c>
      <c r="G642">
        <v>1186.97</v>
      </c>
      <c r="H642">
        <v>1425.43</v>
      </c>
      <c r="I642">
        <v>-213.81</v>
      </c>
      <c r="J642">
        <v>1095.98</v>
      </c>
      <c r="K642">
        <v>1639.24</v>
      </c>
      <c r="L642">
        <v>90.990000000000009</v>
      </c>
    </row>
    <row r="643" spans="1:12" x14ac:dyDescent="0.3">
      <c r="A643" t="s">
        <v>651</v>
      </c>
      <c r="B643" t="s">
        <v>847</v>
      </c>
      <c r="C643" s="4" t="s">
        <v>1261</v>
      </c>
      <c r="D643" t="s">
        <v>1291</v>
      </c>
      <c r="E643" t="s">
        <v>1297</v>
      </c>
      <c r="F643" t="s">
        <v>1331</v>
      </c>
      <c r="G643">
        <v>156.33000000000001</v>
      </c>
      <c r="H643">
        <v>212.46</v>
      </c>
      <c r="I643">
        <v>-31.87</v>
      </c>
      <c r="J643">
        <v>146.91999999999999</v>
      </c>
      <c r="K643">
        <v>244.33</v>
      </c>
      <c r="L643">
        <v>9.410000000000025</v>
      </c>
    </row>
    <row r="644" spans="1:12" x14ac:dyDescent="0.3">
      <c r="A644" t="s">
        <v>652</v>
      </c>
      <c r="B644" t="s">
        <v>826</v>
      </c>
      <c r="C644" s="4" t="s">
        <v>1257</v>
      </c>
      <c r="D644" t="s">
        <v>1291</v>
      </c>
      <c r="E644" t="s">
        <v>1294</v>
      </c>
      <c r="F644" t="s">
        <v>1333</v>
      </c>
      <c r="G644">
        <v>174.57</v>
      </c>
      <c r="H644">
        <v>1420.2638235294123</v>
      </c>
      <c r="I644">
        <v>-31.47</v>
      </c>
      <c r="J644">
        <v>195.36</v>
      </c>
      <c r="K644">
        <v>1451.7338235294123</v>
      </c>
      <c r="L644">
        <v>-20.79000000000002</v>
      </c>
    </row>
    <row r="645" spans="1:12" x14ac:dyDescent="0.3">
      <c r="A645" t="s">
        <v>653</v>
      </c>
      <c r="B645" t="s">
        <v>879</v>
      </c>
      <c r="C645" s="4" t="s">
        <v>1099</v>
      </c>
      <c r="D645" t="s">
        <v>1291</v>
      </c>
      <c r="E645" t="s">
        <v>1298</v>
      </c>
      <c r="F645" t="s">
        <v>1306</v>
      </c>
      <c r="G645">
        <v>807.24</v>
      </c>
      <c r="H645">
        <v>936.1</v>
      </c>
      <c r="I645">
        <v>-140.41</v>
      </c>
      <c r="J645">
        <v>894.76</v>
      </c>
      <c r="K645">
        <v>1076.51</v>
      </c>
      <c r="L645">
        <v>-87.519999999999982</v>
      </c>
    </row>
    <row r="646" spans="1:12" x14ac:dyDescent="0.3">
      <c r="A646" t="s">
        <v>654</v>
      </c>
      <c r="B646" t="s">
        <v>832</v>
      </c>
      <c r="C646" s="4" t="s">
        <v>942</v>
      </c>
      <c r="D646" t="s">
        <v>1292</v>
      </c>
      <c r="E646" t="s">
        <v>1296</v>
      </c>
      <c r="F646" t="s">
        <v>1332</v>
      </c>
      <c r="G646">
        <v>7396.14</v>
      </c>
      <c r="H646">
        <v>9590.48</v>
      </c>
      <c r="I646">
        <v>2194.34</v>
      </c>
      <c r="J646">
        <v>7846.66</v>
      </c>
      <c r="K646">
        <v>7396.1399999999994</v>
      </c>
      <c r="L646">
        <v>-450.51999999999953</v>
      </c>
    </row>
    <row r="647" spans="1:12" x14ac:dyDescent="0.3">
      <c r="A647" t="s">
        <v>655</v>
      </c>
      <c r="B647" t="s">
        <v>885</v>
      </c>
      <c r="C647" s="4" t="s">
        <v>955</v>
      </c>
      <c r="D647" t="s">
        <v>1291</v>
      </c>
      <c r="E647" t="s">
        <v>1294</v>
      </c>
      <c r="F647" t="s">
        <v>1301</v>
      </c>
      <c r="G647">
        <v>375.1</v>
      </c>
      <c r="H647">
        <v>464.87</v>
      </c>
      <c r="I647">
        <v>-69.73</v>
      </c>
      <c r="J647">
        <v>404.95</v>
      </c>
      <c r="K647">
        <v>534.6</v>
      </c>
      <c r="L647">
        <v>-29.849999999999966</v>
      </c>
    </row>
    <row r="648" spans="1:12" x14ac:dyDescent="0.3">
      <c r="A648" t="s">
        <v>656</v>
      </c>
      <c r="B648" t="s">
        <v>799</v>
      </c>
      <c r="C648" s="4" t="s">
        <v>1058</v>
      </c>
      <c r="D648" t="s">
        <v>1292</v>
      </c>
      <c r="E648" t="s">
        <v>1295</v>
      </c>
      <c r="F648" t="s">
        <v>1329</v>
      </c>
      <c r="G648">
        <v>330.82</v>
      </c>
      <c r="H648">
        <v>380.47</v>
      </c>
      <c r="I648">
        <v>49.65</v>
      </c>
      <c r="J648">
        <v>319.8</v>
      </c>
      <c r="K648">
        <v>330.82000000000005</v>
      </c>
      <c r="L648">
        <v>11.019999999999982</v>
      </c>
    </row>
    <row r="649" spans="1:12" x14ac:dyDescent="0.3">
      <c r="A649" t="s">
        <v>657</v>
      </c>
      <c r="B649" t="s">
        <v>933</v>
      </c>
      <c r="C649" s="4" t="s">
        <v>972</v>
      </c>
      <c r="D649" t="s">
        <v>1291</v>
      </c>
      <c r="E649" t="s">
        <v>1294</v>
      </c>
      <c r="F649" t="s">
        <v>1314</v>
      </c>
      <c r="G649">
        <v>590.08000000000004</v>
      </c>
      <c r="H649">
        <v>1420.2638235294123</v>
      </c>
      <c r="I649">
        <v>-122.48</v>
      </c>
      <c r="J649">
        <v>598.16999999999996</v>
      </c>
      <c r="K649">
        <v>1542.7438235294123</v>
      </c>
      <c r="L649">
        <v>-8.0899999999999181</v>
      </c>
    </row>
    <row r="650" spans="1:12" x14ac:dyDescent="0.3">
      <c r="A650" t="s">
        <v>658</v>
      </c>
      <c r="B650" t="s">
        <v>849</v>
      </c>
      <c r="C650" s="4" t="s">
        <v>964</v>
      </c>
      <c r="D650" t="s">
        <v>1291</v>
      </c>
      <c r="E650" t="s">
        <v>1295</v>
      </c>
      <c r="F650" t="s">
        <v>1313</v>
      </c>
      <c r="G650">
        <v>266.72000000000003</v>
      </c>
      <c r="H650">
        <v>344.01</v>
      </c>
      <c r="I650">
        <v>-51.6</v>
      </c>
      <c r="J650">
        <v>276.57</v>
      </c>
      <c r="K650">
        <v>395.61</v>
      </c>
      <c r="L650">
        <v>-9.8499999999999659</v>
      </c>
    </row>
    <row r="651" spans="1:12" x14ac:dyDescent="0.3">
      <c r="A651" t="s">
        <v>659</v>
      </c>
      <c r="B651" t="s">
        <v>892</v>
      </c>
      <c r="C651" s="4" t="s">
        <v>1186</v>
      </c>
      <c r="D651" t="s">
        <v>1292</v>
      </c>
      <c r="E651" t="s">
        <v>1299</v>
      </c>
      <c r="F651" t="s">
        <v>1334</v>
      </c>
      <c r="G651">
        <v>986.99</v>
      </c>
      <c r="H651">
        <v>1380.88</v>
      </c>
      <c r="I651">
        <v>393.89</v>
      </c>
      <c r="J651">
        <v>951.62</v>
      </c>
      <c r="K651">
        <v>986.99000000000012</v>
      </c>
      <c r="L651">
        <v>35.370000000000005</v>
      </c>
    </row>
    <row r="652" spans="1:12" x14ac:dyDescent="0.3">
      <c r="A652" t="s">
        <v>660</v>
      </c>
      <c r="B652" t="s">
        <v>923</v>
      </c>
      <c r="C652" s="4" t="s">
        <v>1120</v>
      </c>
      <c r="D652" t="s">
        <v>1291</v>
      </c>
      <c r="E652" t="s">
        <v>1295</v>
      </c>
      <c r="F652" t="s">
        <v>1313</v>
      </c>
      <c r="G652">
        <v>419</v>
      </c>
      <c r="H652">
        <v>546.62</v>
      </c>
      <c r="I652">
        <v>-81.99</v>
      </c>
      <c r="J652">
        <v>496.48</v>
      </c>
      <c r="K652">
        <v>628.61</v>
      </c>
      <c r="L652">
        <v>-77.480000000000018</v>
      </c>
    </row>
    <row r="653" spans="1:12" x14ac:dyDescent="0.3">
      <c r="A653" t="s">
        <v>661</v>
      </c>
      <c r="B653" t="s">
        <v>878</v>
      </c>
      <c r="C653" s="4" t="s">
        <v>941</v>
      </c>
      <c r="D653" t="s">
        <v>1292</v>
      </c>
      <c r="E653" t="s">
        <v>1295</v>
      </c>
      <c r="F653" t="s">
        <v>1304</v>
      </c>
      <c r="G653">
        <v>132.04</v>
      </c>
      <c r="H653">
        <v>162.93</v>
      </c>
      <c r="I653">
        <v>30.89</v>
      </c>
      <c r="J653">
        <v>156.08000000000001</v>
      </c>
      <c r="K653">
        <v>132.04000000000002</v>
      </c>
      <c r="L653">
        <v>-24.04000000000002</v>
      </c>
    </row>
    <row r="654" spans="1:12" x14ac:dyDescent="0.3">
      <c r="A654" t="s">
        <v>662</v>
      </c>
      <c r="B654" t="s">
        <v>791</v>
      </c>
      <c r="C654" s="4" t="s">
        <v>1262</v>
      </c>
      <c r="D654" t="s">
        <v>1291</v>
      </c>
      <c r="E654" t="s">
        <v>1299</v>
      </c>
      <c r="F654" t="s">
        <v>1311</v>
      </c>
      <c r="G654">
        <v>958.44</v>
      </c>
      <c r="H654">
        <v>1168.9100000000001</v>
      </c>
      <c r="I654">
        <v>-175.34</v>
      </c>
      <c r="J654">
        <v>1101.32</v>
      </c>
      <c r="K654">
        <v>1344.25</v>
      </c>
      <c r="L654">
        <v>-142.87999999999988</v>
      </c>
    </row>
    <row r="655" spans="1:12" x14ac:dyDescent="0.3">
      <c r="A655" t="s">
        <v>663</v>
      </c>
      <c r="B655" t="s">
        <v>917</v>
      </c>
      <c r="C655" s="4" t="s">
        <v>1263</v>
      </c>
      <c r="D655" t="s">
        <v>1291</v>
      </c>
      <c r="E655" t="s">
        <v>1294</v>
      </c>
      <c r="F655" t="s">
        <v>1301</v>
      </c>
      <c r="G655">
        <v>562.27</v>
      </c>
      <c r="H655">
        <v>776.07</v>
      </c>
      <c r="I655">
        <v>-116.41</v>
      </c>
      <c r="J655">
        <v>604.57000000000005</v>
      </c>
      <c r="K655">
        <v>892.48</v>
      </c>
      <c r="L655">
        <v>-42.300000000000068</v>
      </c>
    </row>
    <row r="656" spans="1:12" x14ac:dyDescent="0.3">
      <c r="A656" t="s">
        <v>664</v>
      </c>
      <c r="B656" t="s">
        <v>785</v>
      </c>
      <c r="C656" s="4" t="s">
        <v>1264</v>
      </c>
      <c r="D656" t="s">
        <v>1292</v>
      </c>
      <c r="E656" t="s">
        <v>1294</v>
      </c>
      <c r="F656" t="s">
        <v>1314</v>
      </c>
      <c r="G656">
        <v>958.59</v>
      </c>
      <c r="H656">
        <v>1190.77</v>
      </c>
      <c r="I656">
        <v>232.18</v>
      </c>
      <c r="J656">
        <v>1040.32</v>
      </c>
      <c r="K656">
        <v>958.58999999999992</v>
      </c>
      <c r="L656">
        <v>-81.729999999999905</v>
      </c>
    </row>
    <row r="657" spans="1:12" x14ac:dyDescent="0.3">
      <c r="A657" t="s">
        <v>665</v>
      </c>
      <c r="B657" t="s">
        <v>918</v>
      </c>
      <c r="C657" s="4" t="s">
        <v>1200</v>
      </c>
      <c r="D657" t="s">
        <v>1291</v>
      </c>
      <c r="E657" t="s">
        <v>1299</v>
      </c>
      <c r="F657" t="s">
        <v>1311</v>
      </c>
      <c r="G657">
        <v>170.52</v>
      </c>
      <c r="H657">
        <v>212.2</v>
      </c>
      <c r="I657">
        <v>-31.83</v>
      </c>
      <c r="J657">
        <v>171.73</v>
      </c>
      <c r="K657">
        <v>244.02999999999997</v>
      </c>
      <c r="L657">
        <v>-1.2099999999999795</v>
      </c>
    </row>
    <row r="658" spans="1:12" x14ac:dyDescent="0.3">
      <c r="A658" t="s">
        <v>666</v>
      </c>
      <c r="B658" t="s">
        <v>907</v>
      </c>
      <c r="C658" s="4" t="s">
        <v>1124</v>
      </c>
      <c r="D658" t="s">
        <v>1291</v>
      </c>
      <c r="E658" t="s">
        <v>1299</v>
      </c>
      <c r="F658" t="s">
        <v>1334</v>
      </c>
      <c r="G658">
        <v>637.37</v>
      </c>
      <c r="H658">
        <v>766.91</v>
      </c>
      <c r="I658">
        <v>-115.04</v>
      </c>
      <c r="J658">
        <v>703.77</v>
      </c>
      <c r="K658">
        <v>881.94999999999993</v>
      </c>
      <c r="L658">
        <v>-66.399999999999977</v>
      </c>
    </row>
    <row r="659" spans="1:12" x14ac:dyDescent="0.3">
      <c r="A659" t="s">
        <v>667</v>
      </c>
      <c r="B659" t="s">
        <v>832</v>
      </c>
      <c r="C659" s="4" t="s">
        <v>1203</v>
      </c>
      <c r="D659" t="s">
        <v>1292</v>
      </c>
      <c r="E659" t="s">
        <v>1298</v>
      </c>
      <c r="F659" t="s">
        <v>1310</v>
      </c>
      <c r="G659">
        <v>673.97</v>
      </c>
      <c r="H659">
        <v>777.62</v>
      </c>
      <c r="I659">
        <v>103.65</v>
      </c>
      <c r="J659">
        <v>770.2</v>
      </c>
      <c r="K659">
        <v>673.97</v>
      </c>
      <c r="L659">
        <v>-96.230000000000018</v>
      </c>
    </row>
    <row r="660" spans="1:12" x14ac:dyDescent="0.3">
      <c r="A660" t="s">
        <v>668</v>
      </c>
      <c r="B660" t="s">
        <v>907</v>
      </c>
      <c r="C660" s="4" t="s">
        <v>1006</v>
      </c>
      <c r="D660" t="s">
        <v>1292</v>
      </c>
      <c r="E660" t="s">
        <v>1296</v>
      </c>
      <c r="F660" t="s">
        <v>1308</v>
      </c>
      <c r="G660">
        <v>8800.99</v>
      </c>
      <c r="H660">
        <v>11935.15</v>
      </c>
      <c r="I660">
        <v>3134.16</v>
      </c>
      <c r="J660">
        <v>10518.06</v>
      </c>
      <c r="K660">
        <v>8800.99</v>
      </c>
      <c r="L660">
        <v>-1717.0699999999997</v>
      </c>
    </row>
    <row r="661" spans="1:12" x14ac:dyDescent="0.3">
      <c r="A661" t="s">
        <v>669</v>
      </c>
      <c r="B661" t="s">
        <v>830</v>
      </c>
      <c r="C661" s="4" t="s">
        <v>1155</v>
      </c>
      <c r="D661" t="s">
        <v>1292</v>
      </c>
      <c r="E661" t="s">
        <v>1298</v>
      </c>
      <c r="F661" t="s">
        <v>1317</v>
      </c>
      <c r="G661">
        <v>885.64</v>
      </c>
      <c r="H661">
        <v>1037.3</v>
      </c>
      <c r="I661">
        <v>151.66</v>
      </c>
      <c r="J661">
        <v>1060.6199999999999</v>
      </c>
      <c r="K661">
        <v>885.64</v>
      </c>
      <c r="L661">
        <v>-174.9799999999999</v>
      </c>
    </row>
    <row r="662" spans="1:12" x14ac:dyDescent="0.3">
      <c r="A662" t="s">
        <v>670</v>
      </c>
      <c r="B662" t="s">
        <v>900</v>
      </c>
      <c r="C662" s="4" t="s">
        <v>1131</v>
      </c>
      <c r="D662" t="s">
        <v>1291</v>
      </c>
      <c r="E662" t="s">
        <v>1296</v>
      </c>
      <c r="F662" t="s">
        <v>1330</v>
      </c>
      <c r="G662">
        <v>9399.4599999999991</v>
      </c>
      <c r="H662">
        <v>12793.44</v>
      </c>
      <c r="I662">
        <v>-1919.02</v>
      </c>
      <c r="J662">
        <v>9397.73</v>
      </c>
      <c r="K662">
        <v>14712.460000000001</v>
      </c>
      <c r="L662">
        <v>1.7299999999995634</v>
      </c>
    </row>
    <row r="663" spans="1:12" x14ac:dyDescent="0.3">
      <c r="A663" t="s">
        <v>671</v>
      </c>
      <c r="B663" t="s">
        <v>851</v>
      </c>
      <c r="C663" s="4" t="s">
        <v>951</v>
      </c>
      <c r="D663" t="s">
        <v>1291</v>
      </c>
      <c r="E663" t="s">
        <v>1295</v>
      </c>
      <c r="F663" t="s">
        <v>1329</v>
      </c>
      <c r="G663">
        <v>103.75</v>
      </c>
      <c r="H663">
        <v>128.12</v>
      </c>
      <c r="I663">
        <v>-19.22</v>
      </c>
      <c r="J663">
        <v>99.98</v>
      </c>
      <c r="K663">
        <v>147.34</v>
      </c>
      <c r="L663">
        <v>3.769999999999996</v>
      </c>
    </row>
    <row r="664" spans="1:12" x14ac:dyDescent="0.3">
      <c r="A664" t="s">
        <v>672</v>
      </c>
      <c r="B664" t="s">
        <v>926</v>
      </c>
      <c r="C664" s="4" t="s">
        <v>1244</v>
      </c>
      <c r="D664" t="s">
        <v>1291</v>
      </c>
      <c r="E664" t="s">
        <v>1298</v>
      </c>
      <c r="F664" t="s">
        <v>1306</v>
      </c>
      <c r="G664">
        <v>1103.56</v>
      </c>
      <c r="H664">
        <v>1346.11</v>
      </c>
      <c r="I664">
        <v>-201.92</v>
      </c>
      <c r="J664">
        <v>1229.07</v>
      </c>
      <c r="K664">
        <v>1548.03</v>
      </c>
      <c r="L664">
        <v>-125.50999999999999</v>
      </c>
    </row>
    <row r="665" spans="1:12" x14ac:dyDescent="0.3">
      <c r="A665" t="s">
        <v>673</v>
      </c>
      <c r="B665" t="s">
        <v>856</v>
      </c>
      <c r="C665" s="4" t="s">
        <v>1152</v>
      </c>
      <c r="D665" t="s">
        <v>1291</v>
      </c>
      <c r="E665" t="s">
        <v>1296</v>
      </c>
      <c r="F665" t="s">
        <v>1332</v>
      </c>
      <c r="G665">
        <v>1219.4163333333336</v>
      </c>
      <c r="H665">
        <v>128.1</v>
      </c>
      <c r="I665">
        <v>-19.21</v>
      </c>
      <c r="J665">
        <v>107.52</v>
      </c>
      <c r="K665">
        <v>147.31</v>
      </c>
      <c r="L665">
        <v>1111.8963333333336</v>
      </c>
    </row>
    <row r="666" spans="1:12" x14ac:dyDescent="0.3">
      <c r="A666" t="s">
        <v>674</v>
      </c>
      <c r="B666" t="s">
        <v>854</v>
      </c>
      <c r="C666" s="4" t="s">
        <v>1265</v>
      </c>
      <c r="D666" t="s">
        <v>1292</v>
      </c>
      <c r="E666" t="s">
        <v>1294</v>
      </c>
      <c r="F666" t="s">
        <v>1314</v>
      </c>
      <c r="G666">
        <v>983.82</v>
      </c>
      <c r="H666">
        <v>1150.77</v>
      </c>
      <c r="I666">
        <v>166.95</v>
      </c>
      <c r="J666">
        <v>1159.47</v>
      </c>
      <c r="K666">
        <v>983.81999999999994</v>
      </c>
      <c r="L666">
        <v>-175.64999999999998</v>
      </c>
    </row>
    <row r="667" spans="1:12" x14ac:dyDescent="0.3">
      <c r="A667" t="s">
        <v>675</v>
      </c>
      <c r="B667" t="s">
        <v>854</v>
      </c>
      <c r="C667" s="4" t="s">
        <v>1266</v>
      </c>
      <c r="D667" t="s">
        <v>1292</v>
      </c>
      <c r="E667" t="s">
        <v>1299</v>
      </c>
      <c r="F667" t="s">
        <v>1312</v>
      </c>
      <c r="G667">
        <v>948.95</v>
      </c>
      <c r="H667">
        <v>1179.94</v>
      </c>
      <c r="I667">
        <v>230.99</v>
      </c>
      <c r="J667">
        <v>1036.71</v>
      </c>
      <c r="K667">
        <v>948.95</v>
      </c>
      <c r="L667">
        <v>-87.759999999999991</v>
      </c>
    </row>
    <row r="668" spans="1:12" x14ac:dyDescent="0.3">
      <c r="A668" t="s">
        <v>676</v>
      </c>
      <c r="B668" t="s">
        <v>886</v>
      </c>
      <c r="C668" s="4" t="s">
        <v>956</v>
      </c>
      <c r="D668" t="s">
        <v>1292</v>
      </c>
      <c r="E668" t="s">
        <v>1298</v>
      </c>
      <c r="F668" t="s">
        <v>1306</v>
      </c>
      <c r="G668">
        <v>886.96</v>
      </c>
      <c r="H668">
        <v>1195.43</v>
      </c>
      <c r="I668">
        <v>308.47000000000003</v>
      </c>
      <c r="J668">
        <v>929.11</v>
      </c>
      <c r="K668">
        <v>886.96</v>
      </c>
      <c r="L668">
        <v>-42.149999999999977</v>
      </c>
    </row>
    <row r="669" spans="1:12" x14ac:dyDescent="0.3">
      <c r="A669" t="s">
        <v>677</v>
      </c>
      <c r="B669" t="s">
        <v>797</v>
      </c>
      <c r="C669" s="4" t="s">
        <v>1248</v>
      </c>
      <c r="D669" t="s">
        <v>1291</v>
      </c>
      <c r="E669" t="s">
        <v>1297</v>
      </c>
      <c r="F669" t="s">
        <v>1331</v>
      </c>
      <c r="G669">
        <v>627.86</v>
      </c>
      <c r="H669">
        <v>1420.2638235294123</v>
      </c>
      <c r="I669">
        <v>-124.63</v>
      </c>
      <c r="J669">
        <v>591.42999999999995</v>
      </c>
      <c r="K669">
        <v>1544.8938235294122</v>
      </c>
      <c r="L669">
        <v>36.430000000000064</v>
      </c>
    </row>
    <row r="670" spans="1:12" x14ac:dyDescent="0.3">
      <c r="A670" t="s">
        <v>678</v>
      </c>
      <c r="B670" t="s">
        <v>885</v>
      </c>
      <c r="C670" s="4" t="s">
        <v>1147</v>
      </c>
      <c r="D670" t="s">
        <v>1292</v>
      </c>
      <c r="E670" t="s">
        <v>1296</v>
      </c>
      <c r="F670" t="s">
        <v>1308</v>
      </c>
      <c r="G670">
        <v>8902.6</v>
      </c>
      <c r="H670">
        <v>10770.09</v>
      </c>
      <c r="I670">
        <v>1867.49</v>
      </c>
      <c r="J670">
        <v>9339.5400000000009</v>
      </c>
      <c r="K670">
        <v>8902.6</v>
      </c>
      <c r="L670">
        <v>-436.94000000000051</v>
      </c>
    </row>
    <row r="671" spans="1:12" x14ac:dyDescent="0.3">
      <c r="A671" t="s">
        <v>679</v>
      </c>
      <c r="B671" t="s">
        <v>816</v>
      </c>
      <c r="C671" s="4" t="s">
        <v>1267</v>
      </c>
      <c r="D671" t="s">
        <v>1292</v>
      </c>
      <c r="E671" t="s">
        <v>1298</v>
      </c>
      <c r="F671" t="s">
        <v>1306</v>
      </c>
      <c r="G671">
        <v>386.03</v>
      </c>
      <c r="H671">
        <v>507.57</v>
      </c>
      <c r="I671">
        <v>121.54</v>
      </c>
      <c r="J671">
        <v>349.72</v>
      </c>
      <c r="K671">
        <v>386.03</v>
      </c>
      <c r="L671">
        <v>36.309999999999945</v>
      </c>
    </row>
    <row r="672" spans="1:12" x14ac:dyDescent="0.3">
      <c r="A672" t="s">
        <v>680</v>
      </c>
      <c r="B672" t="s">
        <v>925</v>
      </c>
      <c r="C672" s="4" t="s">
        <v>1268</v>
      </c>
      <c r="D672" t="s">
        <v>1291</v>
      </c>
      <c r="E672" t="s">
        <v>1296</v>
      </c>
      <c r="F672" t="s">
        <v>1330</v>
      </c>
      <c r="G672">
        <v>7192.05</v>
      </c>
      <c r="H672">
        <v>9626.34</v>
      </c>
      <c r="I672">
        <v>-1443.95</v>
      </c>
      <c r="J672">
        <v>7589.16</v>
      </c>
      <c r="K672">
        <v>11070.29</v>
      </c>
      <c r="L672">
        <v>-397.10999999999967</v>
      </c>
    </row>
    <row r="673" spans="1:12" x14ac:dyDescent="0.3">
      <c r="A673" t="s">
        <v>681</v>
      </c>
      <c r="B673" t="s">
        <v>844</v>
      </c>
      <c r="C673" s="4" t="s">
        <v>1269</v>
      </c>
      <c r="D673" t="s">
        <v>1292</v>
      </c>
      <c r="E673" t="s">
        <v>1296</v>
      </c>
      <c r="F673" t="s">
        <v>1330</v>
      </c>
      <c r="G673">
        <v>5700.87</v>
      </c>
      <c r="H673">
        <v>7068.84</v>
      </c>
      <c r="I673">
        <v>1367.97</v>
      </c>
      <c r="J673">
        <v>5873.9</v>
      </c>
      <c r="K673">
        <v>5700.87</v>
      </c>
      <c r="L673">
        <v>-173.02999999999975</v>
      </c>
    </row>
    <row r="674" spans="1:12" x14ac:dyDescent="0.3">
      <c r="A674" t="s">
        <v>682</v>
      </c>
      <c r="B674" t="s">
        <v>805</v>
      </c>
      <c r="C674" s="4" t="s">
        <v>943</v>
      </c>
      <c r="D674" t="s">
        <v>1291</v>
      </c>
      <c r="E674" t="s">
        <v>1299</v>
      </c>
      <c r="F674" t="s">
        <v>1311</v>
      </c>
      <c r="G674">
        <v>612.13</v>
      </c>
      <c r="H674">
        <v>760.54</v>
      </c>
      <c r="I674">
        <v>-44.182985074626863</v>
      </c>
      <c r="J674">
        <v>721.25</v>
      </c>
      <c r="K674">
        <v>804.72298507462688</v>
      </c>
      <c r="L674">
        <v>-109.12</v>
      </c>
    </row>
    <row r="675" spans="1:12" x14ac:dyDescent="0.3">
      <c r="A675" t="s">
        <v>683</v>
      </c>
      <c r="B675" t="s">
        <v>849</v>
      </c>
      <c r="C675" s="4" t="s">
        <v>1215</v>
      </c>
      <c r="D675" t="s">
        <v>1292</v>
      </c>
      <c r="E675" t="s">
        <v>1297</v>
      </c>
      <c r="F675" t="s">
        <v>1309</v>
      </c>
      <c r="G675">
        <v>708</v>
      </c>
      <c r="H675">
        <v>891.3</v>
      </c>
      <c r="I675">
        <v>183.3</v>
      </c>
      <c r="J675">
        <v>670.72</v>
      </c>
      <c r="K675">
        <v>708</v>
      </c>
      <c r="L675">
        <v>37.279999999999973</v>
      </c>
    </row>
    <row r="676" spans="1:12" x14ac:dyDescent="0.3">
      <c r="A676" t="s">
        <v>684</v>
      </c>
      <c r="B676" t="s">
        <v>920</v>
      </c>
      <c r="C676" s="4" t="s">
        <v>1228</v>
      </c>
      <c r="D676" t="s">
        <v>1292</v>
      </c>
      <c r="E676" t="s">
        <v>1294</v>
      </c>
      <c r="F676" t="s">
        <v>1314</v>
      </c>
      <c r="G676">
        <v>1042.92</v>
      </c>
      <c r="H676">
        <v>1370.83</v>
      </c>
      <c r="I676">
        <v>327.91</v>
      </c>
      <c r="J676">
        <v>1053.92</v>
      </c>
      <c r="K676">
        <v>1042.9199999999998</v>
      </c>
      <c r="L676">
        <v>-11</v>
      </c>
    </row>
    <row r="677" spans="1:12" x14ac:dyDescent="0.3">
      <c r="A677" t="s">
        <v>685</v>
      </c>
      <c r="B677" t="s">
        <v>874</v>
      </c>
      <c r="C677" s="4" t="s">
        <v>1197</v>
      </c>
      <c r="D677" t="s">
        <v>1292</v>
      </c>
      <c r="E677" t="s">
        <v>1297</v>
      </c>
      <c r="F677" t="s">
        <v>1331</v>
      </c>
      <c r="G677">
        <v>1219.4163333333336</v>
      </c>
      <c r="H677">
        <v>1420.2638235294123</v>
      </c>
      <c r="I677">
        <v>32.729999999999997</v>
      </c>
      <c r="J677">
        <v>99.43</v>
      </c>
      <c r="K677">
        <v>1387.5338235294123</v>
      </c>
      <c r="L677">
        <v>1119.9863333333335</v>
      </c>
    </row>
    <row r="678" spans="1:12" x14ac:dyDescent="0.3">
      <c r="A678" t="s">
        <v>686</v>
      </c>
      <c r="B678" t="s">
        <v>884</v>
      </c>
      <c r="C678" s="4" t="s">
        <v>1070</v>
      </c>
      <c r="D678" t="s">
        <v>1292</v>
      </c>
      <c r="E678" t="s">
        <v>1296</v>
      </c>
      <c r="F678" t="s">
        <v>1308</v>
      </c>
      <c r="G678">
        <v>8552.57</v>
      </c>
      <c r="H678">
        <v>11274.01</v>
      </c>
      <c r="I678">
        <v>2721.44</v>
      </c>
      <c r="J678">
        <v>8836.7199999999993</v>
      </c>
      <c r="K678">
        <v>8552.57</v>
      </c>
      <c r="L678">
        <v>-284.14999999999964</v>
      </c>
    </row>
    <row r="679" spans="1:12" x14ac:dyDescent="0.3">
      <c r="A679" t="s">
        <v>687</v>
      </c>
      <c r="B679" t="s">
        <v>929</v>
      </c>
      <c r="C679" s="4" t="s">
        <v>1031</v>
      </c>
      <c r="D679" t="s">
        <v>1292</v>
      </c>
      <c r="E679" t="s">
        <v>1295</v>
      </c>
      <c r="F679" t="s">
        <v>1313</v>
      </c>
      <c r="G679">
        <v>982.4</v>
      </c>
      <c r="H679">
        <v>1370.96</v>
      </c>
      <c r="I679">
        <v>388.56</v>
      </c>
      <c r="J679">
        <v>939.09</v>
      </c>
      <c r="K679">
        <v>982.40000000000009</v>
      </c>
      <c r="L679">
        <v>43.309999999999945</v>
      </c>
    </row>
    <row r="680" spans="1:12" x14ac:dyDescent="0.3">
      <c r="A680" t="s">
        <v>688</v>
      </c>
      <c r="B680" t="s">
        <v>864</v>
      </c>
      <c r="C680" s="4" t="s">
        <v>1252</v>
      </c>
      <c r="D680" t="s">
        <v>1291</v>
      </c>
      <c r="E680" t="s">
        <v>1298</v>
      </c>
      <c r="F680" t="s">
        <v>1317</v>
      </c>
      <c r="G680">
        <v>632.35</v>
      </c>
      <c r="H680">
        <v>829.59</v>
      </c>
      <c r="I680">
        <v>-124.44</v>
      </c>
      <c r="J680">
        <v>612.41999999999996</v>
      </c>
      <c r="K680">
        <v>954.03</v>
      </c>
      <c r="L680">
        <v>19.930000000000064</v>
      </c>
    </row>
    <row r="681" spans="1:12" x14ac:dyDescent="0.3">
      <c r="A681" t="s">
        <v>689</v>
      </c>
      <c r="B681" t="s">
        <v>830</v>
      </c>
      <c r="C681" s="4" t="s">
        <v>1090</v>
      </c>
      <c r="D681" t="s">
        <v>1292</v>
      </c>
      <c r="E681" t="s">
        <v>1294</v>
      </c>
      <c r="F681" t="s">
        <v>1301</v>
      </c>
      <c r="G681">
        <v>146.58000000000001</v>
      </c>
      <c r="H681">
        <v>187.72</v>
      </c>
      <c r="I681">
        <v>41.14</v>
      </c>
      <c r="J681">
        <v>146.5</v>
      </c>
      <c r="K681">
        <v>146.57999999999998</v>
      </c>
      <c r="L681">
        <v>8.0000000000012506E-2</v>
      </c>
    </row>
    <row r="682" spans="1:12" x14ac:dyDescent="0.3">
      <c r="A682" t="s">
        <v>690</v>
      </c>
      <c r="B682" t="s">
        <v>842</v>
      </c>
      <c r="C682" s="4" t="s">
        <v>1270</v>
      </c>
      <c r="D682" t="s">
        <v>1292</v>
      </c>
      <c r="E682" t="s">
        <v>1294</v>
      </c>
      <c r="F682" t="s">
        <v>1301</v>
      </c>
      <c r="G682">
        <v>742.23</v>
      </c>
      <c r="H682">
        <v>937.66</v>
      </c>
      <c r="I682">
        <v>195.43</v>
      </c>
      <c r="J682">
        <v>752.35</v>
      </c>
      <c r="K682">
        <v>742.23</v>
      </c>
      <c r="L682">
        <v>-10.120000000000005</v>
      </c>
    </row>
    <row r="683" spans="1:12" x14ac:dyDescent="0.3">
      <c r="A683" t="s">
        <v>691</v>
      </c>
      <c r="B683" t="s">
        <v>875</v>
      </c>
      <c r="C683" s="4" t="s">
        <v>1202</v>
      </c>
      <c r="D683" t="s">
        <v>1291</v>
      </c>
      <c r="E683" t="s">
        <v>1294</v>
      </c>
      <c r="F683" t="s">
        <v>1314</v>
      </c>
      <c r="G683">
        <v>101.38</v>
      </c>
      <c r="H683">
        <v>126.83</v>
      </c>
      <c r="I683">
        <v>-19.02</v>
      </c>
      <c r="J683">
        <v>92.68</v>
      </c>
      <c r="K683">
        <v>145.85</v>
      </c>
      <c r="L683">
        <v>8.6999999999999886</v>
      </c>
    </row>
    <row r="684" spans="1:12" x14ac:dyDescent="0.3">
      <c r="A684" t="s">
        <v>692</v>
      </c>
      <c r="B684" t="s">
        <v>829</v>
      </c>
      <c r="C684" s="4" t="s">
        <v>1271</v>
      </c>
      <c r="D684" t="s">
        <v>1291</v>
      </c>
      <c r="E684" t="s">
        <v>1294</v>
      </c>
      <c r="F684" t="s">
        <v>1333</v>
      </c>
      <c r="G684">
        <v>791.79</v>
      </c>
      <c r="H684">
        <v>1028.3</v>
      </c>
      <c r="I684">
        <v>-154.24</v>
      </c>
      <c r="J684">
        <v>722.26</v>
      </c>
      <c r="K684">
        <v>1182.54</v>
      </c>
      <c r="L684">
        <v>69.529999999999973</v>
      </c>
    </row>
    <row r="685" spans="1:12" x14ac:dyDescent="0.3">
      <c r="A685" t="s">
        <v>693</v>
      </c>
      <c r="B685" t="s">
        <v>891</v>
      </c>
      <c r="C685" s="4" t="s">
        <v>951</v>
      </c>
      <c r="D685" t="s">
        <v>1292</v>
      </c>
      <c r="E685" t="s">
        <v>1293</v>
      </c>
      <c r="F685" t="s">
        <v>1300</v>
      </c>
      <c r="G685">
        <v>550.41</v>
      </c>
      <c r="H685">
        <v>664</v>
      </c>
      <c r="I685">
        <v>113.59</v>
      </c>
      <c r="J685">
        <v>559.41999999999996</v>
      </c>
      <c r="K685">
        <v>550.41</v>
      </c>
      <c r="L685">
        <v>-9.0099999999999909</v>
      </c>
    </row>
    <row r="686" spans="1:12" x14ac:dyDescent="0.3">
      <c r="A686" t="s">
        <v>694</v>
      </c>
      <c r="B686" t="s">
        <v>830</v>
      </c>
      <c r="C686" s="4" t="s">
        <v>981</v>
      </c>
      <c r="D686" t="s">
        <v>1291</v>
      </c>
      <c r="E686" t="s">
        <v>1297</v>
      </c>
      <c r="F686" t="s">
        <v>1331</v>
      </c>
      <c r="G686">
        <v>1101.18</v>
      </c>
      <c r="H686">
        <v>1441.18</v>
      </c>
      <c r="I686">
        <v>-216.18</v>
      </c>
      <c r="J686">
        <v>1206.1199999999999</v>
      </c>
      <c r="K686">
        <v>1657.3600000000001</v>
      </c>
      <c r="L686">
        <v>-104.93999999999983</v>
      </c>
    </row>
    <row r="687" spans="1:12" x14ac:dyDescent="0.3">
      <c r="A687" t="s">
        <v>695</v>
      </c>
      <c r="B687" t="s">
        <v>797</v>
      </c>
      <c r="C687" s="4" t="s">
        <v>1107</v>
      </c>
      <c r="D687" t="s">
        <v>1291</v>
      </c>
      <c r="E687" t="s">
        <v>1299</v>
      </c>
      <c r="F687" t="s">
        <v>1334</v>
      </c>
      <c r="G687">
        <v>797.91</v>
      </c>
      <c r="H687">
        <v>1029.44</v>
      </c>
      <c r="I687">
        <v>-154.41999999999999</v>
      </c>
      <c r="J687">
        <v>737.92</v>
      </c>
      <c r="K687">
        <v>1183.8600000000001</v>
      </c>
      <c r="L687">
        <v>59.990000000000009</v>
      </c>
    </row>
    <row r="688" spans="1:12" x14ac:dyDescent="0.3">
      <c r="A688" t="s">
        <v>696</v>
      </c>
      <c r="B688" t="s">
        <v>884</v>
      </c>
      <c r="C688" s="4" t="s">
        <v>980</v>
      </c>
      <c r="D688" t="s">
        <v>1292</v>
      </c>
      <c r="E688" t="s">
        <v>1295</v>
      </c>
      <c r="F688" t="s">
        <v>1313</v>
      </c>
      <c r="G688">
        <v>1141.99</v>
      </c>
      <c r="H688">
        <v>1505.54</v>
      </c>
      <c r="I688">
        <v>363.55</v>
      </c>
      <c r="J688">
        <v>1131.8</v>
      </c>
      <c r="K688">
        <v>1141.99</v>
      </c>
      <c r="L688">
        <v>10.190000000000055</v>
      </c>
    </row>
    <row r="689" spans="1:12" x14ac:dyDescent="0.3">
      <c r="A689" t="s">
        <v>697</v>
      </c>
      <c r="B689" t="s">
        <v>893</v>
      </c>
      <c r="C689" s="4" t="s">
        <v>1154</v>
      </c>
      <c r="D689" t="s">
        <v>1292</v>
      </c>
      <c r="E689" t="s">
        <v>1297</v>
      </c>
      <c r="F689" t="s">
        <v>1331</v>
      </c>
      <c r="G689">
        <v>818.14</v>
      </c>
      <c r="H689">
        <v>1082.93</v>
      </c>
      <c r="I689">
        <v>264.79000000000002</v>
      </c>
      <c r="J689">
        <v>811.91</v>
      </c>
      <c r="K689">
        <v>818.1400000000001</v>
      </c>
      <c r="L689">
        <v>6.2300000000000182</v>
      </c>
    </row>
    <row r="690" spans="1:12" x14ac:dyDescent="0.3">
      <c r="A690" t="s">
        <v>698</v>
      </c>
      <c r="B690" t="s">
        <v>921</v>
      </c>
      <c r="C690" s="4" t="s">
        <v>1030</v>
      </c>
      <c r="D690" t="s">
        <v>1291</v>
      </c>
      <c r="E690" t="s">
        <v>1294</v>
      </c>
      <c r="F690" t="s">
        <v>1301</v>
      </c>
      <c r="G690">
        <v>604.21</v>
      </c>
      <c r="H690">
        <v>824.78</v>
      </c>
      <c r="I690">
        <v>-123.72</v>
      </c>
      <c r="J690">
        <v>650</v>
      </c>
      <c r="K690">
        <v>948.5</v>
      </c>
      <c r="L690">
        <v>-45.789999999999964</v>
      </c>
    </row>
    <row r="691" spans="1:12" x14ac:dyDescent="0.3">
      <c r="A691" t="s">
        <v>699</v>
      </c>
      <c r="B691" t="s">
        <v>822</v>
      </c>
      <c r="C691" s="4" t="s">
        <v>1110</v>
      </c>
      <c r="D691" t="s">
        <v>1291</v>
      </c>
      <c r="E691" t="s">
        <v>1293</v>
      </c>
      <c r="F691" t="s">
        <v>1300</v>
      </c>
      <c r="G691">
        <v>345.17</v>
      </c>
      <c r="H691">
        <v>405.53</v>
      </c>
      <c r="I691">
        <v>-60.83</v>
      </c>
      <c r="J691">
        <v>399.52</v>
      </c>
      <c r="K691">
        <v>466.35999999999996</v>
      </c>
      <c r="L691">
        <v>-54.349999999999966</v>
      </c>
    </row>
    <row r="692" spans="1:12" x14ac:dyDescent="0.3">
      <c r="A692" t="s">
        <v>700</v>
      </c>
      <c r="B692" t="s">
        <v>858</v>
      </c>
      <c r="C692" s="4" t="s">
        <v>960</v>
      </c>
      <c r="D692" t="s">
        <v>1291</v>
      </c>
      <c r="E692" t="s">
        <v>1293</v>
      </c>
      <c r="F692" t="s">
        <v>1320</v>
      </c>
      <c r="G692">
        <v>1102.79</v>
      </c>
      <c r="H692">
        <v>1338.18</v>
      </c>
      <c r="I692">
        <v>-200.73</v>
      </c>
      <c r="J692">
        <v>1057.19</v>
      </c>
      <c r="K692">
        <v>1538.91</v>
      </c>
      <c r="L692">
        <v>45.599999999999909</v>
      </c>
    </row>
    <row r="693" spans="1:12" x14ac:dyDescent="0.3">
      <c r="A693" t="s">
        <v>701</v>
      </c>
      <c r="B693" t="s">
        <v>898</v>
      </c>
      <c r="C693" s="4" t="s">
        <v>1154</v>
      </c>
      <c r="D693" t="s">
        <v>1291</v>
      </c>
      <c r="E693" t="s">
        <v>1297</v>
      </c>
      <c r="F693" t="s">
        <v>1309</v>
      </c>
      <c r="G693">
        <v>1219.4163333333336</v>
      </c>
      <c r="H693">
        <v>136.28</v>
      </c>
      <c r="I693">
        <v>-20.440000000000001</v>
      </c>
      <c r="J693">
        <v>100.98</v>
      </c>
      <c r="K693">
        <v>156.72</v>
      </c>
      <c r="L693">
        <v>1118.4363333333336</v>
      </c>
    </row>
    <row r="694" spans="1:12" x14ac:dyDescent="0.3">
      <c r="A694" t="s">
        <v>702</v>
      </c>
      <c r="B694" t="s">
        <v>808</v>
      </c>
      <c r="C694" s="4" t="s">
        <v>1169</v>
      </c>
      <c r="D694" t="s">
        <v>1292</v>
      </c>
      <c r="E694" t="s">
        <v>1296</v>
      </c>
      <c r="F694" t="s">
        <v>1330</v>
      </c>
      <c r="G694">
        <v>7617.66</v>
      </c>
      <c r="H694">
        <v>10024.84</v>
      </c>
      <c r="I694">
        <v>2407.1799999999998</v>
      </c>
      <c r="J694">
        <v>6870.57</v>
      </c>
      <c r="K694">
        <v>7617.66</v>
      </c>
      <c r="L694">
        <v>747.09000000000015</v>
      </c>
    </row>
    <row r="695" spans="1:12" x14ac:dyDescent="0.3">
      <c r="A695" t="s">
        <v>703</v>
      </c>
      <c r="B695" t="s">
        <v>843</v>
      </c>
      <c r="C695" s="4" t="s">
        <v>1164</v>
      </c>
      <c r="D695" t="s">
        <v>1292</v>
      </c>
      <c r="E695" t="s">
        <v>1298</v>
      </c>
      <c r="F695" t="s">
        <v>1310</v>
      </c>
      <c r="G695">
        <v>1219.4163333333336</v>
      </c>
      <c r="H695">
        <v>118.25</v>
      </c>
      <c r="I695">
        <v>18.25</v>
      </c>
      <c r="J695">
        <v>106.17</v>
      </c>
      <c r="K695">
        <v>100</v>
      </c>
      <c r="L695">
        <v>1113.2463333333335</v>
      </c>
    </row>
    <row r="696" spans="1:12" x14ac:dyDescent="0.3">
      <c r="A696" t="s">
        <v>704</v>
      </c>
      <c r="B696" t="s">
        <v>794</v>
      </c>
      <c r="C696" s="4" t="s">
        <v>1272</v>
      </c>
      <c r="D696" t="s">
        <v>1292</v>
      </c>
      <c r="E696" t="s">
        <v>1295</v>
      </c>
      <c r="F696" t="s">
        <v>1313</v>
      </c>
      <c r="G696">
        <v>268</v>
      </c>
      <c r="H696">
        <v>372.32</v>
      </c>
      <c r="I696">
        <v>104.32</v>
      </c>
      <c r="J696">
        <v>299.27</v>
      </c>
      <c r="K696">
        <v>268</v>
      </c>
      <c r="L696">
        <v>-31.269999999999982</v>
      </c>
    </row>
    <row r="697" spans="1:12" x14ac:dyDescent="0.3">
      <c r="A697" t="s">
        <v>705</v>
      </c>
      <c r="B697" t="s">
        <v>906</v>
      </c>
      <c r="C697" s="4" t="s">
        <v>946</v>
      </c>
      <c r="D697" t="s">
        <v>1291</v>
      </c>
      <c r="E697" t="s">
        <v>1296</v>
      </c>
      <c r="F697" t="s">
        <v>1308</v>
      </c>
      <c r="G697">
        <v>6754.68</v>
      </c>
      <c r="H697">
        <v>8977.35</v>
      </c>
      <c r="I697">
        <v>-1346.6</v>
      </c>
      <c r="J697">
        <v>6388.2</v>
      </c>
      <c r="K697">
        <v>10323.950000000001</v>
      </c>
      <c r="L697">
        <v>366.48000000000047</v>
      </c>
    </row>
    <row r="698" spans="1:12" x14ac:dyDescent="0.3">
      <c r="A698" t="s">
        <v>706</v>
      </c>
      <c r="B698" t="s">
        <v>915</v>
      </c>
      <c r="C698" s="4" t="s">
        <v>1173</v>
      </c>
      <c r="D698" t="s">
        <v>1292</v>
      </c>
      <c r="E698" t="s">
        <v>1298</v>
      </c>
      <c r="F698" t="s">
        <v>1317</v>
      </c>
      <c r="G698">
        <v>1164.58</v>
      </c>
      <c r="H698">
        <v>1355.06</v>
      </c>
      <c r="I698">
        <v>190.48</v>
      </c>
      <c r="J698">
        <v>1332.47</v>
      </c>
      <c r="K698">
        <v>1164.58</v>
      </c>
      <c r="L698">
        <v>-167.8900000000001</v>
      </c>
    </row>
    <row r="699" spans="1:12" x14ac:dyDescent="0.3">
      <c r="A699" t="s">
        <v>707</v>
      </c>
      <c r="B699" t="s">
        <v>929</v>
      </c>
      <c r="C699" s="4" t="s">
        <v>939</v>
      </c>
      <c r="D699" t="s">
        <v>1292</v>
      </c>
      <c r="E699" t="s">
        <v>1298</v>
      </c>
      <c r="F699" t="s">
        <v>1306</v>
      </c>
      <c r="G699">
        <v>51.09</v>
      </c>
      <c r="H699">
        <v>66.86</v>
      </c>
      <c r="I699">
        <v>15.77</v>
      </c>
      <c r="J699">
        <v>55.92</v>
      </c>
      <c r="K699">
        <v>51.09</v>
      </c>
      <c r="L699">
        <v>-4.8299999999999983</v>
      </c>
    </row>
    <row r="700" spans="1:12" x14ac:dyDescent="0.3">
      <c r="A700" t="s">
        <v>708</v>
      </c>
      <c r="B700" t="s">
        <v>871</v>
      </c>
      <c r="C700" s="4" t="s">
        <v>1111</v>
      </c>
      <c r="D700" t="s">
        <v>1292</v>
      </c>
      <c r="E700" t="s">
        <v>1296</v>
      </c>
      <c r="F700" t="s">
        <v>1332</v>
      </c>
      <c r="G700">
        <v>4865.38</v>
      </c>
      <c r="H700">
        <v>5786.93</v>
      </c>
      <c r="I700">
        <v>921.55</v>
      </c>
      <c r="J700">
        <v>5343.95</v>
      </c>
      <c r="K700">
        <v>4865.38</v>
      </c>
      <c r="L700">
        <v>-478.56999999999971</v>
      </c>
    </row>
    <row r="701" spans="1:12" x14ac:dyDescent="0.3">
      <c r="A701" t="s">
        <v>709</v>
      </c>
      <c r="B701" t="s">
        <v>850</v>
      </c>
      <c r="C701" s="4" t="s">
        <v>1231</v>
      </c>
      <c r="D701" t="s">
        <v>1292</v>
      </c>
      <c r="E701" t="s">
        <v>1294</v>
      </c>
      <c r="F701" t="s">
        <v>1301</v>
      </c>
      <c r="G701">
        <v>538.82000000000005</v>
      </c>
      <c r="H701">
        <v>666.83</v>
      </c>
      <c r="I701">
        <v>128.01</v>
      </c>
      <c r="J701">
        <v>557.80999999999995</v>
      </c>
      <c r="K701">
        <v>538.82000000000005</v>
      </c>
      <c r="L701">
        <v>-18.989999999999895</v>
      </c>
    </row>
    <row r="702" spans="1:12" x14ac:dyDescent="0.3">
      <c r="A702" t="s">
        <v>710</v>
      </c>
      <c r="B702" t="s">
        <v>870</v>
      </c>
      <c r="C702" s="4" t="s">
        <v>1034</v>
      </c>
      <c r="D702" t="s">
        <v>1292</v>
      </c>
      <c r="E702" t="s">
        <v>1297</v>
      </c>
      <c r="F702" t="s">
        <v>1331</v>
      </c>
      <c r="G702">
        <v>78.19</v>
      </c>
      <c r="H702">
        <v>105.63</v>
      </c>
      <c r="I702">
        <v>27.44</v>
      </c>
      <c r="J702">
        <v>87.2</v>
      </c>
      <c r="K702">
        <v>78.19</v>
      </c>
      <c r="L702">
        <v>-9.0100000000000051</v>
      </c>
    </row>
    <row r="703" spans="1:12" x14ac:dyDescent="0.3">
      <c r="A703" t="s">
        <v>711</v>
      </c>
      <c r="B703" t="s">
        <v>830</v>
      </c>
      <c r="C703" s="4" t="s">
        <v>1124</v>
      </c>
      <c r="D703" t="s">
        <v>1292</v>
      </c>
      <c r="E703" t="s">
        <v>1298</v>
      </c>
      <c r="F703" t="s">
        <v>1310</v>
      </c>
      <c r="G703">
        <v>170.17</v>
      </c>
      <c r="H703">
        <v>202.07</v>
      </c>
      <c r="I703">
        <v>31.9</v>
      </c>
      <c r="J703">
        <v>202.48</v>
      </c>
      <c r="K703">
        <v>170.17</v>
      </c>
      <c r="L703">
        <v>-32.31</v>
      </c>
    </row>
    <row r="704" spans="1:12" x14ac:dyDescent="0.3">
      <c r="A704" t="s">
        <v>712</v>
      </c>
      <c r="B704" t="s">
        <v>897</v>
      </c>
      <c r="C704" s="4" t="s">
        <v>1176</v>
      </c>
      <c r="D704" t="s">
        <v>1292</v>
      </c>
      <c r="E704" t="s">
        <v>1299</v>
      </c>
      <c r="F704" t="s">
        <v>1312</v>
      </c>
      <c r="G704">
        <v>150.4</v>
      </c>
      <c r="H704">
        <v>177.27</v>
      </c>
      <c r="I704">
        <v>-44.182985074626863</v>
      </c>
      <c r="J704">
        <v>149.61000000000001</v>
      </c>
      <c r="K704">
        <v>221.45298507462687</v>
      </c>
      <c r="L704">
        <v>0.78999999999999204</v>
      </c>
    </row>
    <row r="705" spans="1:12" x14ac:dyDescent="0.3">
      <c r="A705" t="s">
        <v>713</v>
      </c>
      <c r="B705" t="s">
        <v>911</v>
      </c>
      <c r="C705" s="4" t="s">
        <v>997</v>
      </c>
      <c r="D705" t="s">
        <v>1292</v>
      </c>
      <c r="E705" t="s">
        <v>1299</v>
      </c>
      <c r="F705" t="s">
        <v>1311</v>
      </c>
      <c r="G705">
        <v>1048.78</v>
      </c>
      <c r="H705">
        <v>1381.27</v>
      </c>
      <c r="I705">
        <v>332.49</v>
      </c>
      <c r="J705">
        <v>1227.21</v>
      </c>
      <c r="K705">
        <v>1048.78</v>
      </c>
      <c r="L705">
        <v>-178.43000000000006</v>
      </c>
    </row>
    <row r="706" spans="1:12" x14ac:dyDescent="0.3">
      <c r="A706" t="s">
        <v>714</v>
      </c>
      <c r="B706" t="s">
        <v>910</v>
      </c>
      <c r="C706" s="4" t="s">
        <v>1273</v>
      </c>
      <c r="D706" t="s">
        <v>1292</v>
      </c>
      <c r="E706" t="s">
        <v>1298</v>
      </c>
      <c r="F706" t="s">
        <v>1306</v>
      </c>
      <c r="G706">
        <v>517.53</v>
      </c>
      <c r="H706">
        <v>700.14</v>
      </c>
      <c r="I706">
        <v>182.61</v>
      </c>
      <c r="J706">
        <v>509.77</v>
      </c>
      <c r="K706">
        <v>517.53</v>
      </c>
      <c r="L706">
        <v>7.7599999999999909</v>
      </c>
    </row>
    <row r="707" spans="1:12" x14ac:dyDescent="0.3">
      <c r="A707" t="s">
        <v>715</v>
      </c>
      <c r="B707" t="s">
        <v>918</v>
      </c>
      <c r="C707" s="4" t="s">
        <v>1181</v>
      </c>
      <c r="D707" t="s">
        <v>1292</v>
      </c>
      <c r="E707" t="s">
        <v>1296</v>
      </c>
      <c r="F707" t="s">
        <v>1308</v>
      </c>
      <c r="G707">
        <v>7185.29</v>
      </c>
      <c r="H707">
        <v>9089.2199999999993</v>
      </c>
      <c r="I707">
        <v>1903.93</v>
      </c>
      <c r="J707">
        <v>8160.34</v>
      </c>
      <c r="K707">
        <v>7185.2899999999991</v>
      </c>
      <c r="L707">
        <v>-975.05000000000018</v>
      </c>
    </row>
    <row r="708" spans="1:12" x14ac:dyDescent="0.3">
      <c r="A708" t="s">
        <v>716</v>
      </c>
      <c r="B708" t="s">
        <v>924</v>
      </c>
      <c r="C708" s="4" t="s">
        <v>987</v>
      </c>
      <c r="D708" t="s">
        <v>1291</v>
      </c>
      <c r="E708" t="s">
        <v>1296</v>
      </c>
      <c r="F708" t="s">
        <v>1330</v>
      </c>
      <c r="G708">
        <v>7387.22</v>
      </c>
      <c r="H708">
        <v>10184.200000000001</v>
      </c>
      <c r="I708">
        <v>-1527.63</v>
      </c>
      <c r="J708">
        <v>8599.67</v>
      </c>
      <c r="K708">
        <v>11711.830000000002</v>
      </c>
      <c r="L708">
        <v>-1212.4499999999998</v>
      </c>
    </row>
    <row r="709" spans="1:12" x14ac:dyDescent="0.3">
      <c r="A709" t="s">
        <v>717</v>
      </c>
      <c r="B709" t="s">
        <v>809</v>
      </c>
      <c r="C709" s="4" t="s">
        <v>1274</v>
      </c>
      <c r="D709" t="s">
        <v>1292</v>
      </c>
      <c r="E709" t="s">
        <v>1298</v>
      </c>
      <c r="F709" t="s">
        <v>1306</v>
      </c>
      <c r="G709">
        <v>725.97</v>
      </c>
      <c r="H709">
        <v>1002.05</v>
      </c>
      <c r="I709">
        <v>276.08</v>
      </c>
      <c r="J709">
        <v>788.63</v>
      </c>
      <c r="K709">
        <v>725.97</v>
      </c>
      <c r="L709">
        <v>-62.659999999999968</v>
      </c>
    </row>
    <row r="710" spans="1:12" x14ac:dyDescent="0.3">
      <c r="A710" t="s">
        <v>718</v>
      </c>
      <c r="B710" t="s">
        <v>865</v>
      </c>
      <c r="C710" s="4" t="s">
        <v>1121</v>
      </c>
      <c r="D710" t="s">
        <v>1292</v>
      </c>
      <c r="E710" t="s">
        <v>1299</v>
      </c>
      <c r="F710" t="s">
        <v>1311</v>
      </c>
      <c r="G710">
        <v>25.5</v>
      </c>
      <c r="H710">
        <v>32.86</v>
      </c>
      <c r="I710">
        <v>7.36</v>
      </c>
      <c r="J710">
        <v>24.37</v>
      </c>
      <c r="K710">
        <v>25.5</v>
      </c>
      <c r="L710">
        <v>1.129999999999999</v>
      </c>
    </row>
    <row r="711" spans="1:12" x14ac:dyDescent="0.3">
      <c r="A711" t="s">
        <v>719</v>
      </c>
      <c r="B711" t="s">
        <v>797</v>
      </c>
      <c r="C711" s="4" t="s">
        <v>944</v>
      </c>
      <c r="D711" t="s">
        <v>1292</v>
      </c>
      <c r="E711" t="s">
        <v>1293</v>
      </c>
      <c r="F711" t="s">
        <v>1300</v>
      </c>
      <c r="G711">
        <v>475.62</v>
      </c>
      <c r="H711">
        <v>602.26</v>
      </c>
      <c r="I711">
        <v>126.64</v>
      </c>
      <c r="J711">
        <v>540.22</v>
      </c>
      <c r="K711">
        <v>475.62</v>
      </c>
      <c r="L711">
        <v>-64.600000000000023</v>
      </c>
    </row>
    <row r="712" spans="1:12" x14ac:dyDescent="0.3">
      <c r="A712" t="s">
        <v>720</v>
      </c>
      <c r="B712" t="s">
        <v>915</v>
      </c>
      <c r="C712" s="4" t="s">
        <v>1268</v>
      </c>
      <c r="D712" t="s">
        <v>1291</v>
      </c>
      <c r="E712" t="s">
        <v>1296</v>
      </c>
      <c r="F712" t="s">
        <v>1330</v>
      </c>
      <c r="G712">
        <v>7671.06</v>
      </c>
      <c r="H712">
        <v>9042.6200000000008</v>
      </c>
      <c r="I712">
        <v>-1356.39</v>
      </c>
      <c r="J712">
        <v>7308.85</v>
      </c>
      <c r="K712">
        <v>10399.01</v>
      </c>
      <c r="L712">
        <v>362.21000000000004</v>
      </c>
    </row>
    <row r="713" spans="1:12" x14ac:dyDescent="0.3">
      <c r="A713" t="s">
        <v>721</v>
      </c>
      <c r="B713" t="s">
        <v>918</v>
      </c>
      <c r="C713" s="4" t="s">
        <v>1275</v>
      </c>
      <c r="D713" t="s">
        <v>1292</v>
      </c>
      <c r="E713" t="s">
        <v>1295</v>
      </c>
      <c r="F713" t="s">
        <v>1304</v>
      </c>
      <c r="G713">
        <v>1199.49</v>
      </c>
      <c r="H713">
        <v>1624.56</v>
      </c>
      <c r="I713">
        <v>425.07</v>
      </c>
      <c r="J713">
        <v>1338.38</v>
      </c>
      <c r="K713">
        <v>1199.49</v>
      </c>
      <c r="L713">
        <v>-138.8900000000001</v>
      </c>
    </row>
    <row r="714" spans="1:12" x14ac:dyDescent="0.3">
      <c r="A714" t="s">
        <v>722</v>
      </c>
      <c r="B714" t="s">
        <v>822</v>
      </c>
      <c r="C714" s="4" t="s">
        <v>1106</v>
      </c>
      <c r="D714" t="s">
        <v>1292</v>
      </c>
      <c r="E714" t="s">
        <v>1297</v>
      </c>
      <c r="F714" t="s">
        <v>1331</v>
      </c>
      <c r="G714">
        <v>1099.07</v>
      </c>
      <c r="H714">
        <v>1309.47</v>
      </c>
      <c r="I714">
        <v>210.4</v>
      </c>
      <c r="J714">
        <v>1200.94</v>
      </c>
      <c r="K714">
        <v>1099.07</v>
      </c>
      <c r="L714">
        <v>-101.87000000000012</v>
      </c>
    </row>
    <row r="715" spans="1:12" x14ac:dyDescent="0.3">
      <c r="A715" t="s">
        <v>723</v>
      </c>
      <c r="B715" t="s">
        <v>929</v>
      </c>
      <c r="C715" s="4" t="s">
        <v>1171</v>
      </c>
      <c r="D715" t="s">
        <v>1292</v>
      </c>
      <c r="E715" t="s">
        <v>1298</v>
      </c>
      <c r="F715" t="s">
        <v>1310</v>
      </c>
      <c r="G715">
        <v>189.9</v>
      </c>
      <c r="H715">
        <v>241.15</v>
      </c>
      <c r="I715">
        <v>51.25</v>
      </c>
      <c r="J715">
        <v>212.14</v>
      </c>
      <c r="K715">
        <v>189.9</v>
      </c>
      <c r="L715">
        <v>-22.239999999999981</v>
      </c>
    </row>
    <row r="716" spans="1:12" x14ac:dyDescent="0.3">
      <c r="A716" t="s">
        <v>724</v>
      </c>
      <c r="B716" t="s">
        <v>885</v>
      </c>
      <c r="C716" s="4" t="s">
        <v>940</v>
      </c>
      <c r="D716" t="s">
        <v>1291</v>
      </c>
      <c r="E716" t="s">
        <v>1297</v>
      </c>
      <c r="F716" t="s">
        <v>1331</v>
      </c>
      <c r="G716">
        <v>448.59</v>
      </c>
      <c r="H716">
        <v>605.92999999999995</v>
      </c>
      <c r="I716">
        <v>-90.89</v>
      </c>
      <c r="J716">
        <v>408.69</v>
      </c>
      <c r="K716">
        <v>696.81999999999994</v>
      </c>
      <c r="L716">
        <v>39.899999999999977</v>
      </c>
    </row>
    <row r="717" spans="1:12" x14ac:dyDescent="0.3">
      <c r="A717" t="s">
        <v>725</v>
      </c>
      <c r="B717" t="s">
        <v>841</v>
      </c>
      <c r="C717" s="4" t="s">
        <v>1034</v>
      </c>
      <c r="D717" t="s">
        <v>1291</v>
      </c>
      <c r="E717" t="s">
        <v>1299</v>
      </c>
      <c r="F717" t="s">
        <v>1334</v>
      </c>
      <c r="G717">
        <v>1025.72</v>
      </c>
      <c r="H717">
        <v>1311.78</v>
      </c>
      <c r="I717">
        <v>-196.77</v>
      </c>
      <c r="J717">
        <v>987.23</v>
      </c>
      <c r="K717">
        <v>1508.55</v>
      </c>
      <c r="L717">
        <v>38.490000000000009</v>
      </c>
    </row>
    <row r="718" spans="1:12" x14ac:dyDescent="0.3">
      <c r="A718" t="s">
        <v>726</v>
      </c>
      <c r="B718" t="s">
        <v>807</v>
      </c>
      <c r="C718" s="4" t="s">
        <v>1044</v>
      </c>
      <c r="D718" t="s">
        <v>1292</v>
      </c>
      <c r="E718" t="s">
        <v>1294</v>
      </c>
      <c r="F718" t="s">
        <v>1333</v>
      </c>
      <c r="G718">
        <v>89.32</v>
      </c>
      <c r="H718">
        <v>117.39</v>
      </c>
      <c r="I718">
        <v>28.07</v>
      </c>
      <c r="J718">
        <v>99.68</v>
      </c>
      <c r="K718">
        <v>89.32</v>
      </c>
      <c r="L718">
        <v>-10.360000000000014</v>
      </c>
    </row>
    <row r="719" spans="1:12" x14ac:dyDescent="0.3">
      <c r="A719" t="s">
        <v>727</v>
      </c>
      <c r="B719" t="s">
        <v>831</v>
      </c>
      <c r="C719" s="4" t="s">
        <v>988</v>
      </c>
      <c r="D719" t="s">
        <v>1291</v>
      </c>
      <c r="E719" t="s">
        <v>1296</v>
      </c>
      <c r="F719" t="s">
        <v>1330</v>
      </c>
      <c r="G719">
        <v>8226.59</v>
      </c>
      <c r="H719">
        <v>11302.48</v>
      </c>
      <c r="I719">
        <v>-1695.37</v>
      </c>
      <c r="J719">
        <v>7732.52</v>
      </c>
      <c r="K719">
        <v>12997.849999999999</v>
      </c>
      <c r="L719">
        <v>494.06999999999971</v>
      </c>
    </row>
    <row r="720" spans="1:12" x14ac:dyDescent="0.3">
      <c r="A720" t="s">
        <v>728</v>
      </c>
      <c r="B720" t="s">
        <v>898</v>
      </c>
      <c r="C720" s="4" t="s">
        <v>1220</v>
      </c>
      <c r="D720" t="s">
        <v>1292</v>
      </c>
      <c r="E720" t="s">
        <v>1299</v>
      </c>
      <c r="F720" t="s">
        <v>1311</v>
      </c>
      <c r="G720">
        <v>1045.1400000000001</v>
      </c>
      <c r="H720">
        <v>1211.7</v>
      </c>
      <c r="I720">
        <v>166.56</v>
      </c>
      <c r="J720">
        <v>993.48</v>
      </c>
      <c r="K720">
        <v>1045.1400000000001</v>
      </c>
      <c r="L720">
        <v>51.660000000000082</v>
      </c>
    </row>
    <row r="721" spans="1:12" x14ac:dyDescent="0.3">
      <c r="A721" t="s">
        <v>729</v>
      </c>
      <c r="B721" t="s">
        <v>908</v>
      </c>
      <c r="C721" s="4" t="s">
        <v>948</v>
      </c>
      <c r="D721" t="s">
        <v>1292</v>
      </c>
      <c r="E721" t="s">
        <v>1298</v>
      </c>
      <c r="F721" t="s">
        <v>1310</v>
      </c>
      <c r="G721">
        <v>334.54</v>
      </c>
      <c r="H721">
        <v>408.56</v>
      </c>
      <c r="I721">
        <v>74.02</v>
      </c>
      <c r="J721">
        <v>371.69</v>
      </c>
      <c r="K721">
        <v>334.54</v>
      </c>
      <c r="L721">
        <v>-37.149999999999977</v>
      </c>
    </row>
    <row r="722" spans="1:12" x14ac:dyDescent="0.3">
      <c r="A722" t="s">
        <v>730</v>
      </c>
      <c r="B722" t="s">
        <v>933</v>
      </c>
      <c r="C722" s="4" t="s">
        <v>1276</v>
      </c>
      <c r="D722" t="s">
        <v>1292</v>
      </c>
      <c r="E722" t="s">
        <v>1298</v>
      </c>
      <c r="F722" t="s">
        <v>1306</v>
      </c>
      <c r="G722">
        <v>951.65</v>
      </c>
      <c r="H722">
        <v>1130.45</v>
      </c>
      <c r="I722">
        <v>178.8</v>
      </c>
      <c r="J722">
        <v>1084.24</v>
      </c>
      <c r="K722">
        <v>951.65000000000009</v>
      </c>
      <c r="L722">
        <v>-132.59000000000003</v>
      </c>
    </row>
    <row r="723" spans="1:12" x14ac:dyDescent="0.3">
      <c r="A723" t="s">
        <v>731</v>
      </c>
      <c r="B723" t="s">
        <v>840</v>
      </c>
      <c r="C723" s="4" t="s">
        <v>1261</v>
      </c>
      <c r="D723" t="s">
        <v>1291</v>
      </c>
      <c r="E723" t="s">
        <v>1298</v>
      </c>
      <c r="F723" t="s">
        <v>1306</v>
      </c>
      <c r="G723">
        <v>536.76</v>
      </c>
      <c r="H723">
        <v>651.04</v>
      </c>
      <c r="I723">
        <v>-97.66</v>
      </c>
      <c r="J723">
        <v>599.15</v>
      </c>
      <c r="K723">
        <v>748.69999999999993</v>
      </c>
      <c r="L723">
        <v>-62.389999999999986</v>
      </c>
    </row>
    <row r="724" spans="1:12" x14ac:dyDescent="0.3">
      <c r="A724" t="s">
        <v>732</v>
      </c>
      <c r="B724" t="s">
        <v>829</v>
      </c>
      <c r="C724" s="4" t="s">
        <v>1031</v>
      </c>
      <c r="D724" t="s">
        <v>1291</v>
      </c>
      <c r="E724" t="s">
        <v>1294</v>
      </c>
      <c r="F724" t="s">
        <v>1333</v>
      </c>
      <c r="G724">
        <v>462.67</v>
      </c>
      <c r="H724">
        <v>572.04</v>
      </c>
      <c r="I724">
        <v>-85.81</v>
      </c>
      <c r="J724">
        <v>520.80999999999995</v>
      </c>
      <c r="K724">
        <v>657.84999999999991</v>
      </c>
      <c r="L724">
        <v>-58.13999999999993</v>
      </c>
    </row>
    <row r="725" spans="1:12" x14ac:dyDescent="0.3">
      <c r="A725" t="s">
        <v>733</v>
      </c>
      <c r="B725" t="s">
        <v>862</v>
      </c>
      <c r="C725" s="4" t="s">
        <v>1180</v>
      </c>
      <c r="D725" t="s">
        <v>1291</v>
      </c>
      <c r="E725" t="s">
        <v>1295</v>
      </c>
      <c r="F725" t="s">
        <v>1329</v>
      </c>
      <c r="G725">
        <v>141.55000000000001</v>
      </c>
      <c r="H725">
        <v>172.97</v>
      </c>
      <c r="I725">
        <v>-25.95</v>
      </c>
      <c r="J725">
        <v>169.22</v>
      </c>
      <c r="K725">
        <v>198.92</v>
      </c>
      <c r="L725">
        <v>-27.669999999999987</v>
      </c>
    </row>
    <row r="726" spans="1:12" x14ac:dyDescent="0.3">
      <c r="A726" t="s">
        <v>734</v>
      </c>
      <c r="B726" t="s">
        <v>911</v>
      </c>
      <c r="C726" s="4" t="s">
        <v>1121</v>
      </c>
      <c r="D726" t="s">
        <v>1292</v>
      </c>
      <c r="E726" t="s">
        <v>1297</v>
      </c>
      <c r="F726" t="s">
        <v>1319</v>
      </c>
      <c r="G726">
        <v>1097.01</v>
      </c>
      <c r="H726">
        <v>1396.27</v>
      </c>
      <c r="I726">
        <v>299.26</v>
      </c>
      <c r="J726">
        <v>1028.83</v>
      </c>
      <c r="K726">
        <v>1097.01</v>
      </c>
      <c r="L726">
        <v>68.180000000000064</v>
      </c>
    </row>
    <row r="727" spans="1:12" x14ac:dyDescent="0.3">
      <c r="A727" t="s">
        <v>735</v>
      </c>
      <c r="B727" t="s">
        <v>932</v>
      </c>
      <c r="C727" s="4" t="s">
        <v>961</v>
      </c>
      <c r="D727" t="s">
        <v>1291</v>
      </c>
      <c r="E727" t="s">
        <v>1295</v>
      </c>
      <c r="F727" t="s">
        <v>1313</v>
      </c>
      <c r="G727">
        <v>221.04</v>
      </c>
      <c r="H727">
        <v>295.89999999999998</v>
      </c>
      <c r="I727">
        <v>-44.38</v>
      </c>
      <c r="J727">
        <v>253.37</v>
      </c>
      <c r="K727">
        <v>340.28</v>
      </c>
      <c r="L727">
        <v>-32.330000000000013</v>
      </c>
    </row>
    <row r="728" spans="1:12" x14ac:dyDescent="0.3">
      <c r="A728" t="s">
        <v>736</v>
      </c>
      <c r="B728" t="s">
        <v>897</v>
      </c>
      <c r="C728" s="4" t="s">
        <v>1119</v>
      </c>
      <c r="D728" t="s">
        <v>1292</v>
      </c>
      <c r="E728" t="s">
        <v>1299</v>
      </c>
      <c r="F728" t="s">
        <v>1312</v>
      </c>
      <c r="G728">
        <v>1061.3399999999999</v>
      </c>
      <c r="H728">
        <v>1335.62</v>
      </c>
      <c r="I728">
        <v>274.27999999999997</v>
      </c>
      <c r="J728">
        <v>1241.19</v>
      </c>
      <c r="K728">
        <v>1061.3399999999999</v>
      </c>
      <c r="L728">
        <v>-179.85000000000014</v>
      </c>
    </row>
    <row r="729" spans="1:12" x14ac:dyDescent="0.3">
      <c r="A729" t="s">
        <v>737</v>
      </c>
      <c r="B729" t="s">
        <v>880</v>
      </c>
      <c r="C729" s="4" t="s">
        <v>1220</v>
      </c>
      <c r="D729" t="s">
        <v>1292</v>
      </c>
      <c r="E729" t="s">
        <v>1297</v>
      </c>
      <c r="F729" t="s">
        <v>1331</v>
      </c>
      <c r="G729">
        <v>1030.05</v>
      </c>
      <c r="H729">
        <v>1251.5999999999999</v>
      </c>
      <c r="I729">
        <v>221.55</v>
      </c>
      <c r="J729">
        <v>929.81</v>
      </c>
      <c r="K729">
        <v>1030.05</v>
      </c>
      <c r="L729">
        <v>100.24000000000001</v>
      </c>
    </row>
    <row r="730" spans="1:12" x14ac:dyDescent="0.3">
      <c r="A730" t="s">
        <v>738</v>
      </c>
      <c r="B730" t="s">
        <v>838</v>
      </c>
      <c r="C730" s="4" t="s">
        <v>1184</v>
      </c>
      <c r="D730" t="s">
        <v>1291</v>
      </c>
      <c r="E730" t="s">
        <v>1296</v>
      </c>
      <c r="F730" t="s">
        <v>1332</v>
      </c>
      <c r="G730">
        <v>7126.76</v>
      </c>
      <c r="H730">
        <v>9415.5</v>
      </c>
      <c r="I730">
        <v>-1412.33</v>
      </c>
      <c r="J730">
        <v>7462.6</v>
      </c>
      <c r="K730">
        <v>10827.83</v>
      </c>
      <c r="L730">
        <v>-335.84000000000015</v>
      </c>
    </row>
    <row r="731" spans="1:12" x14ac:dyDescent="0.3">
      <c r="A731" t="s">
        <v>739</v>
      </c>
      <c r="B731" t="s">
        <v>923</v>
      </c>
      <c r="C731" s="4" t="s">
        <v>1178</v>
      </c>
      <c r="D731" t="s">
        <v>1291</v>
      </c>
      <c r="E731" t="s">
        <v>1299</v>
      </c>
      <c r="F731" t="s">
        <v>1311</v>
      </c>
      <c r="G731">
        <v>1137.4100000000001</v>
      </c>
      <c r="H731">
        <v>1412.34</v>
      </c>
      <c r="I731">
        <v>-211.85</v>
      </c>
      <c r="J731">
        <v>1249.3699999999999</v>
      </c>
      <c r="K731">
        <v>1624.1899999999998</v>
      </c>
      <c r="L731">
        <v>-111.95999999999981</v>
      </c>
    </row>
    <row r="732" spans="1:12" x14ac:dyDescent="0.3">
      <c r="A732" t="s">
        <v>740</v>
      </c>
      <c r="B732" t="s">
        <v>825</v>
      </c>
      <c r="C732" s="4" t="s">
        <v>1277</v>
      </c>
      <c r="D732" t="s">
        <v>1291</v>
      </c>
      <c r="E732" t="s">
        <v>1296</v>
      </c>
      <c r="F732" t="s">
        <v>1332</v>
      </c>
      <c r="G732">
        <v>7993.97</v>
      </c>
      <c r="H732">
        <v>9967.5499999999993</v>
      </c>
      <c r="I732">
        <v>-1495.13</v>
      </c>
      <c r="J732">
        <v>8110.47</v>
      </c>
      <c r="K732">
        <v>11462.68</v>
      </c>
      <c r="L732">
        <v>-116.5</v>
      </c>
    </row>
    <row r="733" spans="1:12" x14ac:dyDescent="0.3">
      <c r="A733" t="s">
        <v>741</v>
      </c>
      <c r="B733" t="s">
        <v>795</v>
      </c>
      <c r="C733" s="4" t="s">
        <v>951</v>
      </c>
      <c r="D733" t="s">
        <v>1291</v>
      </c>
      <c r="E733" t="s">
        <v>1297</v>
      </c>
      <c r="F733" t="s">
        <v>1331</v>
      </c>
      <c r="G733">
        <v>519.76</v>
      </c>
      <c r="H733">
        <v>1420.2638235294123</v>
      </c>
      <c r="I733">
        <v>-108.24</v>
      </c>
      <c r="J733">
        <v>598.35</v>
      </c>
      <c r="K733">
        <v>1528.5038235294123</v>
      </c>
      <c r="L733">
        <v>-78.590000000000032</v>
      </c>
    </row>
    <row r="734" spans="1:12" x14ac:dyDescent="0.3">
      <c r="A734" t="s">
        <v>742</v>
      </c>
      <c r="B734" t="s">
        <v>914</v>
      </c>
      <c r="C734" s="4" t="s">
        <v>1278</v>
      </c>
      <c r="D734" t="s">
        <v>1292</v>
      </c>
      <c r="E734" t="s">
        <v>1298</v>
      </c>
      <c r="F734" t="s">
        <v>1306</v>
      </c>
      <c r="G734">
        <v>991.56</v>
      </c>
      <c r="H734">
        <v>1227.93</v>
      </c>
      <c r="I734">
        <v>236.37</v>
      </c>
      <c r="J734">
        <v>1119.07</v>
      </c>
      <c r="K734">
        <v>991.56000000000006</v>
      </c>
      <c r="L734">
        <v>-127.50999999999999</v>
      </c>
    </row>
    <row r="735" spans="1:12" x14ac:dyDescent="0.3">
      <c r="A735" t="s">
        <v>743</v>
      </c>
      <c r="B735" t="s">
        <v>910</v>
      </c>
      <c r="C735" s="4" t="s">
        <v>1227</v>
      </c>
      <c r="D735" t="s">
        <v>1292</v>
      </c>
      <c r="E735" t="s">
        <v>1297</v>
      </c>
      <c r="F735" t="s">
        <v>1319</v>
      </c>
      <c r="G735">
        <v>521.14</v>
      </c>
      <c r="H735">
        <v>678.98</v>
      </c>
      <c r="I735">
        <v>157.84</v>
      </c>
      <c r="J735">
        <v>481.44</v>
      </c>
      <c r="K735">
        <v>521.14</v>
      </c>
      <c r="L735">
        <v>39.699999999999989</v>
      </c>
    </row>
    <row r="736" spans="1:12" x14ac:dyDescent="0.3">
      <c r="A736" t="s">
        <v>744</v>
      </c>
      <c r="B736" t="s">
        <v>889</v>
      </c>
      <c r="C736" s="4" t="s">
        <v>1246</v>
      </c>
      <c r="D736" t="s">
        <v>1292</v>
      </c>
      <c r="E736" t="s">
        <v>1298</v>
      </c>
      <c r="F736" t="s">
        <v>1310</v>
      </c>
      <c r="G736">
        <v>776.18</v>
      </c>
      <c r="H736">
        <v>917.44</v>
      </c>
      <c r="I736">
        <v>141.26</v>
      </c>
      <c r="J736">
        <v>870.73</v>
      </c>
      <c r="K736">
        <v>776.18000000000006</v>
      </c>
      <c r="L736">
        <v>-94.550000000000068</v>
      </c>
    </row>
    <row r="737" spans="1:12" x14ac:dyDescent="0.3">
      <c r="A737" t="s">
        <v>745</v>
      </c>
      <c r="B737" t="s">
        <v>929</v>
      </c>
      <c r="C737" s="4" t="s">
        <v>1244</v>
      </c>
      <c r="D737" t="s">
        <v>1291</v>
      </c>
      <c r="E737" t="s">
        <v>1299</v>
      </c>
      <c r="F737" t="s">
        <v>1334</v>
      </c>
      <c r="G737">
        <v>774.06</v>
      </c>
      <c r="H737">
        <v>1065.95</v>
      </c>
      <c r="I737">
        <v>-159.88999999999999</v>
      </c>
      <c r="J737">
        <v>900.62</v>
      </c>
      <c r="K737">
        <v>1225.8400000000001</v>
      </c>
      <c r="L737">
        <v>-126.56000000000006</v>
      </c>
    </row>
    <row r="738" spans="1:12" x14ac:dyDescent="0.3">
      <c r="A738" t="s">
        <v>746</v>
      </c>
      <c r="B738" t="s">
        <v>925</v>
      </c>
      <c r="C738" s="4" t="s">
        <v>1279</v>
      </c>
      <c r="D738" t="s">
        <v>1292</v>
      </c>
      <c r="E738" t="s">
        <v>1298</v>
      </c>
      <c r="F738" t="s">
        <v>1310</v>
      </c>
      <c r="G738">
        <v>633.52</v>
      </c>
      <c r="H738">
        <v>877.35</v>
      </c>
      <c r="I738">
        <v>243.83</v>
      </c>
      <c r="J738">
        <v>658.24</v>
      </c>
      <c r="K738">
        <v>633.52</v>
      </c>
      <c r="L738">
        <v>-24.720000000000027</v>
      </c>
    </row>
    <row r="739" spans="1:12" x14ac:dyDescent="0.3">
      <c r="A739" t="s">
        <v>747</v>
      </c>
      <c r="B739" t="s">
        <v>853</v>
      </c>
      <c r="C739" s="4" t="s">
        <v>1280</v>
      </c>
      <c r="D739" t="s">
        <v>1291</v>
      </c>
      <c r="E739" t="s">
        <v>1293</v>
      </c>
      <c r="F739" t="s">
        <v>1318</v>
      </c>
      <c r="G739">
        <v>886.02</v>
      </c>
      <c r="H739">
        <v>1185.54</v>
      </c>
      <c r="I739">
        <v>-177.83</v>
      </c>
      <c r="J739">
        <v>1024.9100000000001</v>
      </c>
      <c r="K739">
        <v>1363.37</v>
      </c>
      <c r="L739">
        <v>-138.8900000000001</v>
      </c>
    </row>
    <row r="740" spans="1:12" x14ac:dyDescent="0.3">
      <c r="A740" t="s">
        <v>748</v>
      </c>
      <c r="B740" t="s">
        <v>872</v>
      </c>
      <c r="C740" s="4" t="s">
        <v>1281</v>
      </c>
      <c r="D740" t="s">
        <v>1291</v>
      </c>
      <c r="E740" t="s">
        <v>1293</v>
      </c>
      <c r="F740" t="s">
        <v>1320</v>
      </c>
      <c r="G740">
        <v>31.52</v>
      </c>
      <c r="H740">
        <v>36.28</v>
      </c>
      <c r="I740">
        <v>-5.44</v>
      </c>
      <c r="J740">
        <v>35.5</v>
      </c>
      <c r="K740">
        <v>41.72</v>
      </c>
      <c r="L740">
        <v>-3.9800000000000004</v>
      </c>
    </row>
    <row r="741" spans="1:12" x14ac:dyDescent="0.3">
      <c r="A741" t="s">
        <v>749</v>
      </c>
      <c r="B741" t="s">
        <v>858</v>
      </c>
      <c r="C741" s="4" t="s">
        <v>1118</v>
      </c>
      <c r="D741" t="s">
        <v>1291</v>
      </c>
      <c r="E741" t="s">
        <v>1299</v>
      </c>
      <c r="F741" t="s">
        <v>1311</v>
      </c>
      <c r="G741">
        <v>681.84</v>
      </c>
      <c r="H741">
        <v>943.34</v>
      </c>
      <c r="I741">
        <v>-141.5</v>
      </c>
      <c r="J741">
        <v>687.67</v>
      </c>
      <c r="K741">
        <v>1084.8400000000001</v>
      </c>
      <c r="L741">
        <v>-5.8299999999999272</v>
      </c>
    </row>
    <row r="742" spans="1:12" x14ac:dyDescent="0.3">
      <c r="A742" t="s">
        <v>750</v>
      </c>
      <c r="B742" t="s">
        <v>891</v>
      </c>
      <c r="C742" s="4" t="s">
        <v>1192</v>
      </c>
      <c r="D742" t="s">
        <v>1292</v>
      </c>
      <c r="E742" t="s">
        <v>1297</v>
      </c>
      <c r="F742" t="s">
        <v>1331</v>
      </c>
      <c r="G742">
        <v>772.17</v>
      </c>
      <c r="H742">
        <v>1079.7</v>
      </c>
      <c r="I742">
        <v>307.52999999999997</v>
      </c>
      <c r="J742">
        <v>918.13</v>
      </c>
      <c r="K742">
        <v>772.17000000000007</v>
      </c>
      <c r="L742">
        <v>-145.96000000000004</v>
      </c>
    </row>
    <row r="743" spans="1:12" x14ac:dyDescent="0.3">
      <c r="A743" t="s">
        <v>751</v>
      </c>
      <c r="B743" t="s">
        <v>804</v>
      </c>
      <c r="C743" s="4" t="s">
        <v>1074</v>
      </c>
      <c r="D743" t="s">
        <v>1291</v>
      </c>
      <c r="E743" t="s">
        <v>1296</v>
      </c>
      <c r="F743" t="s">
        <v>1330</v>
      </c>
      <c r="G743">
        <v>5588.41</v>
      </c>
      <c r="H743">
        <v>7807.24</v>
      </c>
      <c r="I743">
        <v>-1171.0899999999999</v>
      </c>
      <c r="J743">
        <v>5972.88</v>
      </c>
      <c r="K743">
        <v>8978.33</v>
      </c>
      <c r="L743">
        <v>-384.47000000000025</v>
      </c>
    </row>
    <row r="744" spans="1:12" x14ac:dyDescent="0.3">
      <c r="A744" t="s">
        <v>752</v>
      </c>
      <c r="B744" t="s">
        <v>820</v>
      </c>
      <c r="C744" s="4" t="s">
        <v>1196</v>
      </c>
      <c r="D744" t="s">
        <v>1291</v>
      </c>
      <c r="E744" t="s">
        <v>1296</v>
      </c>
      <c r="F744" t="s">
        <v>1308</v>
      </c>
      <c r="G744">
        <v>8396.69</v>
      </c>
      <c r="H744">
        <v>9796.7800000000007</v>
      </c>
      <c r="I744">
        <v>-1469.52</v>
      </c>
      <c r="J744">
        <v>8391.9599999999991</v>
      </c>
      <c r="K744">
        <v>11266.300000000001</v>
      </c>
      <c r="L744">
        <v>4.7300000000013824</v>
      </c>
    </row>
    <row r="745" spans="1:12" x14ac:dyDescent="0.3">
      <c r="A745" t="s">
        <v>753</v>
      </c>
      <c r="B745" t="s">
        <v>900</v>
      </c>
      <c r="C745" s="4" t="s">
        <v>1056</v>
      </c>
      <c r="D745" t="s">
        <v>1292</v>
      </c>
      <c r="E745" t="s">
        <v>1296</v>
      </c>
      <c r="F745" t="s">
        <v>1308</v>
      </c>
      <c r="G745">
        <v>4752.47</v>
      </c>
      <c r="H745">
        <v>5517.98</v>
      </c>
      <c r="I745">
        <v>765.51</v>
      </c>
      <c r="J745">
        <v>4440.42</v>
      </c>
      <c r="K745">
        <v>4752.4699999999993</v>
      </c>
      <c r="L745">
        <v>312.05000000000018</v>
      </c>
    </row>
    <row r="746" spans="1:12" x14ac:dyDescent="0.3">
      <c r="A746" t="s">
        <v>754</v>
      </c>
      <c r="B746" t="s">
        <v>886</v>
      </c>
      <c r="C746" s="4" t="s">
        <v>1131</v>
      </c>
      <c r="D746" t="s">
        <v>1292</v>
      </c>
      <c r="E746" t="s">
        <v>1297</v>
      </c>
      <c r="F746" t="s">
        <v>1331</v>
      </c>
      <c r="G746">
        <v>96.12</v>
      </c>
      <c r="H746">
        <v>113.46</v>
      </c>
      <c r="I746">
        <v>17.34</v>
      </c>
      <c r="J746">
        <v>103.99</v>
      </c>
      <c r="K746">
        <v>96.11999999999999</v>
      </c>
      <c r="L746">
        <v>-7.8699999999999903</v>
      </c>
    </row>
    <row r="747" spans="1:12" x14ac:dyDescent="0.3">
      <c r="A747" t="s">
        <v>755</v>
      </c>
      <c r="B747" t="s">
        <v>868</v>
      </c>
      <c r="C747" s="4" t="s">
        <v>1162</v>
      </c>
      <c r="D747" t="s">
        <v>1291</v>
      </c>
      <c r="E747" t="s">
        <v>1298</v>
      </c>
      <c r="F747" t="s">
        <v>1310</v>
      </c>
      <c r="G747">
        <v>663.02</v>
      </c>
      <c r="H747">
        <v>845.66</v>
      </c>
      <c r="I747">
        <v>-126.85</v>
      </c>
      <c r="J747">
        <v>783.65</v>
      </c>
      <c r="K747">
        <v>972.51</v>
      </c>
      <c r="L747">
        <v>-120.63</v>
      </c>
    </row>
    <row r="748" spans="1:12" x14ac:dyDescent="0.3">
      <c r="A748" t="s">
        <v>756</v>
      </c>
      <c r="B748" t="s">
        <v>798</v>
      </c>
      <c r="C748" s="4" t="s">
        <v>971</v>
      </c>
      <c r="D748" t="s">
        <v>1291</v>
      </c>
      <c r="E748" t="s">
        <v>1295</v>
      </c>
      <c r="F748" t="s">
        <v>1313</v>
      </c>
      <c r="G748">
        <v>1143.03</v>
      </c>
      <c r="H748">
        <v>1584.56</v>
      </c>
      <c r="I748">
        <v>-237.68</v>
      </c>
      <c r="J748">
        <v>1058.57</v>
      </c>
      <c r="K748">
        <v>1822.24</v>
      </c>
      <c r="L748">
        <v>84.460000000000036</v>
      </c>
    </row>
    <row r="749" spans="1:12" x14ac:dyDescent="0.3">
      <c r="A749" t="s">
        <v>757</v>
      </c>
      <c r="B749" t="s">
        <v>816</v>
      </c>
      <c r="C749" s="4" t="s">
        <v>1282</v>
      </c>
      <c r="D749" t="s">
        <v>1292</v>
      </c>
      <c r="E749" t="s">
        <v>1295</v>
      </c>
      <c r="F749" t="s">
        <v>1304</v>
      </c>
      <c r="G749">
        <v>701.64</v>
      </c>
      <c r="H749">
        <v>861.69</v>
      </c>
      <c r="I749">
        <v>160.05000000000001</v>
      </c>
      <c r="J749">
        <v>640.21</v>
      </c>
      <c r="K749">
        <v>701.6400000000001</v>
      </c>
      <c r="L749">
        <v>61.42999999999995</v>
      </c>
    </row>
    <row r="750" spans="1:12" x14ac:dyDescent="0.3">
      <c r="A750" t="s">
        <v>758</v>
      </c>
      <c r="B750" t="s">
        <v>928</v>
      </c>
      <c r="C750" s="4" t="s">
        <v>991</v>
      </c>
      <c r="D750" t="s">
        <v>1291</v>
      </c>
      <c r="E750" t="s">
        <v>1296</v>
      </c>
      <c r="F750" t="s">
        <v>1330</v>
      </c>
      <c r="G750">
        <v>8738.9699999999993</v>
      </c>
      <c r="H750">
        <v>10411.280000000001</v>
      </c>
      <c r="I750">
        <v>-1561.69</v>
      </c>
      <c r="J750">
        <v>8454.6</v>
      </c>
      <c r="K750">
        <v>11972.970000000001</v>
      </c>
      <c r="L750">
        <v>284.36999999999898</v>
      </c>
    </row>
    <row r="751" spans="1:12" x14ac:dyDescent="0.3">
      <c r="A751" t="s">
        <v>759</v>
      </c>
      <c r="B751" t="s">
        <v>893</v>
      </c>
      <c r="C751" s="4" t="s">
        <v>1004</v>
      </c>
      <c r="D751" t="s">
        <v>1291</v>
      </c>
      <c r="E751" t="s">
        <v>1299</v>
      </c>
      <c r="F751" t="s">
        <v>1334</v>
      </c>
      <c r="G751">
        <v>287.63</v>
      </c>
      <c r="H751">
        <v>356.68</v>
      </c>
      <c r="I751">
        <v>-53.5</v>
      </c>
      <c r="J751">
        <v>332.27</v>
      </c>
      <c r="K751">
        <v>410.18</v>
      </c>
      <c r="L751">
        <v>-44.639999999999986</v>
      </c>
    </row>
    <row r="752" spans="1:12" x14ac:dyDescent="0.3">
      <c r="A752" t="s">
        <v>760</v>
      </c>
      <c r="B752" t="s">
        <v>803</v>
      </c>
      <c r="C752" s="4" t="s">
        <v>1283</v>
      </c>
      <c r="D752" t="s">
        <v>1292</v>
      </c>
      <c r="E752" t="s">
        <v>1293</v>
      </c>
      <c r="F752" t="s">
        <v>1300</v>
      </c>
      <c r="G752">
        <v>247.3</v>
      </c>
      <c r="H752">
        <v>343.5</v>
      </c>
      <c r="I752">
        <v>96.2</v>
      </c>
      <c r="J752">
        <v>257.77999999999997</v>
      </c>
      <c r="K752">
        <v>247.3</v>
      </c>
      <c r="L752">
        <v>-10.479999999999961</v>
      </c>
    </row>
    <row r="753" spans="1:12" x14ac:dyDescent="0.3">
      <c r="A753" t="s">
        <v>761</v>
      </c>
      <c r="B753" t="s">
        <v>813</v>
      </c>
      <c r="C753" s="4" t="s">
        <v>1284</v>
      </c>
      <c r="D753" t="s">
        <v>1291</v>
      </c>
      <c r="E753" t="s">
        <v>1299</v>
      </c>
      <c r="F753" t="s">
        <v>1334</v>
      </c>
      <c r="G753">
        <v>122.71</v>
      </c>
      <c r="H753">
        <v>161.27000000000001</v>
      </c>
      <c r="I753">
        <v>-24.19</v>
      </c>
      <c r="J753">
        <v>128.69999999999999</v>
      </c>
      <c r="K753">
        <v>185.46</v>
      </c>
      <c r="L753">
        <v>-5.9899999999999949</v>
      </c>
    </row>
    <row r="754" spans="1:12" x14ac:dyDescent="0.3">
      <c r="A754" t="s">
        <v>762</v>
      </c>
      <c r="B754" t="s">
        <v>915</v>
      </c>
      <c r="C754" s="4" t="s">
        <v>1118</v>
      </c>
      <c r="D754" t="s">
        <v>1292</v>
      </c>
      <c r="E754" t="s">
        <v>1298</v>
      </c>
      <c r="F754" t="s">
        <v>1306</v>
      </c>
      <c r="G754">
        <v>437.27</v>
      </c>
      <c r="H754">
        <v>596.45000000000005</v>
      </c>
      <c r="I754">
        <v>159.18</v>
      </c>
      <c r="J754">
        <v>485.61</v>
      </c>
      <c r="K754">
        <v>437.27000000000004</v>
      </c>
      <c r="L754">
        <v>-48.340000000000032</v>
      </c>
    </row>
    <row r="755" spans="1:12" x14ac:dyDescent="0.3">
      <c r="A755" t="s">
        <v>763</v>
      </c>
      <c r="B755" t="s">
        <v>829</v>
      </c>
      <c r="C755" s="4" t="s">
        <v>939</v>
      </c>
      <c r="D755" t="s">
        <v>1291</v>
      </c>
      <c r="E755" t="s">
        <v>1294</v>
      </c>
      <c r="F755" t="s">
        <v>1314</v>
      </c>
      <c r="G755">
        <v>275.64</v>
      </c>
      <c r="H755">
        <v>363.16</v>
      </c>
      <c r="I755">
        <v>-54.47</v>
      </c>
      <c r="J755">
        <v>323.47000000000003</v>
      </c>
      <c r="K755">
        <v>417.63</v>
      </c>
      <c r="L755">
        <v>-47.830000000000041</v>
      </c>
    </row>
    <row r="756" spans="1:12" x14ac:dyDescent="0.3">
      <c r="A756" t="s">
        <v>764</v>
      </c>
      <c r="B756" t="s">
        <v>819</v>
      </c>
      <c r="C756" s="4" t="s">
        <v>1285</v>
      </c>
      <c r="D756" t="s">
        <v>1292</v>
      </c>
      <c r="E756" t="s">
        <v>1294</v>
      </c>
      <c r="F756" t="s">
        <v>1333</v>
      </c>
      <c r="G756">
        <v>310.83</v>
      </c>
      <c r="H756">
        <v>401.51</v>
      </c>
      <c r="I756">
        <v>90.68</v>
      </c>
      <c r="J756">
        <v>285.01</v>
      </c>
      <c r="K756">
        <v>310.83</v>
      </c>
      <c r="L756">
        <v>25.819999999999993</v>
      </c>
    </row>
    <row r="757" spans="1:12" x14ac:dyDescent="0.3">
      <c r="A757" t="s">
        <v>765</v>
      </c>
      <c r="B757" t="s">
        <v>900</v>
      </c>
      <c r="C757" s="4" t="s">
        <v>1147</v>
      </c>
      <c r="D757" t="s">
        <v>1291</v>
      </c>
      <c r="E757" t="s">
        <v>1294</v>
      </c>
      <c r="F757" t="s">
        <v>1333</v>
      </c>
      <c r="G757">
        <v>720.85</v>
      </c>
      <c r="H757">
        <v>913.83</v>
      </c>
      <c r="I757">
        <v>-137.07</v>
      </c>
      <c r="J757">
        <v>846.48</v>
      </c>
      <c r="K757">
        <v>1050.9000000000001</v>
      </c>
      <c r="L757">
        <v>-125.63</v>
      </c>
    </row>
    <row r="758" spans="1:12" x14ac:dyDescent="0.3">
      <c r="A758" t="s">
        <v>766</v>
      </c>
      <c r="B758" t="s">
        <v>892</v>
      </c>
      <c r="C758" s="4" t="s">
        <v>976</v>
      </c>
      <c r="D758" t="s">
        <v>1292</v>
      </c>
      <c r="E758" t="s">
        <v>1297</v>
      </c>
      <c r="F758" t="s">
        <v>1331</v>
      </c>
      <c r="G758">
        <v>1096.77</v>
      </c>
      <c r="H758">
        <v>1429.62</v>
      </c>
      <c r="I758">
        <v>332.85</v>
      </c>
      <c r="J758">
        <v>1227.56</v>
      </c>
      <c r="K758">
        <v>1096.77</v>
      </c>
      <c r="L758">
        <v>-130.78999999999996</v>
      </c>
    </row>
    <row r="759" spans="1:12" x14ac:dyDescent="0.3">
      <c r="A759" t="s">
        <v>767</v>
      </c>
      <c r="B759" t="s">
        <v>815</v>
      </c>
      <c r="C759" s="4" t="s">
        <v>1227</v>
      </c>
      <c r="D759" t="s">
        <v>1292</v>
      </c>
      <c r="E759" t="s">
        <v>1296</v>
      </c>
      <c r="F759" t="s">
        <v>1330</v>
      </c>
      <c r="G759">
        <v>4772.3</v>
      </c>
      <c r="H759">
        <v>5793.07</v>
      </c>
      <c r="I759">
        <v>1020.77</v>
      </c>
      <c r="J759">
        <v>4887.54</v>
      </c>
      <c r="K759">
        <v>4772.2999999999993</v>
      </c>
      <c r="L759">
        <v>-115.23999999999978</v>
      </c>
    </row>
    <row r="760" spans="1:12" x14ac:dyDescent="0.3">
      <c r="A760" t="s">
        <v>768</v>
      </c>
      <c r="B760" t="s">
        <v>867</v>
      </c>
      <c r="C760" s="4" t="s">
        <v>1276</v>
      </c>
      <c r="D760" t="s">
        <v>1291</v>
      </c>
      <c r="E760" t="s">
        <v>1296</v>
      </c>
      <c r="F760" t="s">
        <v>1330</v>
      </c>
      <c r="G760">
        <v>9078.89</v>
      </c>
      <c r="H760">
        <v>11209.19</v>
      </c>
      <c r="I760">
        <v>-1681.38</v>
      </c>
      <c r="J760">
        <v>8402.44</v>
      </c>
      <c r="K760">
        <v>12890.57</v>
      </c>
      <c r="L760">
        <v>676.44999999999891</v>
      </c>
    </row>
    <row r="761" spans="1:12" x14ac:dyDescent="0.3">
      <c r="A761" t="s">
        <v>769</v>
      </c>
      <c r="B761" t="s">
        <v>931</v>
      </c>
      <c r="C761" s="4" t="s">
        <v>1131</v>
      </c>
      <c r="D761" t="s">
        <v>1292</v>
      </c>
      <c r="E761" t="s">
        <v>1296</v>
      </c>
      <c r="F761" t="s">
        <v>1330</v>
      </c>
      <c r="G761">
        <v>7465.09</v>
      </c>
      <c r="H761">
        <v>9416.61</v>
      </c>
      <c r="I761">
        <v>1951.52</v>
      </c>
      <c r="J761">
        <v>7655.35</v>
      </c>
      <c r="K761">
        <v>7465.09</v>
      </c>
      <c r="L761">
        <v>-190.26000000000022</v>
      </c>
    </row>
    <row r="762" spans="1:12" x14ac:dyDescent="0.3">
      <c r="A762" t="s">
        <v>770</v>
      </c>
      <c r="B762" t="s">
        <v>820</v>
      </c>
      <c r="C762" s="4" t="s">
        <v>1211</v>
      </c>
      <c r="D762" t="s">
        <v>1291</v>
      </c>
      <c r="E762" t="s">
        <v>1296</v>
      </c>
      <c r="F762" t="s">
        <v>1308</v>
      </c>
      <c r="G762">
        <v>9108.4699999999993</v>
      </c>
      <c r="H762">
        <v>12233.73</v>
      </c>
      <c r="I762">
        <v>-1835.06</v>
      </c>
      <c r="J762">
        <v>9051.41</v>
      </c>
      <c r="K762">
        <v>14068.789999999999</v>
      </c>
      <c r="L762">
        <v>57.059999999999491</v>
      </c>
    </row>
    <row r="763" spans="1:12" x14ac:dyDescent="0.3">
      <c r="A763" t="s">
        <v>771</v>
      </c>
      <c r="B763" t="s">
        <v>893</v>
      </c>
      <c r="C763" s="4" t="s">
        <v>984</v>
      </c>
      <c r="D763" t="s">
        <v>1292</v>
      </c>
      <c r="E763" t="s">
        <v>1298</v>
      </c>
      <c r="F763" t="s">
        <v>1306</v>
      </c>
      <c r="G763">
        <v>532.88</v>
      </c>
      <c r="H763">
        <v>674.88</v>
      </c>
      <c r="I763">
        <v>-44.182985074626863</v>
      </c>
      <c r="J763">
        <v>545.34</v>
      </c>
      <c r="K763">
        <v>719.06298507462691</v>
      </c>
      <c r="L763">
        <v>-12.460000000000036</v>
      </c>
    </row>
    <row r="764" spans="1:12" x14ac:dyDescent="0.3">
      <c r="A764" t="s">
        <v>772</v>
      </c>
      <c r="B764" t="s">
        <v>796</v>
      </c>
      <c r="C764" s="4" t="s">
        <v>1286</v>
      </c>
      <c r="D764" t="s">
        <v>1291</v>
      </c>
      <c r="E764" t="s">
        <v>1299</v>
      </c>
      <c r="F764" t="s">
        <v>1311</v>
      </c>
      <c r="G764">
        <v>857.28</v>
      </c>
      <c r="H764">
        <v>1185.95</v>
      </c>
      <c r="I764">
        <v>-177.89</v>
      </c>
      <c r="J764">
        <v>786.19</v>
      </c>
      <c r="K764">
        <v>1363.8400000000001</v>
      </c>
      <c r="L764">
        <v>71.089999999999918</v>
      </c>
    </row>
    <row r="765" spans="1:12" x14ac:dyDescent="0.3">
      <c r="A765" t="s">
        <v>773</v>
      </c>
      <c r="B765" t="s">
        <v>817</v>
      </c>
      <c r="C765" s="4" t="s">
        <v>1265</v>
      </c>
      <c r="D765" t="s">
        <v>1292</v>
      </c>
      <c r="E765" t="s">
        <v>1294</v>
      </c>
      <c r="F765" t="s">
        <v>1333</v>
      </c>
      <c r="G765">
        <v>511.41</v>
      </c>
      <c r="H765">
        <v>638.79999999999995</v>
      </c>
      <c r="I765">
        <v>127.39</v>
      </c>
      <c r="J765">
        <v>583.58000000000004</v>
      </c>
      <c r="K765">
        <v>511.40999999999997</v>
      </c>
      <c r="L765">
        <v>-72.170000000000016</v>
      </c>
    </row>
    <row r="766" spans="1:12" x14ac:dyDescent="0.3">
      <c r="A766" t="s">
        <v>774</v>
      </c>
      <c r="B766" t="s">
        <v>865</v>
      </c>
      <c r="C766" s="4" t="s">
        <v>986</v>
      </c>
      <c r="D766" t="s">
        <v>1291</v>
      </c>
      <c r="E766" t="s">
        <v>1296</v>
      </c>
      <c r="F766" t="s">
        <v>1332</v>
      </c>
      <c r="G766">
        <v>1219.4163333333336</v>
      </c>
      <c r="H766">
        <v>139.35</v>
      </c>
      <c r="I766">
        <v>-20.9</v>
      </c>
      <c r="J766">
        <v>109.91</v>
      </c>
      <c r="K766">
        <v>160.25</v>
      </c>
      <c r="L766">
        <v>1109.5063333333335</v>
      </c>
    </row>
    <row r="767" spans="1:12" x14ac:dyDescent="0.3">
      <c r="A767" t="s">
        <v>775</v>
      </c>
      <c r="B767" t="s">
        <v>845</v>
      </c>
      <c r="C767" s="4" t="s">
        <v>1287</v>
      </c>
      <c r="D767" t="s">
        <v>1291</v>
      </c>
      <c r="E767" t="s">
        <v>1295</v>
      </c>
      <c r="F767" t="s">
        <v>1313</v>
      </c>
      <c r="G767">
        <v>696.94</v>
      </c>
      <c r="H767">
        <v>922.83</v>
      </c>
      <c r="I767">
        <v>-138.41999999999999</v>
      </c>
      <c r="J767">
        <v>742.88</v>
      </c>
      <c r="K767">
        <v>1061.25</v>
      </c>
      <c r="L767">
        <v>-45.939999999999941</v>
      </c>
    </row>
    <row r="768" spans="1:12" x14ac:dyDescent="0.3">
      <c r="A768" t="s">
        <v>776</v>
      </c>
      <c r="B768" t="s">
        <v>849</v>
      </c>
      <c r="C768" s="4" t="s">
        <v>1093</v>
      </c>
      <c r="D768" t="s">
        <v>1292</v>
      </c>
      <c r="E768" t="s">
        <v>1296</v>
      </c>
      <c r="F768" t="s">
        <v>1332</v>
      </c>
      <c r="G768">
        <v>4770.2700000000004</v>
      </c>
      <c r="H768">
        <v>6020.42</v>
      </c>
      <c r="I768">
        <v>1250.1500000000001</v>
      </c>
      <c r="J768">
        <v>4694.2</v>
      </c>
      <c r="K768">
        <v>4770.2700000000004</v>
      </c>
      <c r="L768">
        <v>76.070000000000618</v>
      </c>
    </row>
    <row r="769" spans="1:12" x14ac:dyDescent="0.3">
      <c r="A769" t="s">
        <v>777</v>
      </c>
      <c r="B769" t="s">
        <v>858</v>
      </c>
      <c r="C769" s="4" t="s">
        <v>1042</v>
      </c>
      <c r="D769" t="s">
        <v>1292</v>
      </c>
      <c r="E769" t="s">
        <v>1297</v>
      </c>
      <c r="F769" t="s">
        <v>1331</v>
      </c>
      <c r="G769">
        <v>124.84</v>
      </c>
      <c r="H769">
        <v>173.83</v>
      </c>
      <c r="I769">
        <v>48.99</v>
      </c>
      <c r="J769">
        <v>122.98</v>
      </c>
      <c r="K769">
        <v>124.84</v>
      </c>
      <c r="L769">
        <v>1.8599999999999994</v>
      </c>
    </row>
    <row r="770" spans="1:12" x14ac:dyDescent="0.3">
      <c r="A770" t="s">
        <v>778</v>
      </c>
      <c r="B770" t="s">
        <v>816</v>
      </c>
      <c r="C770" s="4" t="s">
        <v>972</v>
      </c>
      <c r="D770" t="s">
        <v>1291</v>
      </c>
      <c r="E770" t="s">
        <v>1299</v>
      </c>
      <c r="F770" t="s">
        <v>1312</v>
      </c>
      <c r="G770">
        <v>38.75</v>
      </c>
      <c r="H770">
        <v>45.39</v>
      </c>
      <c r="I770">
        <v>-6.81</v>
      </c>
      <c r="J770">
        <v>35.270000000000003</v>
      </c>
      <c r="K770">
        <v>52.2</v>
      </c>
      <c r="L770">
        <v>3.4799999999999969</v>
      </c>
    </row>
    <row r="771" spans="1:12" x14ac:dyDescent="0.3">
      <c r="A771" t="s">
        <v>779</v>
      </c>
      <c r="B771" t="s">
        <v>826</v>
      </c>
      <c r="C771" s="4" t="s">
        <v>1288</v>
      </c>
      <c r="D771" t="s">
        <v>1291</v>
      </c>
      <c r="E771" t="s">
        <v>1294</v>
      </c>
      <c r="F771" t="s">
        <v>1314</v>
      </c>
      <c r="G771">
        <v>315.74</v>
      </c>
      <c r="H771">
        <v>394.67</v>
      </c>
      <c r="I771">
        <v>-59.2</v>
      </c>
      <c r="J771">
        <v>340.15</v>
      </c>
      <c r="K771">
        <v>453.87</v>
      </c>
      <c r="L771">
        <v>-24.409999999999968</v>
      </c>
    </row>
    <row r="772" spans="1:12" x14ac:dyDescent="0.3">
      <c r="A772" t="s">
        <v>780</v>
      </c>
      <c r="B772" t="s">
        <v>900</v>
      </c>
      <c r="C772" s="4" t="s">
        <v>1067</v>
      </c>
      <c r="D772" t="s">
        <v>1292</v>
      </c>
      <c r="E772" t="s">
        <v>1295</v>
      </c>
      <c r="F772" t="s">
        <v>1329</v>
      </c>
      <c r="G772">
        <v>15.32</v>
      </c>
      <c r="H772">
        <v>19.11</v>
      </c>
      <c r="I772">
        <v>3.79</v>
      </c>
      <c r="J772">
        <v>17.899999999999999</v>
      </c>
      <c r="K772">
        <v>15.32</v>
      </c>
      <c r="L772">
        <v>-2.5799999999999983</v>
      </c>
    </row>
    <row r="773" spans="1:12" x14ac:dyDescent="0.3">
      <c r="A773" t="s">
        <v>781</v>
      </c>
      <c r="B773" t="s">
        <v>871</v>
      </c>
      <c r="C773" s="4" t="s">
        <v>1048</v>
      </c>
      <c r="D773" t="s">
        <v>1292</v>
      </c>
      <c r="E773" t="s">
        <v>1295</v>
      </c>
      <c r="F773" t="s">
        <v>1329</v>
      </c>
      <c r="G773">
        <v>1086.8800000000001</v>
      </c>
      <c r="H773">
        <v>1287.97</v>
      </c>
      <c r="I773">
        <v>201.09</v>
      </c>
      <c r="J773">
        <v>1151.3900000000001</v>
      </c>
      <c r="K773">
        <v>1086.8800000000001</v>
      </c>
      <c r="L773">
        <v>-64.509999999999991</v>
      </c>
    </row>
    <row r="774" spans="1:12" x14ac:dyDescent="0.3">
      <c r="A774" t="s">
        <v>782</v>
      </c>
      <c r="B774" t="s">
        <v>908</v>
      </c>
      <c r="C774" s="4" t="s">
        <v>1289</v>
      </c>
      <c r="D774" t="s">
        <v>1291</v>
      </c>
      <c r="E774" t="s">
        <v>1297</v>
      </c>
      <c r="F774" t="s">
        <v>1309</v>
      </c>
      <c r="G774">
        <v>206.11</v>
      </c>
      <c r="H774">
        <v>238.62</v>
      </c>
      <c r="I774">
        <v>-35.79</v>
      </c>
      <c r="J774">
        <v>201.44</v>
      </c>
      <c r="K774">
        <v>274.41000000000003</v>
      </c>
      <c r="L774">
        <v>4.6700000000000159</v>
      </c>
    </row>
    <row r="775" spans="1:12" x14ac:dyDescent="0.3">
      <c r="A775" t="s">
        <v>783</v>
      </c>
      <c r="B775" t="s">
        <v>877</v>
      </c>
      <c r="C775" s="4" t="s">
        <v>1205</v>
      </c>
      <c r="D775" t="s">
        <v>1291</v>
      </c>
      <c r="E775" t="s">
        <v>1299</v>
      </c>
      <c r="F775" t="s">
        <v>1312</v>
      </c>
      <c r="G775">
        <v>661.57</v>
      </c>
      <c r="H775">
        <v>883.6</v>
      </c>
      <c r="I775">
        <v>-132.54</v>
      </c>
      <c r="J775">
        <v>766.69</v>
      </c>
      <c r="K775">
        <v>1016.14</v>
      </c>
      <c r="L775">
        <v>-105.12</v>
      </c>
    </row>
    <row r="776" spans="1:12" x14ac:dyDescent="0.3">
      <c r="A776" t="s">
        <v>784</v>
      </c>
      <c r="B776" t="s">
        <v>928</v>
      </c>
      <c r="C776" s="4" t="s">
        <v>1290</v>
      </c>
      <c r="D776" t="s">
        <v>1292</v>
      </c>
      <c r="E776" t="s">
        <v>1298</v>
      </c>
      <c r="F776" t="s">
        <v>1306</v>
      </c>
      <c r="G776">
        <v>928.98</v>
      </c>
      <c r="H776">
        <v>1263.72</v>
      </c>
      <c r="I776">
        <v>334.74</v>
      </c>
      <c r="J776">
        <v>1026.82</v>
      </c>
      <c r="K776">
        <v>928.98</v>
      </c>
      <c r="L776">
        <v>-97.839999999999918</v>
      </c>
    </row>
  </sheetData>
  <conditionalFormatting sqref="H1:H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{8CDD1B23-E7B3-4019-9050-11B9C2B3E3E0}</x14:id>
        </ext>
      </extLst>
    </cfRule>
  </conditionalFormatting>
  <conditionalFormatting sqref="I1:I1048576">
    <cfRule type="top10" dxfId="38" priority="1" rank="10"/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DD1B23-E7B3-4019-9050-11B9C2B3E3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EB10A-47FC-492D-A421-457AFAE56ACC}">
  <dimension ref="A2:J19"/>
  <sheetViews>
    <sheetView workbookViewId="0">
      <selection activeCell="H15" sqref="H15"/>
    </sheetView>
  </sheetViews>
  <sheetFormatPr defaultRowHeight="14.4" x14ac:dyDescent="0.3"/>
  <cols>
    <col min="1" max="1" width="12.5546875" bestFit="1" customWidth="1"/>
    <col min="2" max="2" width="12.6640625" bestFit="1" customWidth="1"/>
    <col min="3" max="3" width="14.88671875" bestFit="1" customWidth="1"/>
    <col min="4" max="5" width="12" bestFit="1" customWidth="1"/>
    <col min="6" max="6" width="21" bestFit="1" customWidth="1"/>
    <col min="7" max="7" width="12.6640625" bestFit="1" customWidth="1"/>
    <col min="8" max="8" width="12" bestFit="1" customWidth="1"/>
    <col min="9" max="9" width="17" bestFit="1" customWidth="1"/>
    <col min="10" max="10" width="14.88671875" bestFit="1" customWidth="1"/>
    <col min="11" max="11" width="10.6640625" bestFit="1" customWidth="1"/>
    <col min="12" max="12" width="16.44140625" bestFit="1" customWidth="1"/>
    <col min="13" max="13" width="19.6640625" bestFit="1" customWidth="1"/>
    <col min="14" max="14" width="16.88671875" bestFit="1" customWidth="1"/>
    <col min="15" max="15" width="15.6640625" bestFit="1" customWidth="1"/>
    <col min="16" max="16" width="25.88671875" bestFit="1" customWidth="1"/>
  </cols>
  <sheetData>
    <row r="2" spans="1:10" x14ac:dyDescent="0.3">
      <c r="A2" s="5" t="s">
        <v>1</v>
      </c>
      <c r="B2" t="s">
        <v>1324</v>
      </c>
    </row>
    <row r="4" spans="1:10" x14ac:dyDescent="0.3">
      <c r="A4" s="5" t="s">
        <v>1322</v>
      </c>
      <c r="B4" t="s">
        <v>1327</v>
      </c>
      <c r="C4" t="s">
        <v>1326</v>
      </c>
      <c r="D4" t="s">
        <v>1325</v>
      </c>
      <c r="E4" t="s">
        <v>1335</v>
      </c>
      <c r="F4" t="s">
        <v>1328</v>
      </c>
      <c r="I4" s="5" t="s">
        <v>1322</v>
      </c>
      <c r="J4" t="s">
        <v>1326</v>
      </c>
    </row>
    <row r="5" spans="1:10" x14ac:dyDescent="0.3">
      <c r="A5" s="6" t="s">
        <v>1297</v>
      </c>
      <c r="B5">
        <v>65040.928000000014</v>
      </c>
      <c r="C5">
        <v>77432.311470588218</v>
      </c>
      <c r="D5">
        <v>5959.5199999999986</v>
      </c>
      <c r="E5">
        <v>71472.791470588229</v>
      </c>
      <c r="F5">
        <v>61162.239999999991</v>
      </c>
      <c r="I5" s="6" t="s">
        <v>1297</v>
      </c>
      <c r="J5">
        <v>77432.311470588218</v>
      </c>
    </row>
    <row r="6" spans="1:10" x14ac:dyDescent="0.3">
      <c r="A6" s="6" t="s">
        <v>1299</v>
      </c>
      <c r="B6">
        <v>76283.308000000048</v>
      </c>
      <c r="C6">
        <v>89208.453823529388</v>
      </c>
      <c r="D6">
        <v>945.8620895522381</v>
      </c>
      <c r="E6">
        <v>88262.591733977184</v>
      </c>
      <c r="F6">
        <v>73323.89</v>
      </c>
      <c r="I6" s="6" t="s">
        <v>1299</v>
      </c>
      <c r="J6">
        <v>89208.453823529388</v>
      </c>
    </row>
    <row r="7" spans="1:10" x14ac:dyDescent="0.3">
      <c r="A7" s="6" t="s">
        <v>1295</v>
      </c>
      <c r="B7">
        <v>73533.265333333373</v>
      </c>
      <c r="C7">
        <v>89384.17382352936</v>
      </c>
      <c r="D7">
        <v>80.190000000000268</v>
      </c>
      <c r="E7">
        <v>89303.98382352943</v>
      </c>
      <c r="F7">
        <v>71133.950000000041</v>
      </c>
      <c r="I7" s="6" t="s">
        <v>1295</v>
      </c>
      <c r="J7">
        <v>89384.17382352936</v>
      </c>
    </row>
    <row r="8" spans="1:10" x14ac:dyDescent="0.3">
      <c r="A8" s="6" t="s">
        <v>1294</v>
      </c>
      <c r="B8">
        <v>73000.060000000041</v>
      </c>
      <c r="C8">
        <v>94846.561470588262</v>
      </c>
      <c r="D8">
        <v>1766.6440298507466</v>
      </c>
      <c r="E8">
        <v>93079.91744073751</v>
      </c>
      <c r="F8">
        <v>75834.019999999975</v>
      </c>
      <c r="I8" s="6" t="s">
        <v>1294</v>
      </c>
      <c r="J8">
        <v>94846.561470588262</v>
      </c>
    </row>
    <row r="9" spans="1:10" x14ac:dyDescent="0.3">
      <c r="A9" s="6" t="s">
        <v>1296</v>
      </c>
      <c r="B9">
        <v>731503.16800000006</v>
      </c>
      <c r="C9">
        <v>924898.77</v>
      </c>
      <c r="D9">
        <v>-13420.91298507463</v>
      </c>
      <c r="E9">
        <v>938319.68298507435</v>
      </c>
      <c r="F9">
        <v>751231.90999999968</v>
      </c>
      <c r="I9" s="6" t="s">
        <v>1296</v>
      </c>
      <c r="J9">
        <v>924898.77</v>
      </c>
    </row>
    <row r="10" spans="1:10" x14ac:dyDescent="0.3">
      <c r="A10" s="6" t="s">
        <v>1298</v>
      </c>
      <c r="B10">
        <v>77624.652666666647</v>
      </c>
      <c r="C10">
        <v>94543.793823529428</v>
      </c>
      <c r="D10">
        <v>6065.3970149253719</v>
      </c>
      <c r="E10">
        <v>88478.396808603982</v>
      </c>
      <c r="F10">
        <v>79380.66</v>
      </c>
      <c r="I10" s="6" t="s">
        <v>1298</v>
      </c>
      <c r="J10">
        <v>94543.793823529428</v>
      </c>
    </row>
    <row r="11" spans="1:10" x14ac:dyDescent="0.3">
      <c r="A11" s="6" t="s">
        <v>1293</v>
      </c>
      <c r="B11">
        <v>66372.489000000031</v>
      </c>
      <c r="C11">
        <v>81358.107647058816</v>
      </c>
      <c r="D11">
        <v>1837.6310447761202</v>
      </c>
      <c r="E11">
        <v>79520.47660228271</v>
      </c>
      <c r="F11">
        <v>67077.67</v>
      </c>
      <c r="I11" s="6" t="s">
        <v>1293</v>
      </c>
      <c r="J11">
        <v>81358.107647058816</v>
      </c>
    </row>
    <row r="12" spans="1:10" x14ac:dyDescent="0.3">
      <c r="A12" s="6" t="s">
        <v>1323</v>
      </c>
      <c r="B12">
        <v>1163357.8710000003</v>
      </c>
      <c r="C12">
        <v>1451672.1720588235</v>
      </c>
      <c r="D12">
        <v>3234.3311940298449</v>
      </c>
      <c r="E12">
        <v>1448437.8408647934</v>
      </c>
      <c r="F12">
        <v>1179144.3399999996</v>
      </c>
      <c r="I12" s="6" t="s">
        <v>1323</v>
      </c>
      <c r="J12">
        <v>1451672.1720588235</v>
      </c>
    </row>
    <row r="16" spans="1:10" x14ac:dyDescent="0.3">
      <c r="A16" s="5" t="s">
        <v>1322</v>
      </c>
      <c r="B16" t="s">
        <v>1325</v>
      </c>
      <c r="C16" t="s">
        <v>1326</v>
      </c>
      <c r="D16" t="s">
        <v>1335</v>
      </c>
    </row>
    <row r="17" spans="1:4" x14ac:dyDescent="0.3">
      <c r="A17" s="6" t="s">
        <v>1292</v>
      </c>
      <c r="B17">
        <v>127433.78611940284</v>
      </c>
      <c r="C17">
        <v>605118.1552941174</v>
      </c>
      <c r="D17">
        <v>477684.36917471478</v>
      </c>
    </row>
    <row r="18" spans="1:4" x14ac:dyDescent="0.3">
      <c r="A18" s="6" t="s">
        <v>1291</v>
      </c>
      <c r="B18">
        <v>-124199.45492537323</v>
      </c>
      <c r="C18">
        <v>846554.01676470588</v>
      </c>
      <c r="D18">
        <v>970753.47169007815</v>
      </c>
    </row>
    <row r="19" spans="1:4" x14ac:dyDescent="0.3">
      <c r="A19" s="6" t="s">
        <v>1323</v>
      </c>
      <c r="B19">
        <v>3234.3311940296117</v>
      </c>
      <c r="C19">
        <v>1451672.1720588233</v>
      </c>
      <c r="D19">
        <v>1448437.8408647929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0116F-245F-49CC-8906-159837C6603A}">
  <dimension ref="F2:X63"/>
  <sheetViews>
    <sheetView zoomScale="44" workbookViewId="0">
      <selection activeCell="P16" sqref="P16"/>
    </sheetView>
  </sheetViews>
  <sheetFormatPr defaultRowHeight="14.4" x14ac:dyDescent="0.3"/>
  <cols>
    <col min="7" max="7" width="18.88671875" bestFit="1" customWidth="1"/>
    <col min="8" max="8" width="21.33203125" bestFit="1" customWidth="1"/>
    <col min="15" max="15" width="12" bestFit="1" customWidth="1"/>
    <col min="16" max="16" width="28.88671875" customWidth="1"/>
    <col min="17" max="17" width="8.88671875" customWidth="1"/>
    <col min="18" max="18" width="18.88671875" bestFit="1" customWidth="1"/>
    <col min="19" max="19" width="30.77734375" bestFit="1" customWidth="1"/>
    <col min="20" max="165" width="15.5546875" bestFit="1" customWidth="1"/>
    <col min="166" max="166" width="10.77734375" bestFit="1" customWidth="1"/>
    <col min="167" max="210" width="7" bestFit="1" customWidth="1"/>
    <col min="211" max="211" width="4" bestFit="1" customWidth="1"/>
    <col min="212" max="233" width="7" bestFit="1" customWidth="1"/>
    <col min="234" max="234" width="6" bestFit="1" customWidth="1"/>
    <col min="235" max="305" width="7" bestFit="1" customWidth="1"/>
    <col min="306" max="306" width="8" bestFit="1" customWidth="1"/>
    <col min="307" max="406" width="7" bestFit="1" customWidth="1"/>
    <col min="407" max="407" width="6" bestFit="1" customWidth="1"/>
    <col min="408" max="430" width="7" bestFit="1" customWidth="1"/>
    <col min="431" max="431" width="6" bestFit="1" customWidth="1"/>
    <col min="432" max="432" width="7" bestFit="1" customWidth="1"/>
    <col min="433" max="433" width="8" bestFit="1" customWidth="1"/>
    <col min="434" max="448" width="7" bestFit="1" customWidth="1"/>
    <col min="449" max="449" width="8" bestFit="1" customWidth="1"/>
    <col min="450" max="450" width="7" bestFit="1" customWidth="1"/>
    <col min="451" max="451" width="8" bestFit="1" customWidth="1"/>
    <col min="452" max="457" width="7" bestFit="1" customWidth="1"/>
    <col min="458" max="458" width="8" bestFit="1" customWidth="1"/>
    <col min="459" max="464" width="7" bestFit="1" customWidth="1"/>
    <col min="465" max="466" width="8" bestFit="1" customWidth="1"/>
    <col min="467" max="475" width="7" bestFit="1" customWidth="1"/>
    <col min="476" max="478" width="8" bestFit="1" customWidth="1"/>
    <col min="479" max="480" width="7" bestFit="1" customWidth="1"/>
    <col min="481" max="481" width="8" bestFit="1" customWidth="1"/>
    <col min="482" max="482" width="7" bestFit="1" customWidth="1"/>
    <col min="483" max="485" width="8" bestFit="1" customWidth="1"/>
    <col min="486" max="486" width="7" bestFit="1" customWidth="1"/>
    <col min="487" max="487" width="8" bestFit="1" customWidth="1"/>
    <col min="488" max="493" width="7" bestFit="1" customWidth="1"/>
    <col min="494" max="494" width="8" bestFit="1" customWidth="1"/>
    <col min="495" max="495" width="7" bestFit="1" customWidth="1"/>
    <col min="496" max="502" width="8" bestFit="1" customWidth="1"/>
    <col min="503" max="503" width="7" bestFit="1" customWidth="1"/>
    <col min="504" max="505" width="8" bestFit="1" customWidth="1"/>
    <col min="506" max="506" width="7" bestFit="1" customWidth="1"/>
    <col min="507" max="508" width="8" bestFit="1" customWidth="1"/>
    <col min="509" max="510" width="7" bestFit="1" customWidth="1"/>
    <col min="511" max="511" width="8" bestFit="1" customWidth="1"/>
    <col min="512" max="512" width="7" bestFit="1" customWidth="1"/>
    <col min="513" max="514" width="8" bestFit="1" customWidth="1"/>
    <col min="515" max="515" width="7" bestFit="1" customWidth="1"/>
    <col min="516" max="516" width="8" bestFit="1" customWidth="1"/>
    <col min="517" max="517" width="7" bestFit="1" customWidth="1"/>
    <col min="518" max="520" width="8" bestFit="1" customWidth="1"/>
    <col min="521" max="521" width="7" bestFit="1" customWidth="1"/>
    <col min="522" max="522" width="8" bestFit="1" customWidth="1"/>
    <col min="523" max="523" width="7" bestFit="1" customWidth="1"/>
    <col min="524" max="526" width="8" bestFit="1" customWidth="1"/>
    <col min="527" max="527" width="7" bestFit="1" customWidth="1"/>
    <col min="528" max="658" width="8" bestFit="1" customWidth="1"/>
    <col min="659" max="659" width="12" bestFit="1" customWidth="1"/>
    <col min="660" max="677" width="8" bestFit="1" customWidth="1"/>
    <col min="678" max="678" width="7" bestFit="1" customWidth="1"/>
    <col min="679" max="720" width="8" bestFit="1" customWidth="1"/>
    <col min="721" max="721" width="7" bestFit="1" customWidth="1"/>
    <col min="722" max="743" width="8" bestFit="1" customWidth="1"/>
    <col min="744" max="744" width="9" bestFit="1" customWidth="1"/>
    <col min="745" max="747" width="8" bestFit="1" customWidth="1"/>
    <col min="748" max="748" width="9" bestFit="1" customWidth="1"/>
    <col min="749" max="752" width="8" bestFit="1" customWidth="1"/>
    <col min="753" max="753" width="9" bestFit="1" customWidth="1"/>
    <col min="754" max="757" width="8" bestFit="1" customWidth="1"/>
    <col min="758" max="760" width="9" bestFit="1" customWidth="1"/>
    <col min="761" max="763" width="8" bestFit="1" customWidth="1"/>
    <col min="764" max="764" width="11" bestFit="1" customWidth="1"/>
  </cols>
  <sheetData>
    <row r="2" spans="6:24" ht="14.4" customHeight="1" x14ac:dyDescent="0.3">
      <c r="K2" s="23" t="s">
        <v>1342</v>
      </c>
      <c r="L2" s="23"/>
      <c r="M2" s="23"/>
      <c r="N2" s="23"/>
      <c r="O2" s="23"/>
      <c r="P2" s="23"/>
      <c r="Q2" s="23"/>
      <c r="R2" s="23"/>
      <c r="S2" s="23"/>
      <c r="T2" s="23"/>
    </row>
    <row r="3" spans="6:24" ht="14.4" customHeight="1" x14ac:dyDescent="0.3">
      <c r="K3" s="23"/>
      <c r="L3" s="23"/>
      <c r="M3" s="23"/>
      <c r="N3" s="23"/>
      <c r="O3" s="23"/>
      <c r="P3" s="23"/>
      <c r="Q3" s="23"/>
      <c r="R3" s="23"/>
      <c r="S3" s="23"/>
      <c r="T3" s="23"/>
    </row>
    <row r="4" spans="6:24" ht="14.4" customHeight="1" x14ac:dyDescent="0.3">
      <c r="K4" s="23"/>
      <c r="L4" s="23"/>
      <c r="M4" s="23"/>
      <c r="N4" s="23"/>
      <c r="O4" s="23"/>
      <c r="P4" s="23"/>
      <c r="Q4" s="23"/>
      <c r="R4" s="23"/>
      <c r="S4" s="23"/>
      <c r="T4" s="23"/>
    </row>
    <row r="5" spans="6:24" ht="14.4" customHeight="1" x14ac:dyDescent="0.3">
      <c r="K5" s="23"/>
      <c r="L5" s="23"/>
      <c r="M5" s="23"/>
      <c r="N5" s="23"/>
      <c r="O5" s="23"/>
      <c r="P5" s="23"/>
      <c r="Q5" s="23"/>
      <c r="R5" s="23"/>
      <c r="S5" s="23"/>
      <c r="T5" s="23"/>
    </row>
    <row r="8" spans="6:24" x14ac:dyDescent="0.3">
      <c r="F8" s="17"/>
      <c r="G8" s="17"/>
      <c r="H8" s="17"/>
      <c r="I8" s="17"/>
      <c r="J8" s="17"/>
      <c r="K8" s="17"/>
      <c r="L8" s="17"/>
      <c r="M8" s="17"/>
      <c r="N8" s="17"/>
      <c r="O8" s="17"/>
      <c r="Q8" s="20"/>
      <c r="R8" s="20"/>
      <c r="S8" s="20"/>
      <c r="T8" s="20"/>
      <c r="U8" s="20"/>
      <c r="V8" s="20"/>
      <c r="W8" s="20"/>
      <c r="X8" s="20"/>
    </row>
    <row r="9" spans="6:24" x14ac:dyDescent="0.3">
      <c r="F9" s="17"/>
      <c r="G9" s="17"/>
      <c r="H9" s="17"/>
      <c r="I9" s="17"/>
      <c r="J9" s="17"/>
      <c r="K9" s="17"/>
      <c r="L9" s="17"/>
      <c r="M9" s="17"/>
      <c r="N9" s="17"/>
      <c r="O9" s="17"/>
      <c r="Q9" s="20"/>
      <c r="R9" s="20"/>
      <c r="S9" s="20"/>
      <c r="T9" s="20"/>
      <c r="U9" s="20"/>
      <c r="V9" s="20"/>
      <c r="W9" s="20"/>
      <c r="X9" s="20"/>
    </row>
    <row r="10" spans="6:24" x14ac:dyDescent="0.3">
      <c r="F10" s="17"/>
      <c r="G10" s="17"/>
      <c r="H10" s="17"/>
      <c r="I10" s="17"/>
      <c r="J10" s="17"/>
      <c r="K10" s="17"/>
      <c r="L10" s="17"/>
      <c r="M10" s="17"/>
      <c r="N10" s="17"/>
      <c r="O10" s="17"/>
      <c r="Q10" s="20"/>
      <c r="R10" s="20"/>
      <c r="S10" s="20"/>
      <c r="T10" s="20"/>
      <c r="U10" s="20"/>
      <c r="V10" s="20"/>
      <c r="W10" s="20"/>
      <c r="X10" s="20"/>
    </row>
    <row r="11" spans="6:24" x14ac:dyDescent="0.3">
      <c r="F11" s="17"/>
      <c r="G11" s="26" t="s">
        <v>1322</v>
      </c>
      <c r="H11" s="26" t="s">
        <v>1327</v>
      </c>
      <c r="I11" s="17"/>
      <c r="J11" s="17"/>
      <c r="K11" s="17"/>
      <c r="L11" s="17"/>
      <c r="M11" s="17"/>
      <c r="N11" s="17"/>
      <c r="O11" s="17"/>
      <c r="Q11" s="20"/>
      <c r="R11" s="33" t="s">
        <v>1322</v>
      </c>
      <c r="S11" s="33" t="s">
        <v>1335</v>
      </c>
      <c r="T11" s="20"/>
      <c r="U11" s="20"/>
      <c r="V11" s="20"/>
      <c r="W11" s="20"/>
      <c r="X11" s="20"/>
    </row>
    <row r="12" spans="6:24" x14ac:dyDescent="0.3">
      <c r="F12" s="17"/>
      <c r="G12" s="27" t="s">
        <v>1297</v>
      </c>
      <c r="H12" s="26">
        <v>65040.928000000014</v>
      </c>
      <c r="I12" s="17"/>
      <c r="J12" s="17"/>
      <c r="K12" s="17"/>
      <c r="L12" s="17"/>
      <c r="M12" s="17"/>
      <c r="N12" s="17"/>
      <c r="O12" s="17"/>
      <c r="Q12" s="20"/>
      <c r="R12" s="34" t="s">
        <v>1297</v>
      </c>
      <c r="S12" s="33">
        <v>71472.791470588229</v>
      </c>
      <c r="T12" s="20"/>
      <c r="U12" s="20"/>
      <c r="V12" s="20"/>
      <c r="W12" s="20"/>
      <c r="X12" s="20"/>
    </row>
    <row r="13" spans="6:24" x14ac:dyDescent="0.3">
      <c r="F13" s="17"/>
      <c r="G13" s="27" t="s">
        <v>1299</v>
      </c>
      <c r="H13" s="26">
        <v>76283.308000000048</v>
      </c>
      <c r="I13" s="17"/>
      <c r="J13" s="17"/>
      <c r="K13" s="17"/>
      <c r="L13" s="17"/>
      <c r="M13" s="17"/>
      <c r="N13" s="17"/>
      <c r="O13" s="17"/>
      <c r="Q13" s="20"/>
      <c r="R13" s="34" t="s">
        <v>1299</v>
      </c>
      <c r="S13" s="33">
        <v>88262.591733977184</v>
      </c>
      <c r="T13" s="20"/>
      <c r="U13" s="20"/>
      <c r="V13" s="20"/>
      <c r="W13" s="20"/>
      <c r="X13" s="20"/>
    </row>
    <row r="14" spans="6:24" x14ac:dyDescent="0.3">
      <c r="F14" s="17"/>
      <c r="G14" s="27" t="s">
        <v>1295</v>
      </c>
      <c r="H14" s="26">
        <v>73533.265333333373</v>
      </c>
      <c r="I14" s="17"/>
      <c r="J14" s="17"/>
      <c r="K14" s="17"/>
      <c r="L14" s="17"/>
      <c r="M14" s="17"/>
      <c r="N14" s="17"/>
      <c r="O14" s="17"/>
      <c r="Q14" s="20"/>
      <c r="R14" s="34" t="s">
        <v>1295</v>
      </c>
      <c r="S14" s="33">
        <v>89303.98382352943</v>
      </c>
      <c r="T14" s="20"/>
      <c r="U14" s="20"/>
      <c r="V14" s="20"/>
      <c r="W14" s="20"/>
      <c r="X14" s="20"/>
    </row>
    <row r="15" spans="6:24" x14ac:dyDescent="0.3">
      <c r="F15" s="17"/>
      <c r="G15" s="27" t="s">
        <v>1294</v>
      </c>
      <c r="H15" s="26">
        <v>73000.060000000041</v>
      </c>
      <c r="I15" s="17"/>
      <c r="J15" s="17"/>
      <c r="K15" s="17"/>
      <c r="L15" s="17"/>
      <c r="M15" s="17"/>
      <c r="N15" s="17"/>
      <c r="O15" s="17"/>
      <c r="Q15" s="20"/>
      <c r="R15" s="34" t="s">
        <v>1294</v>
      </c>
      <c r="S15" s="33">
        <v>93079.91744073751</v>
      </c>
      <c r="T15" s="20"/>
      <c r="U15" s="20"/>
      <c r="V15" s="20"/>
      <c r="W15" s="20"/>
      <c r="X15" s="20"/>
    </row>
    <row r="16" spans="6:24" x14ac:dyDescent="0.3">
      <c r="F16" s="17"/>
      <c r="G16" s="27" t="s">
        <v>1296</v>
      </c>
      <c r="H16" s="26">
        <v>731503.16800000006</v>
      </c>
      <c r="I16" s="17"/>
      <c r="J16" s="17"/>
      <c r="K16" s="17"/>
      <c r="L16" s="17"/>
      <c r="M16" s="17"/>
      <c r="N16" s="17"/>
      <c r="O16" s="17"/>
      <c r="Q16" s="20"/>
      <c r="R16" s="34" t="s">
        <v>1296</v>
      </c>
      <c r="S16" s="33">
        <v>938319.68298507435</v>
      </c>
      <c r="T16" s="20"/>
      <c r="U16" s="20"/>
      <c r="V16" s="20"/>
      <c r="W16" s="20"/>
      <c r="X16" s="20"/>
    </row>
    <row r="17" spans="6:24" x14ac:dyDescent="0.3">
      <c r="F17" s="17"/>
      <c r="G17" s="27" t="s">
        <v>1298</v>
      </c>
      <c r="H17" s="26">
        <v>77624.652666666647</v>
      </c>
      <c r="I17" s="17"/>
      <c r="J17" s="17"/>
      <c r="K17" s="17"/>
      <c r="L17" s="17"/>
      <c r="M17" s="17"/>
      <c r="N17" s="17"/>
      <c r="O17" s="17"/>
      <c r="Q17" s="20"/>
      <c r="R17" s="34" t="s">
        <v>1298</v>
      </c>
      <c r="S17" s="33">
        <v>88478.396808603982</v>
      </c>
      <c r="T17" s="20"/>
      <c r="U17" s="20"/>
      <c r="V17" s="20"/>
      <c r="W17" s="20"/>
      <c r="X17" s="20"/>
    </row>
    <row r="18" spans="6:24" x14ac:dyDescent="0.3">
      <c r="F18" s="17"/>
      <c r="G18" s="27" t="s">
        <v>1293</v>
      </c>
      <c r="H18" s="26">
        <v>66372.489000000031</v>
      </c>
      <c r="I18" s="17"/>
      <c r="J18" s="17"/>
      <c r="K18" s="17"/>
      <c r="L18" s="17"/>
      <c r="M18" s="17"/>
      <c r="N18" s="17"/>
      <c r="O18" s="17"/>
      <c r="Q18" s="20"/>
      <c r="R18" s="34" t="s">
        <v>1293</v>
      </c>
      <c r="S18" s="33">
        <v>79520.47660228271</v>
      </c>
      <c r="T18" s="20"/>
      <c r="U18" s="20"/>
      <c r="V18" s="20"/>
      <c r="W18" s="20"/>
      <c r="X18" s="20"/>
    </row>
    <row r="19" spans="6:24" x14ac:dyDescent="0.3">
      <c r="F19" s="17"/>
      <c r="G19" s="27" t="s">
        <v>1323</v>
      </c>
      <c r="H19" s="26">
        <v>1163357.8710000003</v>
      </c>
      <c r="I19" s="17"/>
      <c r="J19" s="17"/>
      <c r="K19" s="17"/>
      <c r="L19" s="17"/>
      <c r="M19" s="17"/>
      <c r="N19" s="17"/>
      <c r="O19" s="17"/>
      <c r="Q19" s="20"/>
      <c r="R19" s="34" t="s">
        <v>1323</v>
      </c>
      <c r="S19" s="33">
        <v>1448437.8408647934</v>
      </c>
      <c r="T19" s="20"/>
      <c r="U19" s="20"/>
      <c r="V19" s="20"/>
      <c r="W19" s="20"/>
      <c r="X19" s="20"/>
    </row>
    <row r="20" spans="6:24" x14ac:dyDescent="0.3">
      <c r="F20" s="17"/>
      <c r="G20" s="17"/>
      <c r="H20" s="17"/>
      <c r="I20" s="17"/>
      <c r="J20" s="17"/>
      <c r="K20" s="17"/>
      <c r="L20" s="17"/>
      <c r="M20" s="17"/>
      <c r="N20" s="17"/>
      <c r="O20" s="17"/>
      <c r="Q20" s="20"/>
      <c r="R20" s="20"/>
      <c r="S20" s="20"/>
      <c r="T20" s="20"/>
      <c r="U20" s="20"/>
      <c r="V20" s="20"/>
      <c r="W20" s="20"/>
      <c r="X20" s="20"/>
    </row>
    <row r="21" spans="6:24" x14ac:dyDescent="0.3">
      <c r="F21" s="17"/>
      <c r="G21" s="17"/>
      <c r="H21" s="17"/>
      <c r="I21" s="17"/>
      <c r="J21" s="17"/>
      <c r="K21" s="17"/>
      <c r="L21" s="17"/>
      <c r="M21" s="17"/>
      <c r="N21" s="17"/>
      <c r="O21" s="17"/>
      <c r="Q21" s="20"/>
      <c r="R21" s="20"/>
      <c r="S21" s="20"/>
      <c r="T21" s="20"/>
      <c r="U21" s="20"/>
      <c r="V21" s="20"/>
      <c r="W21" s="20"/>
      <c r="X21" s="20"/>
    </row>
    <row r="22" spans="6:24" x14ac:dyDescent="0.3">
      <c r="F22" s="17"/>
      <c r="G22" s="17"/>
      <c r="H22" s="17"/>
      <c r="I22" s="17"/>
      <c r="J22" s="17"/>
      <c r="K22" s="17"/>
      <c r="L22" s="17"/>
      <c r="M22" s="17"/>
      <c r="N22" s="17"/>
      <c r="O22" s="17"/>
      <c r="Q22" s="20"/>
      <c r="R22" s="20"/>
      <c r="S22" s="20"/>
      <c r="T22" s="20"/>
      <c r="U22" s="20"/>
      <c r="V22" s="20"/>
      <c r="W22" s="20"/>
      <c r="X22" s="20"/>
    </row>
    <row r="23" spans="6:24" x14ac:dyDescent="0.3">
      <c r="F23" s="17"/>
      <c r="G23" s="17"/>
      <c r="H23" s="17"/>
      <c r="I23" s="17"/>
      <c r="J23" s="17"/>
      <c r="K23" s="17"/>
      <c r="L23" s="17"/>
      <c r="M23" s="17"/>
      <c r="N23" s="17"/>
      <c r="O23" s="17"/>
      <c r="Q23" s="20"/>
      <c r="R23" s="20"/>
      <c r="S23" s="20"/>
      <c r="T23" s="20"/>
      <c r="U23" s="20"/>
      <c r="V23" s="20"/>
      <c r="W23" s="20"/>
      <c r="X23" s="20"/>
    </row>
    <row r="24" spans="6:24" x14ac:dyDescent="0.3">
      <c r="F24" s="17"/>
      <c r="G24" s="17"/>
      <c r="H24" s="17"/>
      <c r="I24" s="17"/>
      <c r="J24" s="17"/>
      <c r="K24" s="17"/>
      <c r="L24" s="17"/>
      <c r="M24" s="17"/>
      <c r="N24" s="17"/>
      <c r="O24" s="17"/>
      <c r="Q24" s="20"/>
      <c r="R24" s="20"/>
      <c r="S24" s="20"/>
      <c r="T24" s="20"/>
      <c r="U24" s="20"/>
      <c r="V24" s="20"/>
      <c r="W24" s="20"/>
      <c r="X24" s="20"/>
    </row>
    <row r="25" spans="6:24" x14ac:dyDescent="0.3">
      <c r="F25" s="17"/>
      <c r="G25" s="17"/>
      <c r="H25" s="17"/>
      <c r="I25" s="17"/>
      <c r="J25" s="17"/>
      <c r="K25" s="17"/>
      <c r="L25" s="17"/>
      <c r="M25" s="17"/>
      <c r="N25" s="17"/>
      <c r="O25" s="17"/>
      <c r="Q25" s="20"/>
      <c r="R25" s="20"/>
      <c r="S25" s="20"/>
      <c r="T25" s="20"/>
      <c r="U25" s="20"/>
      <c r="V25" s="20"/>
      <c r="W25" s="20"/>
      <c r="X25" s="20"/>
    </row>
    <row r="26" spans="6:24" s="25" customFormat="1" x14ac:dyDescent="0.3"/>
    <row r="27" spans="6:24" s="25" customFormat="1" x14ac:dyDescent="0.3"/>
    <row r="28" spans="6:24" s="25" customFormat="1" x14ac:dyDescent="0.3"/>
    <row r="29" spans="6:24" x14ac:dyDescent="0.3">
      <c r="S29" s="24" t="s">
        <v>1343</v>
      </c>
      <c r="T29" s="24"/>
      <c r="U29" s="24"/>
      <c r="V29" s="24"/>
    </row>
    <row r="30" spans="6:24" x14ac:dyDescent="0.3">
      <c r="F30" s="18"/>
      <c r="G30" s="18"/>
      <c r="H30" s="18"/>
      <c r="I30" s="18"/>
      <c r="J30" s="18"/>
      <c r="K30" s="18"/>
      <c r="L30" s="18"/>
      <c r="M30" s="18"/>
      <c r="N30" s="18"/>
      <c r="O30" s="18"/>
      <c r="Q30" s="21"/>
      <c r="R30" s="21"/>
      <c r="S30" s="24"/>
      <c r="T30" s="24"/>
      <c r="U30" s="24"/>
      <c r="V30" s="24"/>
      <c r="W30" s="21"/>
      <c r="X30" s="21"/>
    </row>
    <row r="31" spans="6:24" x14ac:dyDescent="0.3">
      <c r="F31" s="18"/>
      <c r="G31" s="18"/>
      <c r="H31" s="18"/>
      <c r="I31" s="18"/>
      <c r="J31" s="18"/>
      <c r="K31" s="18"/>
      <c r="L31" s="18"/>
      <c r="M31" s="18"/>
      <c r="N31" s="18"/>
      <c r="O31" s="18"/>
      <c r="Q31" s="21"/>
      <c r="R31" s="21"/>
      <c r="S31" s="21"/>
      <c r="T31" s="21"/>
      <c r="U31" s="21"/>
      <c r="V31" s="21"/>
      <c r="W31" s="21"/>
      <c r="X31" s="21"/>
    </row>
    <row r="32" spans="6:24" x14ac:dyDescent="0.3">
      <c r="F32" s="18"/>
      <c r="G32" s="28" t="s">
        <v>1322</v>
      </c>
      <c r="H32" s="28" t="s">
        <v>1326</v>
      </c>
      <c r="I32" s="18"/>
      <c r="J32" s="18"/>
      <c r="K32" s="18"/>
      <c r="L32" s="18"/>
      <c r="M32" s="18"/>
      <c r="N32" s="18"/>
      <c r="O32" s="18"/>
      <c r="Q32" s="21"/>
      <c r="R32" s="21"/>
      <c r="S32" s="21"/>
      <c r="T32" s="21"/>
      <c r="U32" s="21"/>
      <c r="V32" s="21"/>
      <c r="W32" s="21"/>
      <c r="X32" s="21"/>
    </row>
    <row r="33" spans="6:24" x14ac:dyDescent="0.3">
      <c r="F33" s="18"/>
      <c r="G33" s="29" t="s">
        <v>1297</v>
      </c>
      <c r="H33" s="30">
        <v>77432.311470588218</v>
      </c>
      <c r="I33" s="18"/>
      <c r="J33" s="18"/>
      <c r="K33" s="18"/>
      <c r="L33" s="18"/>
      <c r="M33" s="18"/>
      <c r="N33" s="18"/>
      <c r="O33" s="18"/>
      <c r="Q33" s="21"/>
      <c r="R33" s="35" t="s">
        <v>1</v>
      </c>
      <c r="S33" s="35" t="s">
        <v>1324</v>
      </c>
      <c r="T33" s="21"/>
      <c r="U33" s="21"/>
      <c r="V33" s="21"/>
      <c r="W33" s="21"/>
      <c r="X33" s="21"/>
    </row>
    <row r="34" spans="6:24" x14ac:dyDescent="0.3">
      <c r="F34" s="18"/>
      <c r="G34" s="29" t="s">
        <v>1299</v>
      </c>
      <c r="H34" s="30">
        <v>89208.453823529388</v>
      </c>
      <c r="I34" s="18"/>
      <c r="J34" s="18"/>
      <c r="K34" s="18"/>
      <c r="L34" s="18"/>
      <c r="M34" s="18"/>
      <c r="N34" s="18"/>
      <c r="O34" s="18"/>
      <c r="Q34" s="21"/>
      <c r="R34" s="35"/>
      <c r="S34" s="35"/>
      <c r="T34" s="21"/>
      <c r="U34" s="21"/>
      <c r="V34" s="21"/>
      <c r="W34" s="21"/>
      <c r="X34" s="21"/>
    </row>
    <row r="35" spans="6:24" x14ac:dyDescent="0.3">
      <c r="F35" s="18"/>
      <c r="G35" s="29" t="s">
        <v>1295</v>
      </c>
      <c r="H35" s="30">
        <v>89384.17382352936</v>
      </c>
      <c r="I35" s="18"/>
      <c r="J35" s="18"/>
      <c r="K35" s="18"/>
      <c r="L35" s="18"/>
      <c r="M35" s="18"/>
      <c r="N35" s="18"/>
      <c r="O35" s="18"/>
      <c r="Q35" s="21"/>
      <c r="R35" s="35" t="s">
        <v>1327</v>
      </c>
      <c r="S35" s="35" t="s">
        <v>1328</v>
      </c>
      <c r="T35" s="21"/>
      <c r="U35" s="21"/>
      <c r="V35" s="21"/>
      <c r="W35" s="21"/>
      <c r="X35" s="21"/>
    </row>
    <row r="36" spans="6:24" x14ac:dyDescent="0.3">
      <c r="F36" s="18"/>
      <c r="G36" s="29" t="s">
        <v>1294</v>
      </c>
      <c r="H36" s="30">
        <v>94846.561470588262</v>
      </c>
      <c r="I36" s="18"/>
      <c r="J36" s="18"/>
      <c r="K36" s="18"/>
      <c r="L36" s="18"/>
      <c r="M36" s="18"/>
      <c r="N36" s="18"/>
      <c r="O36" s="18"/>
      <c r="Q36" s="21"/>
      <c r="R36" s="35">
        <v>1163357.8710000007</v>
      </c>
      <c r="S36" s="35">
        <v>1179144.339999998</v>
      </c>
      <c r="T36" s="21"/>
      <c r="U36" s="21"/>
      <c r="V36" s="21"/>
      <c r="W36" s="21"/>
      <c r="X36" s="21"/>
    </row>
    <row r="37" spans="6:24" x14ac:dyDescent="0.3">
      <c r="F37" s="18"/>
      <c r="G37" s="29" t="s">
        <v>1296</v>
      </c>
      <c r="H37" s="30">
        <v>924898.77</v>
      </c>
      <c r="I37" s="18"/>
      <c r="J37" s="18"/>
      <c r="K37" s="18"/>
      <c r="L37" s="18"/>
      <c r="M37" s="18"/>
      <c r="N37" s="18"/>
      <c r="O37" s="18"/>
      <c r="Q37" s="21"/>
      <c r="R37" s="21"/>
      <c r="S37" s="21"/>
      <c r="T37" s="21"/>
      <c r="U37" s="21"/>
      <c r="V37" s="21"/>
      <c r="W37" s="21"/>
      <c r="X37" s="21"/>
    </row>
    <row r="38" spans="6:24" x14ac:dyDescent="0.3">
      <c r="F38" s="18"/>
      <c r="G38" s="29" t="s">
        <v>1298</v>
      </c>
      <c r="H38" s="30">
        <v>94543.793823529428</v>
      </c>
      <c r="I38" s="18"/>
      <c r="J38" s="18"/>
      <c r="K38" s="18"/>
      <c r="L38" s="18"/>
      <c r="M38" s="18"/>
      <c r="N38" s="18"/>
      <c r="O38" s="18"/>
      <c r="Q38" s="21"/>
      <c r="R38" s="21"/>
      <c r="S38" s="21"/>
      <c r="T38" s="21"/>
      <c r="U38" s="21"/>
      <c r="V38" s="21"/>
      <c r="W38" s="21"/>
      <c r="X38" s="21"/>
    </row>
    <row r="39" spans="6:24" x14ac:dyDescent="0.3">
      <c r="F39" s="18"/>
      <c r="G39" s="29" t="s">
        <v>1293</v>
      </c>
      <c r="H39" s="30">
        <v>81358.107647058816</v>
      </c>
      <c r="I39" s="18"/>
      <c r="J39" s="18"/>
      <c r="K39" s="18"/>
      <c r="L39" s="18"/>
      <c r="M39" s="18"/>
      <c r="N39" s="18"/>
      <c r="O39" s="18"/>
      <c r="Q39" s="21"/>
      <c r="R39" s="21"/>
      <c r="S39" s="21"/>
      <c r="T39" s="21"/>
      <c r="U39" s="21"/>
      <c r="V39" s="21"/>
      <c r="W39" s="21"/>
      <c r="X39" s="21"/>
    </row>
    <row r="40" spans="6:24" x14ac:dyDescent="0.3">
      <c r="F40" s="18"/>
      <c r="G40" s="29" t="s">
        <v>1323</v>
      </c>
      <c r="H40" s="30">
        <v>1451672.1720588235</v>
      </c>
      <c r="I40" s="18"/>
      <c r="J40" s="18"/>
      <c r="K40" s="18"/>
      <c r="L40" s="18"/>
      <c r="M40" s="18"/>
      <c r="N40" s="18"/>
      <c r="O40" s="18"/>
      <c r="Q40" s="21"/>
      <c r="R40" s="21"/>
      <c r="S40" s="21"/>
      <c r="T40" s="21"/>
      <c r="U40" s="21"/>
      <c r="V40" s="21"/>
      <c r="W40" s="21"/>
      <c r="X40" s="21"/>
    </row>
    <row r="41" spans="6:24" x14ac:dyDescent="0.3">
      <c r="F41" s="18"/>
      <c r="G41" s="18"/>
      <c r="H41" s="18"/>
      <c r="I41" s="18"/>
      <c r="J41" s="18"/>
      <c r="K41" s="18"/>
      <c r="L41" s="18"/>
      <c r="M41" s="18"/>
      <c r="N41" s="18"/>
      <c r="O41" s="18"/>
      <c r="Q41" s="21"/>
      <c r="R41" s="21"/>
      <c r="S41" s="21"/>
      <c r="T41" s="21"/>
      <c r="U41" s="21"/>
      <c r="V41" s="21"/>
      <c r="W41" s="21"/>
      <c r="X41" s="21"/>
    </row>
    <row r="42" spans="6:24" x14ac:dyDescent="0.3">
      <c r="F42" s="18"/>
      <c r="G42" s="18"/>
      <c r="H42" s="18"/>
      <c r="I42" s="18"/>
      <c r="J42" s="18"/>
      <c r="K42" s="18"/>
      <c r="L42" s="18"/>
      <c r="M42" s="18"/>
      <c r="N42" s="18"/>
      <c r="O42" s="18"/>
      <c r="Q42" s="21"/>
      <c r="R42" s="21"/>
      <c r="S42" s="21"/>
      <c r="T42" s="21"/>
      <c r="U42" s="21"/>
      <c r="V42" s="21"/>
      <c r="W42" s="21"/>
      <c r="X42" s="21"/>
    </row>
    <row r="43" spans="6:24" x14ac:dyDescent="0.3">
      <c r="F43" s="18"/>
      <c r="G43" s="18"/>
      <c r="H43" s="18"/>
      <c r="I43" s="18"/>
      <c r="J43" s="18"/>
      <c r="K43" s="18"/>
      <c r="L43" s="18"/>
      <c r="M43" s="18"/>
      <c r="N43" s="18"/>
      <c r="O43" s="18"/>
      <c r="Q43" s="21"/>
      <c r="R43" s="21"/>
      <c r="S43" s="21"/>
      <c r="T43" s="21"/>
      <c r="U43" s="21"/>
      <c r="V43" s="21"/>
      <c r="W43" s="21"/>
      <c r="X43" s="21"/>
    </row>
    <row r="44" spans="6:24" x14ac:dyDescent="0.3">
      <c r="F44" s="18"/>
      <c r="G44" s="18"/>
      <c r="H44" s="18"/>
      <c r="I44" s="18"/>
      <c r="J44" s="18"/>
      <c r="K44" s="18"/>
      <c r="L44" s="18"/>
      <c r="M44" s="18"/>
      <c r="N44" s="18"/>
      <c r="O44" s="18"/>
    </row>
    <row r="45" spans="6:24" s="25" customFormat="1" x14ac:dyDescent="0.3"/>
    <row r="46" spans="6:24" s="25" customFormat="1" x14ac:dyDescent="0.3"/>
    <row r="47" spans="6:24" s="25" customFormat="1" x14ac:dyDescent="0.3"/>
    <row r="48" spans="6:24" s="25" customFormat="1" x14ac:dyDescent="0.3"/>
    <row r="49" spans="6:24" x14ac:dyDescent="0.3">
      <c r="Q49" s="22"/>
      <c r="R49" s="22"/>
      <c r="S49" s="22"/>
      <c r="T49" s="22"/>
      <c r="U49" s="22"/>
      <c r="V49" s="22"/>
      <c r="W49" s="22"/>
      <c r="X49" s="22"/>
    </row>
    <row r="50" spans="6:24" x14ac:dyDescent="0.3">
      <c r="F50" s="19"/>
      <c r="G50" s="19"/>
      <c r="H50" s="19"/>
      <c r="I50" s="19"/>
      <c r="J50" s="19"/>
      <c r="K50" s="19"/>
      <c r="L50" s="19"/>
      <c r="M50" s="19"/>
      <c r="N50" s="19"/>
      <c r="O50" s="19"/>
      <c r="Q50" s="22"/>
      <c r="R50" s="22"/>
      <c r="S50" s="22"/>
      <c r="T50" s="22"/>
      <c r="U50" s="22"/>
      <c r="V50" s="22"/>
      <c r="W50" s="22"/>
      <c r="X50" s="22"/>
    </row>
    <row r="51" spans="6:24" x14ac:dyDescent="0.3">
      <c r="F51" s="19"/>
      <c r="G51" s="19"/>
      <c r="H51" s="19"/>
      <c r="I51" s="19"/>
      <c r="J51" s="19"/>
      <c r="K51" s="19"/>
      <c r="L51" s="19"/>
      <c r="M51" s="19"/>
      <c r="N51" s="19"/>
      <c r="O51" s="19"/>
      <c r="Q51" s="22"/>
      <c r="R51" s="36" t="s">
        <v>1322</v>
      </c>
      <c r="S51" s="36" t="s">
        <v>1337</v>
      </c>
      <c r="T51" s="22"/>
      <c r="U51" s="22"/>
      <c r="V51" s="22"/>
      <c r="W51" s="22"/>
      <c r="X51" s="22"/>
    </row>
    <row r="52" spans="6:24" x14ac:dyDescent="0.3">
      <c r="F52" s="19"/>
      <c r="G52" s="31" t="s">
        <v>1322</v>
      </c>
      <c r="H52" s="31" t="s">
        <v>1325</v>
      </c>
      <c r="I52" s="19"/>
      <c r="J52" s="19"/>
      <c r="K52" s="19"/>
      <c r="L52" s="19"/>
      <c r="M52" s="19"/>
      <c r="N52" s="19"/>
      <c r="O52" s="19"/>
      <c r="Q52" s="22"/>
      <c r="R52" s="37" t="s">
        <v>1297</v>
      </c>
      <c r="S52" s="36">
        <v>39.178666666666679</v>
      </c>
      <c r="T52" s="22"/>
      <c r="U52" s="22"/>
      <c r="V52" s="22"/>
      <c r="W52" s="22"/>
      <c r="X52" s="22"/>
    </row>
    <row r="53" spans="6:24" x14ac:dyDescent="0.3">
      <c r="F53" s="19"/>
      <c r="G53" s="32" t="s">
        <v>1297</v>
      </c>
      <c r="H53" s="31">
        <v>5959.5199999999986</v>
      </c>
      <c r="I53" s="19"/>
      <c r="J53" s="19"/>
      <c r="K53" s="19"/>
      <c r="L53" s="19"/>
      <c r="M53" s="19"/>
      <c r="N53" s="19"/>
      <c r="O53" s="19"/>
      <c r="Q53" s="22"/>
      <c r="R53" s="37" t="s">
        <v>1299</v>
      </c>
      <c r="S53" s="36">
        <v>25.294170940170957</v>
      </c>
      <c r="T53" s="22"/>
      <c r="U53" s="22"/>
      <c r="V53" s="22"/>
      <c r="W53" s="22"/>
      <c r="X53" s="22"/>
    </row>
    <row r="54" spans="6:24" x14ac:dyDescent="0.3">
      <c r="F54" s="19"/>
      <c r="G54" s="32" t="s">
        <v>1299</v>
      </c>
      <c r="H54" s="31">
        <v>945.8620895522381</v>
      </c>
      <c r="I54" s="19"/>
      <c r="J54" s="19"/>
      <c r="K54" s="19"/>
      <c r="L54" s="19"/>
      <c r="M54" s="19"/>
      <c r="N54" s="19"/>
      <c r="O54" s="19"/>
      <c r="Q54" s="22"/>
      <c r="R54" s="37" t="s">
        <v>1295</v>
      </c>
      <c r="S54" s="36">
        <v>21.422458333333338</v>
      </c>
      <c r="T54" s="22"/>
      <c r="U54" s="22"/>
      <c r="V54" s="22"/>
      <c r="W54" s="22"/>
      <c r="X54" s="22"/>
    </row>
    <row r="55" spans="6:24" x14ac:dyDescent="0.3">
      <c r="F55" s="19"/>
      <c r="G55" s="32" t="s">
        <v>1295</v>
      </c>
      <c r="H55" s="31">
        <v>80.190000000000268</v>
      </c>
      <c r="I55" s="19"/>
      <c r="J55" s="19"/>
      <c r="K55" s="19"/>
      <c r="L55" s="19"/>
      <c r="M55" s="19"/>
      <c r="N55" s="19"/>
      <c r="O55" s="19"/>
      <c r="Q55" s="22"/>
      <c r="R55" s="37" t="s">
        <v>1294</v>
      </c>
      <c r="S55" s="36">
        <v>-24.221880341880347</v>
      </c>
      <c r="T55" s="22"/>
      <c r="U55" s="22"/>
      <c r="V55" s="22"/>
      <c r="W55" s="22"/>
      <c r="X55" s="22"/>
    </row>
    <row r="56" spans="6:24" x14ac:dyDescent="0.3">
      <c r="F56" s="19"/>
      <c r="G56" s="32" t="s">
        <v>1294</v>
      </c>
      <c r="H56" s="31">
        <v>1766.6440298507466</v>
      </c>
      <c r="I56" s="19"/>
      <c r="J56" s="19"/>
      <c r="K56" s="19"/>
      <c r="L56" s="19"/>
      <c r="M56" s="19"/>
      <c r="N56" s="19"/>
      <c r="O56" s="19"/>
      <c r="Q56" s="22"/>
      <c r="R56" s="37" t="s">
        <v>1296</v>
      </c>
      <c r="S56" s="36">
        <v>-179.35220000000015</v>
      </c>
      <c r="T56" s="22"/>
      <c r="U56" s="22"/>
      <c r="V56" s="22"/>
      <c r="W56" s="22"/>
      <c r="X56" s="22"/>
    </row>
    <row r="57" spans="6:24" x14ac:dyDescent="0.3">
      <c r="F57" s="19"/>
      <c r="G57" s="32" t="s">
        <v>1296</v>
      </c>
      <c r="H57" s="31">
        <v>-13420.91298507463</v>
      </c>
      <c r="I57" s="19"/>
      <c r="J57" s="19"/>
      <c r="K57" s="19"/>
      <c r="L57" s="19"/>
      <c r="M57" s="19"/>
      <c r="N57" s="19"/>
      <c r="O57" s="19"/>
      <c r="Q57" s="22"/>
      <c r="R57" s="37" t="s">
        <v>1298</v>
      </c>
      <c r="S57" s="36">
        <v>-14.161349462365584</v>
      </c>
      <c r="T57" s="22"/>
      <c r="U57" s="22"/>
      <c r="V57" s="22"/>
      <c r="W57" s="22"/>
      <c r="X57" s="22"/>
    </row>
    <row r="58" spans="6:24" x14ac:dyDescent="0.3">
      <c r="F58" s="19"/>
      <c r="G58" s="32" t="s">
        <v>1298</v>
      </c>
      <c r="H58" s="31">
        <v>6065.3970149253719</v>
      </c>
      <c r="I58" s="19"/>
      <c r="J58" s="19"/>
      <c r="K58" s="19"/>
      <c r="L58" s="19"/>
      <c r="M58" s="19"/>
      <c r="N58" s="19"/>
      <c r="O58" s="19"/>
      <c r="Q58" s="22"/>
      <c r="R58" s="37" t="s">
        <v>1293</v>
      </c>
      <c r="S58" s="36">
        <v>-7.3456354166666573</v>
      </c>
      <c r="T58" s="22"/>
      <c r="U58" s="22"/>
      <c r="V58" s="22"/>
      <c r="W58" s="22"/>
      <c r="X58" s="22"/>
    </row>
    <row r="59" spans="6:24" x14ac:dyDescent="0.3">
      <c r="F59" s="19"/>
      <c r="G59" s="32" t="s">
        <v>1293</v>
      </c>
      <c r="H59" s="31">
        <v>1837.6310447761202</v>
      </c>
      <c r="I59" s="19"/>
      <c r="J59" s="19"/>
      <c r="K59" s="19"/>
      <c r="L59" s="19"/>
      <c r="M59" s="19"/>
      <c r="N59" s="19"/>
      <c r="O59" s="19"/>
      <c r="Q59" s="22"/>
      <c r="R59" s="37" t="s">
        <v>1323</v>
      </c>
      <c r="S59" s="36">
        <v>-20.36963741935482</v>
      </c>
      <c r="T59" s="22"/>
      <c r="U59" s="22"/>
      <c r="V59" s="22"/>
      <c r="W59" s="22"/>
      <c r="X59" s="22"/>
    </row>
    <row r="60" spans="6:24" x14ac:dyDescent="0.3">
      <c r="F60" s="19"/>
      <c r="G60" s="32" t="s">
        <v>1323</v>
      </c>
      <c r="H60" s="31">
        <v>3234.3311940298449</v>
      </c>
      <c r="I60" s="19"/>
      <c r="J60" s="19"/>
      <c r="K60" s="19"/>
      <c r="L60" s="19"/>
      <c r="M60" s="19"/>
      <c r="N60" s="19"/>
      <c r="O60" s="19"/>
      <c r="Q60" s="22"/>
      <c r="R60" s="22"/>
      <c r="S60" s="22"/>
      <c r="T60" s="22"/>
      <c r="U60" s="22"/>
      <c r="V60" s="22"/>
      <c r="W60" s="22"/>
      <c r="X60" s="22"/>
    </row>
    <row r="61" spans="6:24" x14ac:dyDescent="0.3">
      <c r="F61" s="19"/>
      <c r="G61" s="19"/>
      <c r="H61" s="19"/>
      <c r="I61" s="19"/>
      <c r="J61" s="19"/>
      <c r="K61" s="19"/>
      <c r="L61" s="19"/>
      <c r="M61" s="19"/>
      <c r="N61" s="19"/>
      <c r="O61" s="19"/>
      <c r="Q61" s="22"/>
      <c r="R61" s="22"/>
      <c r="S61" s="22"/>
      <c r="T61" s="22"/>
      <c r="U61" s="22"/>
      <c r="V61" s="22"/>
      <c r="W61" s="22"/>
      <c r="X61" s="22"/>
    </row>
    <row r="62" spans="6:24" x14ac:dyDescent="0.3">
      <c r="F62" s="19"/>
      <c r="G62" s="19"/>
      <c r="H62" s="19"/>
      <c r="I62" s="19"/>
      <c r="J62" s="19"/>
      <c r="K62" s="19"/>
      <c r="L62" s="19"/>
      <c r="M62" s="19"/>
      <c r="N62" s="19"/>
      <c r="O62" s="19"/>
      <c r="Q62" s="22"/>
      <c r="R62" s="22"/>
      <c r="S62" s="22"/>
      <c r="T62" s="22"/>
      <c r="U62" s="22"/>
      <c r="V62" s="22"/>
      <c r="W62" s="22"/>
      <c r="X62" s="22"/>
    </row>
    <row r="63" spans="6:24" x14ac:dyDescent="0.3">
      <c r="F63" s="19"/>
      <c r="G63" s="19"/>
      <c r="H63" s="19"/>
      <c r="I63" s="19"/>
      <c r="J63" s="19"/>
      <c r="K63" s="19"/>
      <c r="L63" s="19"/>
      <c r="M63" s="19"/>
      <c r="N63" s="19"/>
      <c r="O63" s="19"/>
    </row>
  </sheetData>
  <mergeCells count="2">
    <mergeCell ref="K2:T5"/>
    <mergeCell ref="S29:V30"/>
  </mergeCells>
  <pageMargins left="0.7" right="0.7" top="0.75" bottom="0.75" header="0.3" footer="0.3"/>
  <pageSetup orientation="portrait" r:id="rId7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Rework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rajlakshmanan2209@outlook.com</cp:lastModifiedBy>
  <dcterms:created xsi:type="dcterms:W3CDTF">2026-10-07T15:04:31Z</dcterms:created>
  <dcterms:modified xsi:type="dcterms:W3CDTF">2026-10-12T16:10:50Z</dcterms:modified>
</cp:coreProperties>
</file>